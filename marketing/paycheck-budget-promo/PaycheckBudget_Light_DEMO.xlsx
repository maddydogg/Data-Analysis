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Setup" sheetId="2" state="visible" r:id="rId2"/>
    <sheet name="Dashboard" sheetId="3" state="visible" r:id="rId3"/>
    <sheet name="Paycheck Budget" sheetId="4" state="visible" r:id="rId4"/>
    <sheet name="Transactions" sheetId="5" state="visible" r:id="rId5"/>
    <sheet name="Bill Calendar" sheetId="6" state="visible" r:id="rId6"/>
    <sheet name="Savings" sheetId="7" state="visible" r:id="rId7"/>
    <sheet name="Debt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\$#,##0.00;&quot;($&quot;#,##0.00\);\-"/>
    <numFmt numFmtId="166" formatCode="0%;;\-"/>
  </numFmts>
  <fonts count="1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33566B"/>
      <sz val="20"/>
    </font>
    <font>
      <name val="Arial"/>
      <charset val="1"/>
      <family val="0"/>
      <color rgb="FF33566B"/>
      <sz val="10"/>
    </font>
    <font>
      <name val="Arial"/>
      <charset val="1"/>
      <family val="0"/>
      <b val="1"/>
      <color rgb="FF33566B"/>
      <sz val="12"/>
    </font>
    <font>
      <name val="Arial"/>
      <charset val="1"/>
      <family val="0"/>
      <b val="1"/>
      <color rgb="FF33566B"/>
      <sz val="11"/>
    </font>
    <font>
      <name val="Arial"/>
      <charset val="1"/>
      <family val="0"/>
      <color rgb="FF3A4652"/>
      <sz val="10"/>
    </font>
    <font>
      <name val="Arial"/>
      <charset val="1"/>
      <family val="0"/>
      <color rgb="FF3E7CC0"/>
      <sz val="11"/>
    </font>
    <font>
      <name val="Arial"/>
      <charset val="1"/>
      <family val="0"/>
      <b val="1"/>
      <color rgb="FF33566B"/>
      <sz val="10"/>
    </font>
    <font>
      <name val="Arial"/>
      <charset val="1"/>
      <family val="0"/>
      <color rgb="FF3A4652"/>
      <sz val="11"/>
    </font>
    <font>
      <name val="Arial"/>
      <charset val="1"/>
      <family val="0"/>
      <color rgb="FF7B8A99"/>
      <sz val="8"/>
    </font>
    <font>
      <name val="Arial"/>
      <charset val="1"/>
      <family val="0"/>
      <b val="1"/>
      <color rgb="FF33566B"/>
      <sz val="18"/>
    </font>
    <font>
      <name val="Arial"/>
      <charset val="1"/>
      <family val="0"/>
      <color rgb="FF33566B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DFF3EA"/>
        <bgColor rgb="FFE4F3F6"/>
      </patternFill>
    </fill>
    <fill>
      <patternFill patternType="solid">
        <fgColor rgb="FFFBFCFD"/>
        <bgColor rgb="FFFFFFFF"/>
      </patternFill>
    </fill>
    <fill>
      <patternFill patternType="solid">
        <fgColor rgb="FFF1F5F9"/>
        <bgColor rgb="FFF6F9FB"/>
      </patternFill>
    </fill>
    <fill>
      <patternFill patternType="solid">
        <fgColor rgb="FFEAF5EE"/>
        <bgColor rgb="FFE4F3F6"/>
      </patternFill>
    </fill>
    <fill>
      <patternFill patternType="solid">
        <fgColor rgb="FFE4F3F6"/>
        <bgColor rgb="FFEAF5EE"/>
      </patternFill>
    </fill>
    <fill>
      <patternFill patternType="solid">
        <fgColor rgb="FFE7ECFA"/>
        <bgColor rgb="FFE4F3F6"/>
      </patternFill>
    </fill>
    <fill>
      <patternFill patternType="solid">
        <fgColor rgb="FFFFFFFF"/>
        <bgColor rgb="FFFBFCFD"/>
      </patternFill>
    </fill>
    <fill>
      <patternFill patternType="solid">
        <fgColor rgb="FFF6F9FB"/>
        <bgColor rgb="FFFBFCFD"/>
      </patternFill>
    </fill>
  </fills>
  <borders count="6">
    <border>
      <left/>
      <right/>
      <top/>
      <bottom/>
      <diagonal/>
    </border>
    <border>
      <left style="thin">
        <color rgb="FFD5E2ED"/>
      </left>
      <right style="thin">
        <color rgb="FFD5E2ED"/>
      </right>
      <top style="thin">
        <color rgb="FFD5E2ED"/>
      </top>
      <bottom style="thin">
        <color rgb="FFD5E2ED"/>
      </bottom>
      <diagonal/>
    </border>
    <border>
      <left/>
      <right/>
      <top style="thin">
        <color rgb="FFD5E2ED"/>
      </top>
      <bottom/>
      <diagonal/>
    </border>
    <border>
      <left/>
      <right style="thin">
        <color rgb="FFD5E2ED"/>
      </right>
      <top style="thin">
        <color rgb="FFD5E2ED"/>
      </top>
      <bottom/>
      <diagonal/>
    </border>
    <border>
      <left/>
      <right style="thin">
        <color rgb="FFD5E2ED"/>
      </right>
      <top style="thin">
        <color rgb="FFD5E2ED"/>
      </top>
      <bottom style="thin">
        <color rgb="FFD5E2ED"/>
      </bottom>
      <diagonal/>
    </border>
    <border>
      <left/>
      <right/>
      <top style="thin">
        <color rgb="FFD5E2ED"/>
      </top>
      <bottom style="thin">
        <color rgb="FFD5E2E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/>
    </xf>
    <xf numFmtId="0" fontId="9" fillId="4" borderId="0" applyAlignment="1" applyProtection="1" pivotButton="0" quotePrefix="0" xfId="0">
      <alignment horizontal="center" vertical="center" wrapText="1"/>
      <protection locked="0" hidden="0"/>
    </xf>
    <xf numFmtId="164" fontId="9" fillId="4" borderId="0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9" fillId="8" borderId="1" applyAlignment="1" applyProtection="1" pivotButton="0" quotePrefix="0" xfId="0">
      <alignment horizontal="left" vertical="center"/>
      <protection locked="0" hidden="0"/>
    </xf>
    <xf numFmtId="0" fontId="11" fillId="3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165" fontId="13" fillId="5" borderId="0" applyAlignment="1" pivotButton="0" quotePrefix="0" xfId="0">
      <alignment horizontal="center" vertical="center" wrapText="1"/>
    </xf>
    <xf numFmtId="165" fontId="13" fillId="6" borderId="0" applyAlignment="1" pivotButton="0" quotePrefix="0" xfId="0">
      <alignment horizontal="center" vertical="center" wrapText="1"/>
    </xf>
    <xf numFmtId="165" fontId="13" fillId="7" borderId="0" applyAlignment="1" pivotButton="0" quotePrefix="0" xfId="0">
      <alignment horizontal="center" vertical="center" wrapText="1"/>
    </xf>
    <xf numFmtId="165" fontId="13" fillId="4" borderId="0" applyAlignment="1" pivotButton="0" quotePrefix="0" xfId="0">
      <alignment horizontal="center" vertical="center"/>
    </xf>
    <xf numFmtId="165" fontId="11" fillId="3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left" vertical="center"/>
    </xf>
    <xf numFmtId="165" fontId="11" fillId="3" borderId="1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165" fontId="11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5" fontId="9" fillId="8" borderId="1" applyAlignment="1" applyProtection="1" pivotButton="0" quotePrefix="0" xfId="0">
      <alignment horizontal="center" vertical="center" wrapText="1"/>
      <protection locked="0" hidden="0"/>
    </xf>
    <xf numFmtId="166" fontId="11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general" vertical="bottom"/>
    </xf>
    <xf numFmtId="165" fontId="7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center" vertical="center" wrapText="1"/>
    </xf>
    <xf numFmtId="164" fontId="9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center" vertical="center" wrapText="1"/>
      <protection locked="0" hidden="0"/>
    </xf>
    <xf numFmtId="164" fontId="9" fillId="9" borderId="1" applyAlignment="1" applyProtection="1" pivotButton="0" quotePrefix="0" xfId="0">
      <alignment horizontal="center" vertical="center" wrapText="1"/>
      <protection locked="0" hidden="0"/>
    </xf>
    <xf numFmtId="0" fontId="9" fillId="9" borderId="1" applyAlignment="1" applyProtection="1" pivotButton="0" quotePrefix="0" xfId="0">
      <alignment horizontal="center" vertical="center" wrapText="1"/>
      <protection locked="0" hidden="0"/>
    </xf>
    <xf numFmtId="0" fontId="9" fillId="9" borderId="1" applyAlignment="1" applyProtection="1" pivotButton="0" quotePrefix="0" xfId="0">
      <alignment horizontal="left" vertical="center"/>
      <protection locked="0" hidden="0"/>
    </xf>
    <xf numFmtId="165" fontId="9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bottom"/>
    </xf>
    <xf numFmtId="0" fontId="9" fillId="4" borderId="0" applyAlignment="1" applyProtection="1" pivotButton="0" quotePrefix="0" xfId="0">
      <alignment horizontal="center" vertical="center" wrapText="1"/>
      <protection locked="0" hidden="0"/>
    </xf>
    <xf numFmtId="164" fontId="9" fillId="4" borderId="0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general" vertical="bottom"/>
    </xf>
    <xf numFmtId="0" fontId="9" fillId="8" borderId="1" applyAlignment="1" applyProtection="1" pivotButton="0" quotePrefix="0" xfId="0">
      <alignment horizontal="left" vertical="center"/>
      <protection locked="0" hidden="0"/>
    </xf>
    <xf numFmtId="0" fontId="11" fillId="3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165" fontId="13" fillId="5" borderId="0" applyAlignment="1" pivotButton="0" quotePrefix="0" xfId="0">
      <alignment horizontal="center" vertical="center" wrapText="1"/>
    </xf>
    <xf numFmtId="165" fontId="13" fillId="6" borderId="0" applyAlignment="1" pivotButton="0" quotePrefix="0" xfId="0">
      <alignment horizontal="center" vertical="center" wrapText="1"/>
    </xf>
    <xf numFmtId="165" fontId="13" fillId="7" borderId="0" applyAlignment="1" pivotButton="0" quotePrefix="0" xfId="0">
      <alignment horizontal="center" vertical="center" wrapText="1"/>
    </xf>
    <xf numFmtId="165" fontId="13" fillId="4" borderId="0" applyAlignment="1" pivotButton="0" quotePrefix="0" xfId="0">
      <alignment horizontal="center" vertical="center"/>
    </xf>
    <xf numFmtId="0" fontId="0" fillId="0" borderId="4" pivotButton="0" quotePrefix="0" xfId="0"/>
    <xf numFmtId="165" fontId="11" fillId="3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left" vertical="center"/>
    </xf>
    <xf numFmtId="165" fontId="11" fillId="3" borderId="1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0" borderId="5" pivotButton="0" quotePrefix="0" xfId="0"/>
    <xf numFmtId="165" fontId="11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5" fontId="9" fillId="8" borderId="1" applyAlignment="1" applyProtection="1" pivotButton="0" quotePrefix="0" xfId="0">
      <alignment horizontal="center" vertical="center" wrapText="1"/>
      <protection locked="0" hidden="0"/>
    </xf>
    <xf numFmtId="166" fontId="11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general" vertical="bottom"/>
    </xf>
    <xf numFmtId="165" fontId="7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center" vertical="center" wrapText="1"/>
    </xf>
    <xf numFmtId="164" fontId="9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center" vertical="center" wrapText="1"/>
      <protection locked="0" hidden="0"/>
    </xf>
    <xf numFmtId="164" fontId="9" fillId="9" borderId="1" applyAlignment="1" applyProtection="1" pivotButton="0" quotePrefix="0" xfId="0">
      <alignment horizontal="center" vertical="center" wrapText="1"/>
      <protection locked="0" hidden="0"/>
    </xf>
    <xf numFmtId="0" fontId="9" fillId="9" borderId="1" applyAlignment="1" applyProtection="1" pivotButton="0" quotePrefix="0" xfId="0">
      <alignment horizontal="center" vertical="center" wrapText="1"/>
      <protection locked="0" hidden="0"/>
    </xf>
    <xf numFmtId="0" fontId="9" fillId="9" borderId="1" applyAlignment="1" applyProtection="1" pivotButton="0" quotePrefix="0" xfId="0">
      <alignment horizontal="left" vertical="center"/>
      <protection locked="0" hidden="0"/>
    </xf>
    <xf numFmtId="165" fontId="9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B8A99"/>
      <rgbColor rgb="FF9999FF"/>
      <rgbColor rgb="FF993366"/>
      <rgbColor rgb="FFFBFCFD"/>
      <rgbColor rgb="FFDFF3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F3F6"/>
      <rgbColor rgb="FFEAF5EE"/>
      <rgbColor rgb="FFF6F9FB"/>
      <rgbColor rgb="FFD5E2ED"/>
      <rgbColor rgb="FFF1F5F9"/>
      <rgbColor rgb="FFCC99FF"/>
      <rgbColor rgb="FFE7ECFA"/>
      <rgbColor rgb="FF3E7CC0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566B"/>
      <rgbColor rgb="FF3A465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Spending by category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"Spent"</f>
              <strCache>
                <ptCount val="1"/>
                <pt idx="0">
                  <v>Spent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Dashboard!$B$20:$B$39</f>
              <strCache>
                <ptCount val="12"/>
                <pt idx="0">
                  <v>Rent or Mortgage</v>
                </pt>
                <pt idx="1">
                  <v>Utilities</v>
                </pt>
                <pt idx="2">
                  <v>Groceries</v>
                </pt>
                <pt idx="3">
                  <v>Transport</v>
                </pt>
                <pt idx="4">
                  <v>Dining out</v>
                </pt>
                <pt idx="5">
                  <v>Subscriptions</v>
                </pt>
                <pt idx="6">
                  <v>Health</v>
                </pt>
                <pt idx="7">
                  <v>Insurance</v>
                </pt>
                <pt idx="8">
                  <v>Phone and Internet</v>
                </pt>
                <pt idx="9">
                  <v>Shopping</v>
                </pt>
                <pt idx="10">
                  <v>Fun and Leisure</v>
                </pt>
                <pt idx="11">
                  <v>Gifts</v>
                </pt>
              </strCache>
            </strRef>
          </cat>
          <val>
            <numRef>
              <f>Dashboard!$C$20:$C$39</f>
              <numCache>
                <formatCode>\$#,##0.00;"($"#,##0.00\);\-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50005524"/>
        <axId val="68481604"/>
      </barChart>
      <catAx>
        <axId val="50005524"/>
        <scaling>
          <orientation val="maxMin"/>
        </scaling>
        <delete val="0"/>
        <axPos val="b"/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68481604"/>
        <crosses val="autoZero"/>
        <auto val="1"/>
        <lblAlgn val="ctr"/>
        <lblOffset val="100"/>
        <noMultiLvlLbl val="0"/>
      </catAx>
      <valAx>
        <axId val="68481604"/>
        <scaling>
          <orientation val="minMax"/>
        </scaling>
        <delete val="0"/>
        <axPos val="l"/>
        <majorGridlines>
          <spPr>
            <a:ln w="6480">
              <a:solidFill>
                <a:srgbClr val="b7b7b7"/>
              </a:solidFill>
              <a:prstDash val="solid"/>
              <a:round/>
            </a:ln>
          </spPr>
        </majorGridlines>
        <numFmt formatCode="\$#,##0.00;&quot;($&quot;#,##0.00\);\-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0005524"/>
        <crosses val="max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4</col>
      <colOff>0</colOff>
      <row>16</row>
      <rowOff>76320</rowOff>
    </from>
    <to>
      <col>14</col>
      <colOff>235800</colOff>
      <row>30</row>
      <rowOff>171000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6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48" min="1" max="1"/>
    <col width="12" customWidth="1" style="48" min="2" max="8"/>
    <col width="8.710000000000001" customWidth="1" style="48" min="9" max="26"/>
  </cols>
  <sheetData>
    <row r="1" ht="42" customHeight="1" s="49">
      <c r="A1" s="50" t="inlineStr">
        <is>
          <t>Start Here</t>
        </is>
      </c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21.75" customHeight="1" s="49">
      <c r="A2" s="52" t="inlineStr">
        <is>
          <t>A simple paycheck budget that does the math for you.</t>
        </is>
      </c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" customHeight="1" s="49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5" customHeight="1" s="49">
      <c r="A4" s="53" t="inlineStr">
        <is>
          <t>HOW IT WORKS</t>
        </is>
      </c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5" customHeight="1" s="49">
      <c r="A5" s="54" t="inlineStr">
        <is>
          <t>1. Setup</t>
        </is>
      </c>
      <c r="B5" s="51" t="n"/>
      <c r="C5" s="55" t="inlineStr">
        <is>
          <t>Enter your paychecks' dates, categories, accounts, funds and debts. Edit once.</t>
        </is>
      </c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5" customHeight="1" s="49">
      <c r="A6" s="54" t="inlineStr">
        <is>
          <t>2. Paycheck Budget</t>
        </is>
      </c>
      <c r="B6" s="51" t="n"/>
      <c r="C6" s="55" t="inlineStr">
        <is>
          <t>Plan each category across Paycheck 1 and Paycheck 2.</t>
        </is>
      </c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5" customHeight="1" s="49">
      <c r="A7" s="54" t="inlineStr">
        <is>
          <t>3. Transactions</t>
        </is>
      </c>
      <c r="B7" s="51" t="n"/>
      <c r="C7" s="55" t="inlineStr">
        <is>
          <t>Log income, expenses and transfers. Everything else fills in.</t>
        </is>
      </c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5" customHeight="1" s="49">
      <c r="A8" s="55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5" customHeight="1" s="49">
      <c r="A9" s="53" t="inlineStr">
        <is>
          <t>COLOR KEY</t>
        </is>
      </c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5" customHeight="1" s="49">
      <c r="A10" s="54" t="inlineStr">
        <is>
          <t>Blue text</t>
        </is>
      </c>
      <c r="B10" s="51" t="n"/>
      <c r="C10" s="55" t="inlineStr">
        <is>
          <t>You type it.</t>
        </is>
      </c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 ht="15" customHeight="1" s="49">
      <c r="A11" s="54" t="inlineStr">
        <is>
          <t>Dark text</t>
        </is>
      </c>
      <c r="B11" s="51" t="n"/>
      <c r="C11" s="55" t="inlineStr">
        <is>
          <t>Calculated — do not edit.</t>
        </is>
      </c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 ht="15" customHeight="1" s="49">
      <c r="A12" s="55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15" customHeight="1" s="49">
      <c r="A13" s="53" t="inlineStr">
        <is>
          <t>THE TABS</t>
        </is>
      </c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15" customHeight="1" s="49">
      <c r="A14" s="54" t="inlineStr">
        <is>
          <t>Setup</t>
        </is>
      </c>
      <c r="B14" s="51" t="n"/>
      <c r="C14" s="55" t="inlineStr">
        <is>
          <t>Your paychecks, categories, accounts, funds, debts.</t>
        </is>
      </c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15" customHeight="1" s="49">
      <c r="A15" s="54" t="inlineStr">
        <is>
          <t>Dashboard</t>
        </is>
      </c>
      <c r="B15" s="51" t="n"/>
      <c r="C15" s="55" t="inlineStr">
        <is>
          <t>Your month at a glance. Updates itself.</t>
        </is>
      </c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 ht="15" customHeight="1" s="49">
      <c r="A16" s="54" t="inlineStr">
        <is>
          <t>Paycheck Budget</t>
        </is>
      </c>
      <c r="B16" s="51" t="n"/>
      <c r="C16" s="55" t="inlineStr">
        <is>
          <t>Plan vs actual, split by paycheck.</t>
        </is>
      </c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 ht="15" customHeight="1" s="49">
      <c r="A17" s="54" t="inlineStr">
        <is>
          <t>Transactions</t>
        </is>
      </c>
      <c r="B17" s="51" t="n"/>
      <c r="C17" s="55" t="inlineStr">
        <is>
          <t>Log income, expenses and transfers.</t>
        </is>
      </c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5" customHeight="1" s="49">
      <c r="A18" s="54" t="inlineStr">
        <is>
          <t>Bill Calendar</t>
        </is>
      </c>
      <c r="B18" s="51" t="n"/>
      <c r="C18" s="55" t="inlineStr">
        <is>
          <t>Weekly to yearly bills shown as a fair monthly cost.</t>
        </is>
      </c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5" customHeight="1" s="49">
      <c r="A19" s="54" t="inlineStr">
        <is>
          <t>Savings</t>
        </is>
      </c>
      <c r="B19" s="51" t="n"/>
      <c r="C19" s="55" t="inlineStr">
        <is>
          <t>Sinking funds with progress to each goal.</t>
        </is>
      </c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" customHeight="1" s="49">
      <c r="A20" s="54" t="inlineStr">
        <is>
          <t>Debt</t>
        </is>
      </c>
      <c r="B20" s="51" t="n"/>
      <c r="C20" s="55" t="inlineStr">
        <is>
          <t>List debts smallest first and watch them shrink.</t>
        </is>
      </c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" customHeight="1" s="49">
      <c r="A21" s="55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" customHeight="1" s="49">
      <c r="A22" s="55" t="inlineStr">
        <is>
          <t>Works in Google Sheets AND Excel. Formulas are protected — only the blue cells are yours to edit.</t>
        </is>
      </c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" customHeight="1" s="49">
      <c r="A23" s="55" t="inlineStr">
        <is>
          <t>This is an organisation tool, not financial advice.</t>
        </is>
      </c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" customHeight="1" s="49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" customHeight="1" s="49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" customHeight="1" s="49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" customHeight="1" s="49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" customHeight="1" s="49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" customHeight="1" s="4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" customHeight="1" s="49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" customHeight="1" s="49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" customHeight="1" s="49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" customHeight="1" s="49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" customHeight="1" s="49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" customHeight="1" s="49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" customHeight="1" s="49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" customHeight="1" s="49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" customHeight="1" s="49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" customHeight="1" s="49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" customHeight="1" s="49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" customHeight="1" s="49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" customHeight="1" s="49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" customHeight="1" s="49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" customHeight="1" s="49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" customHeight="1" s="49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" customHeight="1" s="49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" customHeight="1" s="49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" customHeight="1" s="49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" customHeight="1" s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" customHeight="1" s="49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" customHeight="1" s="49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" customHeight="1" s="49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" customHeight="1" s="49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" customHeight="1" s="49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" customHeight="1" s="49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" customHeight="1" s="49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" customHeight="1" s="49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" customHeight="1" s="49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" customHeight="1" s="49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" customHeight="1" s="49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" customHeight="1" s="49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" customHeight="1" s="49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" customHeight="1" s="49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49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49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49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49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49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49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7">
    <mergeCell ref="A9:H9"/>
    <mergeCell ref="A4:H4"/>
    <mergeCell ref="C6:H6"/>
    <mergeCell ref="C10:H10"/>
    <mergeCell ref="C11:H11"/>
    <mergeCell ref="C16:H16"/>
    <mergeCell ref="C19:H19"/>
    <mergeCell ref="A1:H1"/>
    <mergeCell ref="C14:H14"/>
    <mergeCell ref="C5:H5"/>
    <mergeCell ref="A2:H2"/>
    <mergeCell ref="C17:H17"/>
    <mergeCell ref="A13:H13"/>
    <mergeCell ref="C18:H18"/>
    <mergeCell ref="C20:H20"/>
    <mergeCell ref="C7:H7"/>
    <mergeCell ref="C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8" min="1" max="1"/>
    <col width="18" customWidth="1" style="48" min="2" max="2"/>
    <col width="4" customWidth="1" style="48" min="3" max="3"/>
    <col width="20" customWidth="1" style="48" min="4" max="4"/>
    <col width="13" customWidth="1" style="48" min="5" max="6"/>
    <col width="3" customWidth="1" style="48" min="7" max="7"/>
    <col width="19.71" customWidth="1" style="48" min="8" max="8"/>
    <col width="12" customWidth="1" style="48" min="9" max="9"/>
    <col width="18.14" customWidth="1" style="48" min="10" max="10"/>
    <col width="13" customWidth="1" style="48" min="11" max="12"/>
    <col width="9" customWidth="1" style="48" min="13" max="13"/>
    <col width="11" customWidth="1" style="48" min="14" max="15"/>
    <col hidden="1" width="8.710000000000001" customWidth="1" style="48" min="16" max="16"/>
    <col width="8.710000000000001" customWidth="1" style="48" min="17" max="26"/>
  </cols>
  <sheetData>
    <row r="1" ht="42" customHeight="1" s="49">
      <c r="A1" s="50" t="inlineStr">
        <is>
          <t>Setup</t>
        </is>
      </c>
      <c r="L1" s="56" t="n"/>
      <c r="M1" s="56" t="n"/>
      <c r="N1" s="56" t="n"/>
      <c r="O1" s="56" t="n"/>
      <c r="P1" s="56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21.75" customHeight="1" s="49">
      <c r="A2" s="52" t="inlineStr">
        <is>
          <t>Edit once — your paychecks, categories, accounts, funds and debts.</t>
        </is>
      </c>
      <c r="L2" s="57" t="n"/>
      <c r="M2" s="57" t="n"/>
      <c r="N2" s="57" t="n"/>
      <c r="O2" s="57" t="n"/>
      <c r="P2" s="57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" customHeight="1" s="49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3.5" customHeight="1" s="49">
      <c r="A4" s="51" t="n"/>
      <c r="B4" s="58" t="inlineStr">
        <is>
          <t>Currency</t>
        </is>
      </c>
      <c r="C4" s="59" t="inlineStr">
        <is>
          <t>$</t>
        </is>
      </c>
      <c r="D4" s="51" t="n"/>
      <c r="E4" s="54" t="inlineStr">
        <is>
          <t>Month start</t>
        </is>
      </c>
      <c r="F4" s="60" t="n">
        <v>46204</v>
      </c>
      <c r="G4" s="51" t="n"/>
      <c r="H4" s="54" t="inlineStr">
        <is>
          <t>Paycheck 1 date</t>
        </is>
      </c>
      <c r="I4" s="60" t="n">
        <v>46206</v>
      </c>
      <c r="J4" s="54" t="inlineStr">
        <is>
          <t>Paycheck 2 date</t>
        </is>
      </c>
      <c r="K4" s="60" t="n">
        <v>46220</v>
      </c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5" customHeight="1" s="49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91.25" customHeight="1" s="49">
      <c r="A6" s="51" t="n"/>
      <c r="B6" s="61" t="inlineStr">
        <is>
          <t>INCOME SOURCES</t>
        </is>
      </c>
      <c r="C6" s="51" t="n"/>
      <c r="D6" s="62" t="inlineStr">
        <is>
          <t>EXPENSE CATEGORIES</t>
        </is>
      </c>
      <c r="E6" s="51" t="n"/>
      <c r="F6" s="63" t="inlineStr">
        <is>
          <t>ACCOUNTS</t>
        </is>
      </c>
      <c r="G6" s="51" t="n"/>
      <c r="H6" s="61" t="inlineStr">
        <is>
          <t>SAVINGS FUNDS</t>
        </is>
      </c>
      <c r="I6" s="51" t="n"/>
      <c r="J6" s="63" t="inlineStr">
        <is>
          <t>DEBTS</t>
        </is>
      </c>
      <c r="K6" s="51" t="n"/>
      <c r="L6" s="51" t="n"/>
      <c r="M6" s="64" t="inlineStr">
        <is>
          <t>freq</t>
        </is>
      </c>
      <c r="N6" s="64" t="inlineStr">
        <is>
          <t>x / month</t>
        </is>
      </c>
      <c r="O6" s="51" t="n"/>
      <c r="P6" s="65" t="inlineStr">
        <is>
          <t>categories + funds — helper for the Transactions dropdown, you can hide column P</t>
        </is>
      </c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5" customHeight="1" s="49">
      <c r="A7" s="51" t="n"/>
      <c r="B7" s="66" t="inlineStr">
        <is>
          <t>Paycheck 1</t>
        </is>
      </c>
      <c r="C7" s="51" t="n"/>
      <c r="D7" s="66" t="inlineStr">
        <is>
          <t>Rent or Mortgage</t>
        </is>
      </c>
      <c r="E7" s="51" t="n"/>
      <c r="F7" s="66" t="inlineStr">
        <is>
          <t>Checking</t>
        </is>
      </c>
      <c r="G7" s="51" t="n"/>
      <c r="H7" s="66" t="inlineStr">
        <is>
          <t>Emergency Fund</t>
        </is>
      </c>
      <c r="I7" s="51" t="n"/>
      <c r="J7" s="66" t="inlineStr">
        <is>
          <t>Credit Card</t>
        </is>
      </c>
      <c r="K7" s="51" t="n"/>
      <c r="L7" s="51" t="n"/>
      <c r="M7" s="65" t="inlineStr">
        <is>
          <t>Weekly</t>
        </is>
      </c>
      <c r="N7" s="67" t="n">
        <v>4.3333</v>
      </c>
      <c r="O7" s="51" t="n"/>
      <c r="P7" s="65">
        <f>IF(D7="","",D7)</f>
        <v/>
      </c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5" customHeight="1" s="49">
      <c r="A8" s="51" t="n"/>
      <c r="B8" s="66" t="inlineStr">
        <is>
          <t>Paycheck 2</t>
        </is>
      </c>
      <c r="C8" s="51" t="n"/>
      <c r="D8" s="66" t="inlineStr">
        <is>
          <t>Utilities</t>
        </is>
      </c>
      <c r="E8" s="51" t="n"/>
      <c r="F8" s="66" t="inlineStr">
        <is>
          <t>Savings</t>
        </is>
      </c>
      <c r="G8" s="51" t="n"/>
      <c r="H8" s="66" t="inlineStr">
        <is>
          <t>Holiday</t>
        </is>
      </c>
      <c r="I8" s="51" t="n"/>
      <c r="J8" s="66" t="inlineStr">
        <is>
          <t>Car loan</t>
        </is>
      </c>
      <c r="K8" s="51" t="n"/>
      <c r="L8" s="51" t="n"/>
      <c r="M8" s="65" t="inlineStr">
        <is>
          <t>Biweekly</t>
        </is>
      </c>
      <c r="N8" s="67" t="n">
        <v>2.1667</v>
      </c>
      <c r="O8" s="51" t="n"/>
      <c r="P8" s="65">
        <f>IF(D8="","",D8)</f>
        <v/>
      </c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5" customHeight="1" s="49">
      <c r="A9" s="51" t="n"/>
      <c r="B9" s="66" t="inlineStr">
        <is>
          <t>Extra Income</t>
        </is>
      </c>
      <c r="C9" s="51" t="n"/>
      <c r="D9" s="66" t="inlineStr">
        <is>
          <t>Groceries</t>
        </is>
      </c>
      <c r="E9" s="51" t="n"/>
      <c r="F9" s="66" t="inlineStr">
        <is>
          <t>Cash</t>
        </is>
      </c>
      <c r="G9" s="51" t="n"/>
      <c r="H9" s="66" t="inlineStr">
        <is>
          <t>New Car</t>
        </is>
      </c>
      <c r="I9" s="51" t="n"/>
      <c r="J9" s="66" t="inlineStr">
        <is>
          <t>Student loan</t>
        </is>
      </c>
      <c r="K9" s="51" t="n"/>
      <c r="L9" s="51" t="n"/>
      <c r="M9" s="65" t="inlineStr">
        <is>
          <t>Monthly</t>
        </is>
      </c>
      <c r="N9" s="67" t="n">
        <v>1</v>
      </c>
      <c r="O9" s="51" t="n"/>
      <c r="P9" s="65">
        <f>IF(D9="","",D9)</f>
        <v/>
      </c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5" customHeight="1" s="49">
      <c r="A10" s="51" t="n"/>
      <c r="B10" s="66" t="n"/>
      <c r="C10" s="51" t="n"/>
      <c r="D10" s="66" t="inlineStr">
        <is>
          <t>Transport</t>
        </is>
      </c>
      <c r="E10" s="51" t="n"/>
      <c r="F10" s="66" t="inlineStr">
        <is>
          <t>Credit Card</t>
        </is>
      </c>
      <c r="G10" s="51" t="n"/>
      <c r="H10" s="66" t="inlineStr">
        <is>
          <t>Vacation</t>
        </is>
      </c>
      <c r="I10" s="51" t="n"/>
      <c r="J10" s="66" t="n"/>
      <c r="K10" s="51" t="n"/>
      <c r="L10" s="51" t="n"/>
      <c r="M10" s="65" t="inlineStr">
        <is>
          <t>Yearly</t>
        </is>
      </c>
      <c r="N10" s="67" t="n">
        <v>0.0833</v>
      </c>
      <c r="O10" s="51" t="n"/>
      <c r="P10" s="65">
        <f>IF(D10="","",D10)</f>
        <v/>
      </c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 ht="15" customHeight="1" s="49">
      <c r="A11" s="51" t="n"/>
      <c r="B11" s="66" t="n"/>
      <c r="C11" s="51" t="n"/>
      <c r="D11" s="66" t="inlineStr">
        <is>
          <t>Dining out</t>
        </is>
      </c>
      <c r="E11" s="51" t="n"/>
      <c r="F11" s="66" t="n"/>
      <c r="G11" s="51" t="n"/>
      <c r="H11" s="66" t="inlineStr">
        <is>
          <t>Home Repairs</t>
        </is>
      </c>
      <c r="I11" s="51" t="n"/>
      <c r="J11" s="66" t="n"/>
      <c r="K11" s="51" t="n"/>
      <c r="L11" s="51" t="n"/>
      <c r="M11" s="51" t="n"/>
      <c r="N11" s="51" t="n"/>
      <c r="O11" s="51" t="n"/>
      <c r="P11" s="65">
        <f>IF(D11="","",D11)</f>
        <v/>
      </c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 ht="15" customHeight="1" s="49">
      <c r="A12" s="51" t="n"/>
      <c r="B12" s="66" t="n"/>
      <c r="C12" s="51" t="n"/>
      <c r="D12" s="66" t="inlineStr">
        <is>
          <t>Subscriptions</t>
        </is>
      </c>
      <c r="E12" s="51" t="n"/>
      <c r="F12" s="66" t="n"/>
      <c r="G12" s="51" t="n"/>
      <c r="H12" s="66" t="n"/>
      <c r="I12" s="51" t="n"/>
      <c r="J12" s="66" t="n"/>
      <c r="K12" s="51" t="n"/>
      <c r="L12" s="51" t="n"/>
      <c r="M12" s="68" t="inlineStr">
        <is>
          <t>helper for Bill Calendar — you can hide columns M:N</t>
        </is>
      </c>
      <c r="N12" s="51" t="n"/>
      <c r="O12" s="51" t="n"/>
      <c r="P12" s="65">
        <f>IF(D12="","",D12)</f>
        <v/>
      </c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15" customHeight="1" s="49">
      <c r="A13" s="51" t="n"/>
      <c r="B13" s="51" t="n"/>
      <c r="C13" s="51" t="n"/>
      <c r="D13" s="66" t="inlineStr">
        <is>
          <t>Health</t>
        </is>
      </c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65">
        <f>IF(D13="","",D13)</f>
        <v/>
      </c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15" customHeight="1" s="49">
      <c r="A14" s="51" t="n"/>
      <c r="B14" s="51" t="n"/>
      <c r="C14" s="51" t="n"/>
      <c r="D14" s="66" t="inlineStr">
        <is>
          <t>Insurance</t>
        </is>
      </c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65">
        <f>IF(D14="","",D14)</f>
        <v/>
      </c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15" customHeight="1" s="49">
      <c r="A15" s="51" t="n"/>
      <c r="B15" s="51" t="n"/>
      <c r="C15" s="51" t="n"/>
      <c r="D15" s="66" t="inlineStr">
        <is>
          <t>Phone and Internet</t>
        </is>
      </c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65">
        <f>IF(D15="","",D15)</f>
        <v/>
      </c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 ht="15" customHeight="1" s="49">
      <c r="A16" s="51" t="n"/>
      <c r="B16" s="51" t="n"/>
      <c r="C16" s="51" t="n"/>
      <c r="D16" s="66" t="inlineStr">
        <is>
          <t>Shopping</t>
        </is>
      </c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65">
        <f>IF(D16="","",D16)</f>
        <v/>
      </c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 ht="15" customHeight="1" s="49">
      <c r="A17" s="51" t="n"/>
      <c r="B17" s="51" t="n"/>
      <c r="C17" s="51" t="n"/>
      <c r="D17" s="66" t="inlineStr">
        <is>
          <t>Fun and Leisure</t>
        </is>
      </c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65">
        <f>IF(D17="","",D17)</f>
        <v/>
      </c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5" customHeight="1" s="49">
      <c r="A18" s="51" t="n"/>
      <c r="B18" s="51" t="n"/>
      <c r="C18" s="51" t="n"/>
      <c r="D18" s="66" t="inlineStr">
        <is>
          <t>Gifts</t>
        </is>
      </c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65">
        <f>IF(D18="","",D18)</f>
        <v/>
      </c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5" customHeight="1" s="49">
      <c r="A19" s="51" t="n"/>
      <c r="B19" s="51" t="n"/>
      <c r="C19" s="51" t="n"/>
      <c r="D19" s="66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65">
        <f>IF(D19="","",D19)</f>
        <v/>
      </c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" customHeight="1" s="49">
      <c r="A20" s="51" t="n"/>
      <c r="B20" s="51" t="n"/>
      <c r="C20" s="51" t="n"/>
      <c r="D20" s="66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65">
        <f>IF(D20="","",D20)</f>
        <v/>
      </c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" customHeight="1" s="49">
      <c r="A21" s="51" t="n"/>
      <c r="B21" s="51" t="n"/>
      <c r="C21" s="51" t="n"/>
      <c r="D21" s="66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65">
        <f>IF(D21="","",D21)</f>
        <v/>
      </c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" customHeight="1" s="49">
      <c r="A22" s="51" t="n"/>
      <c r="B22" s="51" t="n"/>
      <c r="C22" s="51" t="n"/>
      <c r="D22" s="6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65">
        <f>IF(D22="","",D22)</f>
        <v/>
      </c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" customHeight="1" s="49">
      <c r="A23" s="51" t="n"/>
      <c r="B23" s="51" t="n"/>
      <c r="C23" s="51" t="n"/>
      <c r="D23" s="6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65">
        <f>IF(D23="","",D23)</f>
        <v/>
      </c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" customHeight="1" s="49">
      <c r="A24" s="51" t="n"/>
      <c r="B24" s="51" t="n"/>
      <c r="C24" s="51" t="n"/>
      <c r="D24" s="6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65">
        <f>IF(D24="","",D24)</f>
        <v/>
      </c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" customHeight="1" s="49">
      <c r="A25" s="51" t="n"/>
      <c r="B25" s="51" t="n"/>
      <c r="C25" s="51" t="n"/>
      <c r="D25" s="6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65">
        <f>IF(D25="","",D25)</f>
        <v/>
      </c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" customHeight="1" s="49">
      <c r="A26" s="51" t="n"/>
      <c r="B26" s="51" t="n"/>
      <c r="C26" s="51" t="n"/>
      <c r="D26" s="6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65">
        <f>IF(D26="","",D26)</f>
        <v/>
      </c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" customHeight="1" s="49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65">
        <f>IF(H7="","",H7)</f>
        <v/>
      </c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" customHeight="1" s="49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65">
        <f>IF(H8="","",H8)</f>
        <v/>
      </c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" customHeight="1" s="4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65">
        <f>IF(H9="","",H9)</f>
        <v/>
      </c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" customHeight="1" s="49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65">
        <f>IF(H10="","",H10)</f>
        <v/>
      </c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" customHeight="1" s="49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65">
        <f>IF(H11="","",H11)</f>
        <v/>
      </c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" customHeight="1" s="49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65">
        <f>IF(H12="","",H12)</f>
        <v/>
      </c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" customHeight="1" s="49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" customHeight="1" s="49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" customHeight="1" s="49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" customHeight="1" s="49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" customHeight="1" s="49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" customHeight="1" s="49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" customHeight="1" s="49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" customHeight="1" s="49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" customHeight="1" s="49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" customHeight="1" s="49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" customHeight="1" s="49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" customHeight="1" s="49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" customHeight="1" s="49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" customHeight="1" s="49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" customHeight="1" s="49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" customHeight="1" s="49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" customHeight="1" s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" customHeight="1" s="49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" customHeight="1" s="49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" customHeight="1" s="49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" customHeight="1" s="49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" customHeight="1" s="49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" customHeight="1" s="49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" customHeight="1" s="49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" customHeight="1" s="49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" customHeight="1" s="49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" customHeight="1" s="49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" customHeight="1" s="49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" customHeight="1" s="49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" customHeight="1" s="49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" customHeight="1" s="49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8" min="1" max="1"/>
    <col width="18" customWidth="1" style="48" min="2" max="2"/>
    <col width="14" customWidth="1" style="48" min="3" max="3"/>
    <col width="16" customWidth="1" style="48" min="4" max="5"/>
    <col width="14" customWidth="1" style="48" min="6" max="6"/>
    <col width="18" customWidth="1" style="48" min="7" max="7"/>
    <col width="16" customWidth="1" style="48" min="8" max="9"/>
    <col width="8.43" customWidth="1" style="48" min="10" max="11"/>
    <col width="8.710000000000001" customWidth="1" style="48" min="12" max="26"/>
  </cols>
  <sheetData>
    <row r="1" ht="42" customHeight="1" s="49">
      <c r="A1" s="50" t="inlineStr">
        <is>
          <t>Dashboard</t>
        </is>
      </c>
      <c r="L1" s="56" t="n"/>
      <c r="M1" s="56" t="n"/>
      <c r="N1" s="56" t="n"/>
      <c r="O1" s="56" t="n"/>
      <c r="P1" s="56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21.75" customHeight="1" s="49">
      <c r="A2" s="52" t="inlineStr">
        <is>
          <t>Nothing to fill in here. It updates itself from your tabs.</t>
        </is>
      </c>
      <c r="L2" s="57" t="n"/>
      <c r="M2" s="57" t="n"/>
      <c r="N2" s="57" t="n"/>
      <c r="O2" s="57" t="n"/>
      <c r="P2" s="57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" customHeight="1" s="49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5" customHeight="1" s="49">
      <c r="A4" s="54" t="n"/>
      <c r="B4" s="54">
        <f>CHOOSE(MONTH(Setup!$F$4),"January","February","March","April","May","June","July","August","September","October","November","December")&amp;" "&amp;YEAR(Setup!$F$4)</f>
        <v/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5" customHeight="1" s="49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23.25" customHeight="1" s="49">
      <c r="A6" s="51" t="n"/>
      <c r="B6" s="69" t="inlineStr">
        <is>
          <t>INCOME</t>
        </is>
      </c>
      <c r="D6" s="70" t="inlineStr">
        <is>
          <t>EXPENSES</t>
        </is>
      </c>
      <c r="F6" s="71" t="inlineStr">
        <is>
          <t>SAVED</t>
        </is>
      </c>
      <c r="H6" s="72" t="inlineStr">
        <is>
          <t>LEFT</t>
        </is>
      </c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30" customHeight="1" s="49">
      <c r="A7" s="51" t="n"/>
      <c r="B7" s="73">
        <f>SUMIFS(Transactions!$F$5:$F$504,Transactions!$B$5:$B$504,"Income",Transactions!$A$5:$A$504,"&gt;="&amp;Setup!$F$4,Transactions!$A$5:$A$504,"&lt;"&amp;EDATE(Setup!$F$4,1))</f>
        <v/>
      </c>
      <c r="D7" s="74">
        <f>SUMIFS(Transactions!$F$5:$F$504,Transactions!$B$5:$B$504,"Expense",Transactions!$A$5:$A$504,"&gt;="&amp;Setup!$F$4,Transactions!$A$5:$A$504,"&lt;"&amp;EDATE(Setup!$F$4,1))</f>
        <v/>
      </c>
      <c r="F7" s="75">
        <f>SUMIFS(Transactions!$F$5:$F$504,Transactions!$B$5:$B$504,"Transfer",Transactions!$A$5:$A$504,"&gt;="&amp;Setup!$F$4,Transactions!$A$5:$A$504,"&lt;"&amp;EDATE(Setup!$F$4,1))</f>
        <v/>
      </c>
      <c r="H7" s="76">
        <f>B7-D7-F7</f>
        <v/>
      </c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5" customHeight="1" s="49">
      <c r="A8" s="51" t="n"/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5" customHeight="1" s="4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5" customHeight="1" s="49">
      <c r="A10" s="51" t="n"/>
      <c r="B10" s="61" t="inlineStr">
        <is>
          <t>PAYCHECK SPLIT</t>
        </is>
      </c>
      <c r="C10" s="77" t="n"/>
      <c r="D10" s="51" t="n"/>
      <c r="E10" s="63" t="inlineStr">
        <is>
          <t>THIS MONTH</t>
        </is>
      </c>
      <c r="F10" s="77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 ht="15" customHeight="1" s="49">
      <c r="A11" s="51" t="n"/>
      <c r="B11" s="54" t="inlineStr">
        <is>
          <t>Paycheck 1</t>
        </is>
      </c>
      <c r="C11" s="78">
        <f>SUMIFS(Transactions!$F$5:$F$504,Transactions!$B$5:$B$504,"Income",Transactions!$E$5:$E$504,"1",Transactions!$A$5:$A$504,"&gt;="&amp;Setup!$F$4,Transactions!$A$5:$A$504,"&lt;"&amp;EDATE(Setup!$F$4,1))</f>
        <v/>
      </c>
      <c r="D11" s="51" t="n"/>
      <c r="E11" s="54" t="inlineStr">
        <is>
          <t>Budget planned</t>
        </is>
      </c>
      <c r="F11" s="78">
        <f>'Paycheck Budget'!D32</f>
        <v/>
      </c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 ht="15" customHeight="1" s="49">
      <c r="A12" s="51" t="n"/>
      <c r="B12" s="54" t="inlineStr">
        <is>
          <t>Paycheck 2</t>
        </is>
      </c>
      <c r="C12" s="78">
        <f>SUMIFS(Transactions!$F$5:$F$504,Transactions!$B$5:$B$504,"Income",Transactions!$E$5:$E$504,"2",Transactions!$A$5:$A$504,"&gt;="&amp;Setup!$F$4,Transactions!$A$5:$A$504,"&lt;"&amp;EDATE(Setup!$F$4,1))</f>
        <v/>
      </c>
      <c r="D12" s="51" t="n"/>
      <c r="E12" s="54" t="inlineStr">
        <is>
          <t>Bills / month</t>
        </is>
      </c>
      <c r="F12" s="78">
        <f>'Bill Calendar'!D17</f>
        <v/>
      </c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15" customHeight="1" s="49">
      <c r="A13" s="51" t="n"/>
      <c r="B13" s="51" t="n"/>
      <c r="C13" s="51" t="n"/>
      <c r="D13" s="51" t="n"/>
      <c r="E13" s="54" t="inlineStr">
        <is>
          <t>Saved to funds</t>
        </is>
      </c>
      <c r="F13" s="78">
        <f>SUMIFS(Transactions!$F$5:$F$504,Transactions!$B$5:$B$504,"Transfer",Transactions!$A$5:$A$504,"&gt;="&amp;Setup!$F$4,Transactions!$A$5:$A$504,"&lt;"&amp;EDATE(Setup!$F$4,1))</f>
        <v/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15" customHeight="1" s="49">
      <c r="A14" s="51" t="n"/>
      <c r="B14" s="51" t="n"/>
      <c r="C14" s="51" t="n"/>
      <c r="D14" s="51" t="n"/>
      <c r="E14" s="54" t="inlineStr">
        <is>
          <t>Debt remaining</t>
        </is>
      </c>
      <c r="F14" s="78">
        <f>Debt!D11</f>
        <v/>
      </c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15" customHeight="1" s="49">
      <c r="A15" s="51" t="n"/>
      <c r="B15" s="51" t="n"/>
      <c r="C15" s="51" t="n"/>
      <c r="D15" s="51" t="n"/>
      <c r="E15" s="54" t="inlineStr">
        <is>
          <t>Funds target</t>
        </is>
      </c>
      <c r="F15" s="78">
        <f>SUM(Savings!B5:B10)</f>
        <v/>
      </c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 ht="15" customHeight="1" s="49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 ht="15" customHeight="1" s="49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23.25" customHeight="1" s="49">
      <c r="A18" s="51" t="n"/>
      <c r="B18" s="62" t="inlineStr">
        <is>
          <t>SPENDING BY CATEGORY (this month)</t>
        </is>
      </c>
      <c r="C18" s="77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5" customHeight="1" s="49">
      <c r="A19" s="51" t="n"/>
      <c r="B19" s="64" t="inlineStr">
        <is>
          <t>Category</t>
        </is>
      </c>
      <c r="C19" s="64" t="inlineStr">
        <is>
          <t>Spent</t>
        </is>
      </c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" customHeight="1" s="49">
      <c r="A20" s="51" t="n"/>
      <c r="B20" s="79">
        <f>IF(Setup!D7="","",Setup!D7)</f>
        <v/>
      </c>
      <c r="C20" s="80">
        <f>IF(B20="","",SUMIFS(Transactions!$F$5:$F$504,Transactions!$B$5:$B$504,"Expense",Transactions!$C$5:$C$504,B20,Transactions!$A$5:$A$504,"&gt;="&amp;Setup!$F$4,Transactions!$A$5:$A$504,"&lt;"&amp;EDATE(Setup!$F$4,1)))</f>
        <v/>
      </c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" customHeight="1" s="49">
      <c r="A21" s="51" t="n"/>
      <c r="B21" s="79">
        <f>IF(Setup!D8="","",Setup!D8)</f>
        <v/>
      </c>
      <c r="C21" s="80">
        <f>IF(B21="","",SUMIFS(Transactions!$F$5:$F$504,Transactions!$B$5:$B$504,"Expense",Transactions!$C$5:$C$504,B21,Transactions!$A$5:$A$504,"&gt;="&amp;Setup!$F$4,Transactions!$A$5:$A$504,"&lt;"&amp;EDATE(Setup!$F$4,1)))</f>
        <v/>
      </c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" customHeight="1" s="49">
      <c r="A22" s="51" t="n"/>
      <c r="B22" s="79">
        <f>IF(Setup!D9="","",Setup!D9)</f>
        <v/>
      </c>
      <c r="C22" s="80">
        <f>IF(B22="","",SUMIFS(Transactions!$F$5:$F$504,Transactions!$B$5:$B$504,"Expense",Transactions!$C$5:$C$504,B22,Transactions!$A$5:$A$504,"&gt;="&amp;Setup!$F$4,Transactions!$A$5:$A$504,"&lt;"&amp;EDATE(Setup!$F$4,1)))</f>
        <v/>
      </c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" customHeight="1" s="49">
      <c r="A23" s="51" t="n"/>
      <c r="B23" s="79">
        <f>IF(Setup!D10="","",Setup!D10)</f>
        <v/>
      </c>
      <c r="C23" s="80">
        <f>IF(B23="","",SUMIFS(Transactions!$F$5:$F$504,Transactions!$B$5:$B$504,"Expense",Transactions!$C$5:$C$504,B23,Transactions!$A$5:$A$504,"&gt;="&amp;Setup!$F$4,Transactions!$A$5:$A$504,"&lt;"&amp;EDATE(Setup!$F$4,1)))</f>
        <v/>
      </c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" customHeight="1" s="49">
      <c r="A24" s="51" t="n"/>
      <c r="B24" s="79">
        <f>IF(Setup!D11="","",Setup!D11)</f>
        <v/>
      </c>
      <c r="C24" s="80">
        <f>IF(B24="","",SUMIFS(Transactions!$F$5:$F$504,Transactions!$B$5:$B$504,"Expense",Transactions!$C$5:$C$504,B24,Transactions!$A$5:$A$504,"&gt;="&amp;Setup!$F$4,Transactions!$A$5:$A$504,"&lt;"&amp;EDATE(Setup!$F$4,1)))</f>
        <v/>
      </c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" customHeight="1" s="49">
      <c r="A25" s="51" t="n"/>
      <c r="B25" s="79">
        <f>IF(Setup!D12="","",Setup!D12)</f>
        <v/>
      </c>
      <c r="C25" s="80">
        <f>IF(B25="","",SUMIFS(Transactions!$F$5:$F$504,Transactions!$B$5:$B$504,"Expense",Transactions!$C$5:$C$504,B25,Transactions!$A$5:$A$504,"&gt;="&amp;Setup!$F$4,Transactions!$A$5:$A$504,"&lt;"&amp;EDATE(Setup!$F$4,1)))</f>
        <v/>
      </c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" customHeight="1" s="49">
      <c r="A26" s="51" t="n"/>
      <c r="B26" s="79">
        <f>IF(Setup!D13="","",Setup!D13)</f>
        <v/>
      </c>
      <c r="C26" s="80">
        <f>IF(B26="","",SUMIFS(Transactions!$F$5:$F$504,Transactions!$B$5:$B$504,"Expense",Transactions!$C$5:$C$504,B26,Transactions!$A$5:$A$504,"&gt;="&amp;Setup!$F$4,Transactions!$A$5:$A$504,"&lt;"&amp;EDATE(Setup!$F$4,1)))</f>
        <v/>
      </c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" customHeight="1" s="49">
      <c r="A27" s="51" t="n"/>
      <c r="B27" s="79">
        <f>IF(Setup!D14="","",Setup!D14)</f>
        <v/>
      </c>
      <c r="C27" s="80">
        <f>IF(B27="","",SUMIFS(Transactions!$F$5:$F$504,Transactions!$B$5:$B$504,"Expense",Transactions!$C$5:$C$504,B27,Transactions!$A$5:$A$504,"&gt;="&amp;Setup!$F$4,Transactions!$A$5:$A$504,"&lt;"&amp;EDATE(Setup!$F$4,1)))</f>
        <v/>
      </c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" customHeight="1" s="49">
      <c r="A28" s="51" t="n"/>
      <c r="B28" s="79">
        <f>IF(Setup!D15="","",Setup!D15)</f>
        <v/>
      </c>
      <c r="C28" s="80">
        <f>IF(B28="","",SUMIFS(Transactions!$F$5:$F$504,Transactions!$B$5:$B$504,"Expense",Transactions!$C$5:$C$504,B28,Transactions!$A$5:$A$504,"&gt;="&amp;Setup!$F$4,Transactions!$A$5:$A$504,"&lt;"&amp;EDATE(Setup!$F$4,1)))</f>
        <v/>
      </c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" customHeight="1" s="49">
      <c r="A29" s="51" t="n"/>
      <c r="B29" s="79">
        <f>IF(Setup!D16="","",Setup!D16)</f>
        <v/>
      </c>
      <c r="C29" s="80">
        <f>IF(B29="","",SUMIFS(Transactions!$F$5:$F$504,Transactions!$B$5:$B$504,"Expense",Transactions!$C$5:$C$504,B29,Transactions!$A$5:$A$504,"&gt;="&amp;Setup!$F$4,Transactions!$A$5:$A$504,"&lt;"&amp;EDATE(Setup!$F$4,1)))</f>
        <v/>
      </c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" customHeight="1" s="49">
      <c r="A30" s="51" t="n"/>
      <c r="B30" s="79">
        <f>IF(Setup!D17="","",Setup!D17)</f>
        <v/>
      </c>
      <c r="C30" s="80">
        <f>IF(B30="","",SUMIFS(Transactions!$F$5:$F$504,Transactions!$B$5:$B$504,"Expense",Transactions!$C$5:$C$504,B30,Transactions!$A$5:$A$504,"&gt;="&amp;Setup!$F$4,Transactions!$A$5:$A$504,"&lt;"&amp;EDATE(Setup!$F$4,1)))</f>
        <v/>
      </c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" customHeight="1" s="49">
      <c r="A31" s="51" t="n"/>
      <c r="B31" s="79">
        <f>IF(Setup!D18="","",Setup!D18)</f>
        <v/>
      </c>
      <c r="C31" s="80">
        <f>IF(B31="","",SUMIFS(Transactions!$F$5:$F$504,Transactions!$B$5:$B$504,"Expense",Transactions!$C$5:$C$504,B31,Transactions!$A$5:$A$504,"&gt;="&amp;Setup!$F$4,Transactions!$A$5:$A$504,"&lt;"&amp;EDATE(Setup!$F$4,1)))</f>
        <v/>
      </c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" customHeight="1" s="49">
      <c r="A32" s="51" t="n"/>
      <c r="B32" s="79">
        <f>IF(Setup!D19="","",Setup!D19)</f>
        <v/>
      </c>
      <c r="C32" s="80">
        <f>IF(B32="","",SUMIFS(Transactions!$F$5:$F$504,Transactions!$B$5:$B$504,"Expense",Transactions!$C$5:$C$504,B32,Transactions!$A$5:$A$504,"&gt;="&amp;Setup!$F$4,Transactions!$A$5:$A$504,"&lt;"&amp;EDATE(Setup!$F$4,1)))</f>
        <v/>
      </c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" customHeight="1" s="49">
      <c r="A33" s="51" t="n"/>
      <c r="B33" s="79">
        <f>IF(Setup!D20="","",Setup!D20)</f>
        <v/>
      </c>
      <c r="C33" s="80">
        <f>IF(B33="","",SUMIFS(Transactions!$F$5:$F$504,Transactions!$B$5:$B$504,"Expense",Transactions!$C$5:$C$504,B33,Transactions!$A$5:$A$504,"&gt;="&amp;Setup!$F$4,Transactions!$A$5:$A$504,"&lt;"&amp;EDATE(Setup!$F$4,1)))</f>
        <v/>
      </c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" customHeight="1" s="49">
      <c r="A34" s="51" t="n"/>
      <c r="B34" s="79">
        <f>IF(Setup!D21="","",Setup!D21)</f>
        <v/>
      </c>
      <c r="C34" s="80">
        <f>IF(B34="","",SUMIFS(Transactions!$F$5:$F$504,Transactions!$B$5:$B$504,"Expense",Transactions!$C$5:$C$504,B34,Transactions!$A$5:$A$504,"&gt;="&amp;Setup!$F$4,Transactions!$A$5:$A$504,"&lt;"&amp;EDATE(Setup!$F$4,1)))</f>
        <v/>
      </c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" customHeight="1" s="49">
      <c r="A35" s="51" t="n"/>
      <c r="B35" s="79">
        <f>IF(Setup!D22="","",Setup!D22)</f>
        <v/>
      </c>
      <c r="C35" s="80">
        <f>IF(B35="","",SUMIFS(Transactions!$F$5:$F$504,Transactions!$B$5:$B$504,"Expense",Transactions!$C$5:$C$504,B35,Transactions!$A$5:$A$504,"&gt;="&amp;Setup!$F$4,Transactions!$A$5:$A$504,"&lt;"&amp;EDATE(Setup!$F$4,1)))</f>
        <v/>
      </c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" customHeight="1" s="49">
      <c r="A36" s="51" t="n"/>
      <c r="B36" s="79">
        <f>IF(Setup!D23="","",Setup!D23)</f>
        <v/>
      </c>
      <c r="C36" s="80">
        <f>IF(B36="","",SUMIFS(Transactions!$F$5:$F$504,Transactions!$B$5:$B$504,"Expense",Transactions!$C$5:$C$504,B36,Transactions!$A$5:$A$504,"&gt;="&amp;Setup!$F$4,Transactions!$A$5:$A$504,"&lt;"&amp;EDATE(Setup!$F$4,1)))</f>
        <v/>
      </c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" customHeight="1" s="49">
      <c r="A37" s="51" t="n"/>
      <c r="B37" s="79">
        <f>IF(Setup!D24="","",Setup!D24)</f>
        <v/>
      </c>
      <c r="C37" s="80">
        <f>IF(B37="","",SUMIFS(Transactions!$F$5:$F$504,Transactions!$B$5:$B$504,"Expense",Transactions!$C$5:$C$504,B37,Transactions!$A$5:$A$504,"&gt;="&amp;Setup!$F$4,Transactions!$A$5:$A$504,"&lt;"&amp;EDATE(Setup!$F$4,1)))</f>
        <v/>
      </c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" customHeight="1" s="49">
      <c r="A38" s="51" t="n"/>
      <c r="B38" s="79">
        <f>IF(Setup!D25="","",Setup!D25)</f>
        <v/>
      </c>
      <c r="C38" s="80">
        <f>IF(B38="","",SUMIFS(Transactions!$F$5:$F$504,Transactions!$B$5:$B$504,"Expense",Transactions!$C$5:$C$504,B38,Transactions!$A$5:$A$504,"&gt;="&amp;Setup!$F$4,Transactions!$A$5:$A$504,"&lt;"&amp;EDATE(Setup!$F$4,1)))</f>
        <v/>
      </c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" customHeight="1" s="49">
      <c r="A39" s="51" t="n"/>
      <c r="B39" s="79">
        <f>IF(Setup!D26="","",Setup!D26)</f>
        <v/>
      </c>
      <c r="C39" s="80">
        <f>IF(B39="","",SUMIFS(Transactions!$F$5:$F$504,Transactions!$B$5:$B$504,"Expense",Transactions!$C$5:$C$504,B39,Transactions!$A$5:$A$504,"&gt;="&amp;Setup!$F$4,Transactions!$A$5:$A$504,"&lt;"&amp;EDATE(Setup!$F$4,1)))</f>
        <v/>
      </c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" customHeight="1" s="49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" customHeight="1" s="49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" customHeight="1" s="49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" customHeight="1" s="49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" customHeight="1" s="49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" customHeight="1" s="49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" customHeight="1" s="49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" customHeight="1" s="49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" customHeight="1" s="49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" customHeight="1" s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" customHeight="1" s="49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" customHeight="1" s="49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" customHeight="1" s="49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" customHeight="1" s="49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" customHeight="1" s="49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" customHeight="1" s="49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" customHeight="1" s="49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" customHeight="1" s="49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" customHeight="1" s="49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" customHeight="1" s="49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" customHeight="1" s="49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" customHeight="1" s="49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" customHeight="1" s="49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" customHeight="1" s="49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">
    <mergeCell ref="D6:E6"/>
    <mergeCell ref="B6:C6"/>
    <mergeCell ref="D7:E7"/>
    <mergeCell ref="H6:I6"/>
    <mergeCell ref="B7:C7"/>
    <mergeCell ref="E10:F10"/>
    <mergeCell ref="H7:I7"/>
    <mergeCell ref="B10:C10"/>
    <mergeCell ref="A2:K2"/>
    <mergeCell ref="F6:G6"/>
    <mergeCell ref="B18:C18"/>
    <mergeCell ref="A1:K1"/>
    <mergeCell ref="F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0" customWidth="1" style="48" min="1" max="1"/>
    <col width="13" customWidth="1" style="48" min="2" max="3"/>
    <col width="14" customWidth="1" style="48" min="4" max="4"/>
    <col width="13" customWidth="1" style="48" min="5" max="6"/>
    <col width="10" customWidth="1" style="48" min="7" max="7"/>
    <col width="8.710000000000001" customWidth="1" style="48" min="8" max="26"/>
  </cols>
  <sheetData>
    <row r="1" ht="42" customHeight="1" s="49">
      <c r="A1" s="50" t="inlineStr">
        <is>
          <t>Paycheck Budget</t>
        </is>
      </c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21.75" customHeight="1" s="49">
      <c r="A2" s="81" t="inlineStr">
        <is>
          <t>Split each category across Paycheck 1 and Paycheck 2. Actual pulls from Transactions.</t>
        </is>
      </c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" customHeight="1" s="49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5" customHeight="1" s="49">
      <c r="A4" s="61" t="inlineStr">
        <is>
          <t>PAYCHECK INCOME THIS MONTH</t>
        </is>
      </c>
      <c r="B4" s="82" t="n"/>
      <c r="C4" s="77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5" customHeight="1" s="49">
      <c r="A5" s="54" t="inlineStr">
        <is>
          <t>Paycheck 1</t>
        </is>
      </c>
      <c r="B5" s="51" t="n"/>
      <c r="C5" s="83">
        <f>SUMIFS(Transactions!$F$5:$F$504,Transactions!$B$5:$B$504,"Income",Transactions!$E$5:$E$504,"1",Transactions!$A$5:$A$504,"&gt;="&amp;Setup!$F$4,Transactions!$A$5:$A$504,"&lt;"&amp;EDATE(Setup!$F$4,1))</f>
        <v/>
      </c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5" customHeight="1" s="49">
      <c r="A6" s="54" t="inlineStr">
        <is>
          <t>Paycheck 2</t>
        </is>
      </c>
      <c r="B6" s="51" t="n"/>
      <c r="C6" s="83">
        <f>SUMIFS(Transactions!$F$5:$F$504,Transactions!$B$5:$B$504,"Income",Transactions!$E$5:$E$504,"2",Transactions!$A$5:$A$504,"&gt;="&amp;Setup!$F$4,Transactions!$A$5:$A$504,"&lt;"&amp;EDATE(Setup!$F$4,1))</f>
        <v/>
      </c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5" customHeight="1" s="49">
      <c r="A7" s="54" t="inlineStr">
        <is>
          <t>Extra</t>
        </is>
      </c>
      <c r="B7" s="51" t="n"/>
      <c r="C7" s="83">
        <f>SUMIFS(Transactions!$F$5:$F$504,Transactions!$B$5:$B$504,"Income",Transactions!$E$5:$E$504,"Extra",Transactions!$A$5:$A$504,"&gt;="&amp;Setup!$F$4,Transactions!$A$5:$A$504,"&lt;"&amp;EDATE(Setup!$F$4,1))</f>
        <v/>
      </c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5" customHeight="1" s="49">
      <c r="A8" s="54" t="inlineStr">
        <is>
          <t>Total to budget</t>
        </is>
      </c>
      <c r="B8" s="51" t="n"/>
      <c r="C8" s="84">
        <f>SUM(C5:C7)</f>
        <v/>
      </c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5" customHeight="1" s="49">
      <c r="A9" s="54" t="inlineStr">
        <is>
          <t>Left to budget</t>
        </is>
      </c>
      <c r="B9" s="51" t="n"/>
      <c r="C9" s="84">
        <f>C8-D32</f>
        <v/>
      </c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5" customHeight="1" s="49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 ht="15" customHeight="1" s="49">
      <c r="A11" s="64" t="inlineStr">
        <is>
          <t>Category</t>
        </is>
      </c>
      <c r="B11" s="64" t="inlineStr">
        <is>
          <t>Planned P1</t>
        </is>
      </c>
      <c r="C11" s="64" t="inlineStr">
        <is>
          <t>Planned P2</t>
        </is>
      </c>
      <c r="D11" s="64" t="inlineStr">
        <is>
          <t>Total Planned</t>
        </is>
      </c>
      <c r="E11" s="64" t="inlineStr">
        <is>
          <t>Actual</t>
        </is>
      </c>
      <c r="F11" s="64" t="inlineStr">
        <is>
          <t>Left</t>
        </is>
      </c>
      <c r="G11" s="64" t="inlineStr">
        <is>
          <t>% used</t>
        </is>
      </c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 ht="15" customHeight="1" s="49">
      <c r="A12" s="79">
        <f>IF(Setup!D7="","",Setup!D7)</f>
        <v/>
      </c>
      <c r="B12" s="85" t="n">
        <v>1450</v>
      </c>
      <c r="C12" s="85" t="n">
        <v>0</v>
      </c>
      <c r="D12" s="83">
        <f>B12+C12</f>
        <v/>
      </c>
      <c r="E12" s="83">
        <f>IF($A12="","",SUMIFS(Transactions!$F$5:$F$504,Transactions!$B$5:$B$504,"Expense",Transactions!$C$5:$C$504,$A12,Transactions!$A$5:$A$504,"&gt;="&amp;Setup!$F$4,Transactions!$A$5:$A$504,"&lt;"&amp;EDATE(Setup!$F$4,1)))</f>
        <v/>
      </c>
      <c r="F12" s="83">
        <f>IF($A12="","",D12-E12)</f>
        <v/>
      </c>
      <c r="G12" s="86">
        <f>IF(OR($A12="",D12=0),"",E12/D12)</f>
        <v/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15" customHeight="1" s="49">
      <c r="A13" s="79">
        <f>IF(Setup!D8="","",Setup!D8)</f>
        <v/>
      </c>
      <c r="B13" s="85" t="n">
        <v>90</v>
      </c>
      <c r="C13" s="85" t="n">
        <v>90</v>
      </c>
      <c r="D13" s="83">
        <f>B13+C13</f>
        <v/>
      </c>
      <c r="E13" s="83">
        <f>IF($A13="","",SUMIFS(Transactions!$F$5:$F$504,Transactions!$B$5:$B$504,"Expense",Transactions!$C$5:$C$504,$A13,Transactions!$A$5:$A$504,"&gt;="&amp;Setup!$F$4,Transactions!$A$5:$A$504,"&lt;"&amp;EDATE(Setup!$F$4,1)))</f>
        <v/>
      </c>
      <c r="F13" s="83">
        <f>IF($A13="","",D13-E13)</f>
        <v/>
      </c>
      <c r="G13" s="86">
        <f>IF(OR($A13="",D13=0),"",E13/D13)</f>
        <v/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15" customHeight="1" s="49">
      <c r="A14" s="79">
        <f>IF(Setup!D9="","",Setup!D9)</f>
        <v/>
      </c>
      <c r="B14" s="85" t="n">
        <v>260</v>
      </c>
      <c r="C14" s="85" t="n">
        <v>260</v>
      </c>
      <c r="D14" s="83">
        <f>B14+C14</f>
        <v/>
      </c>
      <c r="E14" s="83">
        <f>IF($A14="","",SUMIFS(Transactions!$F$5:$F$504,Transactions!$B$5:$B$504,"Expense",Transactions!$C$5:$C$504,$A14,Transactions!$A$5:$A$504,"&gt;="&amp;Setup!$F$4,Transactions!$A$5:$A$504,"&lt;"&amp;EDATE(Setup!$F$4,1)))</f>
        <v/>
      </c>
      <c r="F14" s="83">
        <f>IF($A14="","",D14-E14)</f>
        <v/>
      </c>
      <c r="G14" s="86">
        <f>IF(OR($A14="",D14=0),"",E14/D14)</f>
        <v/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15" customHeight="1" s="49">
      <c r="A15" s="79">
        <f>IF(Setup!D10="","",Setup!D10)</f>
        <v/>
      </c>
      <c r="B15" s="85" t="n">
        <v>120</v>
      </c>
      <c r="C15" s="85" t="n">
        <v>120</v>
      </c>
      <c r="D15" s="83">
        <f>B15+C15</f>
        <v/>
      </c>
      <c r="E15" s="83">
        <f>IF($A15="","",SUMIFS(Transactions!$F$5:$F$504,Transactions!$B$5:$B$504,"Expense",Transactions!$C$5:$C$504,$A15,Transactions!$A$5:$A$504,"&gt;="&amp;Setup!$F$4,Transactions!$A$5:$A$504,"&lt;"&amp;EDATE(Setup!$F$4,1)))</f>
        <v/>
      </c>
      <c r="F15" s="83">
        <f>IF($A15="","",D15-E15)</f>
        <v/>
      </c>
      <c r="G15" s="86">
        <f>IF(OR($A15="",D15=0),"",E15/D15)</f>
        <v/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 ht="15" customHeight="1" s="49">
      <c r="A16" s="79">
        <f>IF(Setup!D11="","",Setup!D11)</f>
        <v/>
      </c>
      <c r="B16" s="85" t="n">
        <v>80</v>
      </c>
      <c r="C16" s="85" t="n">
        <v>70</v>
      </c>
      <c r="D16" s="83">
        <f>B16+C16</f>
        <v/>
      </c>
      <c r="E16" s="83">
        <f>IF($A16="","",SUMIFS(Transactions!$F$5:$F$504,Transactions!$B$5:$B$504,"Expense",Transactions!$C$5:$C$504,$A16,Transactions!$A$5:$A$504,"&gt;="&amp;Setup!$F$4,Transactions!$A$5:$A$504,"&lt;"&amp;EDATE(Setup!$F$4,1)))</f>
        <v/>
      </c>
      <c r="F16" s="83">
        <f>IF($A16="","",D16-E16)</f>
        <v/>
      </c>
      <c r="G16" s="86">
        <f>IF(OR($A16="",D16=0),"",E16/D16)</f>
        <v/>
      </c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 ht="15" customHeight="1" s="49">
      <c r="A17" s="79">
        <f>IF(Setup!D12="","",Setup!D12)</f>
        <v/>
      </c>
      <c r="B17" s="85" t="n">
        <v>45</v>
      </c>
      <c r="C17" s="85" t="n">
        <v>0</v>
      </c>
      <c r="D17" s="83">
        <f>B17+C17</f>
        <v/>
      </c>
      <c r="E17" s="83">
        <f>IF($A17="","",SUMIFS(Transactions!$F$5:$F$504,Transactions!$B$5:$B$504,"Expense",Transactions!$C$5:$C$504,$A17,Transactions!$A$5:$A$504,"&gt;="&amp;Setup!$F$4,Transactions!$A$5:$A$504,"&lt;"&amp;EDATE(Setup!$F$4,1)))</f>
        <v/>
      </c>
      <c r="F17" s="83">
        <f>IF($A17="","",D17-E17)</f>
        <v/>
      </c>
      <c r="G17" s="86">
        <f>IF(OR($A17="",D17=0),"",E17/D17)</f>
        <v/>
      </c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5" customHeight="1" s="49">
      <c r="A18" s="79">
        <f>IF(Setup!D13="","",Setup!D13)</f>
        <v/>
      </c>
      <c r="B18" s="85" t="n">
        <v>60</v>
      </c>
      <c r="C18" s="85" t="n">
        <v>40</v>
      </c>
      <c r="D18" s="83">
        <f>B18+C18</f>
        <v/>
      </c>
      <c r="E18" s="83">
        <f>IF($A18="","",SUMIFS(Transactions!$F$5:$F$504,Transactions!$B$5:$B$504,"Expense",Transactions!$C$5:$C$504,$A18,Transactions!$A$5:$A$504,"&gt;="&amp;Setup!$F$4,Transactions!$A$5:$A$504,"&lt;"&amp;EDATE(Setup!$F$4,1)))</f>
        <v/>
      </c>
      <c r="F18" s="83">
        <f>IF($A18="","",D18-E18)</f>
        <v/>
      </c>
      <c r="G18" s="86">
        <f>IF(OR($A18="",D18=0),"",E18/D18)</f>
        <v/>
      </c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5" customHeight="1" s="49">
      <c r="A19" s="79">
        <f>IF(Setup!D14="","",Setup!D14)</f>
        <v/>
      </c>
      <c r="B19" s="85" t="n">
        <v>145</v>
      </c>
      <c r="C19" s="85" t="n">
        <v>0</v>
      </c>
      <c r="D19" s="83">
        <f>B19+C19</f>
        <v/>
      </c>
      <c r="E19" s="83">
        <f>IF($A19="","",SUMIFS(Transactions!$F$5:$F$504,Transactions!$B$5:$B$504,"Expense",Transactions!$C$5:$C$504,$A19,Transactions!$A$5:$A$504,"&gt;="&amp;Setup!$F$4,Transactions!$A$5:$A$504,"&lt;"&amp;EDATE(Setup!$F$4,1)))</f>
        <v/>
      </c>
      <c r="F19" s="83">
        <f>IF($A19="","",D19-E19)</f>
        <v/>
      </c>
      <c r="G19" s="86">
        <f>IF(OR($A19="",D19=0),"",E19/D19)</f>
        <v/>
      </c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" customHeight="1" s="49">
      <c r="A20" s="79">
        <f>IF(Setup!D15="","",Setup!D15)</f>
        <v/>
      </c>
      <c r="B20" s="85" t="n">
        <v>0</v>
      </c>
      <c r="C20" s="85" t="n">
        <v>85</v>
      </c>
      <c r="D20" s="83">
        <f>B20+C20</f>
        <v/>
      </c>
      <c r="E20" s="83">
        <f>IF($A20="","",SUMIFS(Transactions!$F$5:$F$504,Transactions!$B$5:$B$504,"Expense",Transactions!$C$5:$C$504,$A20,Transactions!$A$5:$A$504,"&gt;="&amp;Setup!$F$4,Transactions!$A$5:$A$504,"&lt;"&amp;EDATE(Setup!$F$4,1)))</f>
        <v/>
      </c>
      <c r="F20" s="83">
        <f>IF($A20="","",D20-E20)</f>
        <v/>
      </c>
      <c r="G20" s="86">
        <f>IF(OR($A20="",D20=0),"",E20/D20)</f>
        <v/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" customHeight="1" s="49">
      <c r="A21" s="79">
        <f>IF(Setup!D16="","",Setup!D16)</f>
        <v/>
      </c>
      <c r="B21" s="85" t="n">
        <v>100</v>
      </c>
      <c r="C21" s="85" t="n">
        <v>80</v>
      </c>
      <c r="D21" s="83">
        <f>B21+C21</f>
        <v/>
      </c>
      <c r="E21" s="83">
        <f>IF($A21="","",SUMIFS(Transactions!$F$5:$F$504,Transactions!$B$5:$B$504,"Expense",Transactions!$C$5:$C$504,$A21,Transactions!$A$5:$A$504,"&gt;="&amp;Setup!$F$4,Transactions!$A$5:$A$504,"&lt;"&amp;EDATE(Setup!$F$4,1)))</f>
        <v/>
      </c>
      <c r="F21" s="83">
        <f>IF($A21="","",D21-E21)</f>
        <v/>
      </c>
      <c r="G21" s="86">
        <f>IF(OR($A21="",D21=0),"",E21/D21)</f>
        <v/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" customHeight="1" s="49">
      <c r="A22" s="79">
        <f>IF(Setup!D17="","",Setup!D17)</f>
        <v/>
      </c>
      <c r="B22" s="85" t="n">
        <v>90</v>
      </c>
      <c r="C22" s="85" t="n">
        <v>70</v>
      </c>
      <c r="D22" s="83">
        <f>B22+C22</f>
        <v/>
      </c>
      <c r="E22" s="83">
        <f>IF($A22="","",SUMIFS(Transactions!$F$5:$F$504,Transactions!$B$5:$B$504,"Expense",Transactions!$C$5:$C$504,$A22,Transactions!$A$5:$A$504,"&gt;="&amp;Setup!$F$4,Transactions!$A$5:$A$504,"&lt;"&amp;EDATE(Setup!$F$4,1)))</f>
        <v/>
      </c>
      <c r="F22" s="83">
        <f>IF($A22="","",D22-E22)</f>
        <v/>
      </c>
      <c r="G22" s="86">
        <f>IF(OR($A22="",D22=0),"",E22/D22)</f>
        <v/>
      </c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" customHeight="1" s="49">
      <c r="A23" s="79">
        <f>IF(Setup!D18="","",Setup!D18)</f>
        <v/>
      </c>
      <c r="B23" s="85" t="n">
        <v>40</v>
      </c>
      <c r="C23" s="85" t="n">
        <v>30</v>
      </c>
      <c r="D23" s="83">
        <f>B23+C23</f>
        <v/>
      </c>
      <c r="E23" s="83">
        <f>IF($A23="","",SUMIFS(Transactions!$F$5:$F$504,Transactions!$B$5:$B$504,"Expense",Transactions!$C$5:$C$504,$A23,Transactions!$A$5:$A$504,"&gt;="&amp;Setup!$F$4,Transactions!$A$5:$A$504,"&lt;"&amp;EDATE(Setup!$F$4,1)))</f>
        <v/>
      </c>
      <c r="F23" s="83">
        <f>IF($A23="","",D23-E23)</f>
        <v/>
      </c>
      <c r="G23" s="86">
        <f>IF(OR($A23="",D23=0),"",E23/D23)</f>
        <v/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" customHeight="1" s="49">
      <c r="A24" s="79">
        <f>IF(Setup!D19="","",Setup!D19)</f>
        <v/>
      </c>
      <c r="B24" s="85" t="n"/>
      <c r="C24" s="85" t="n"/>
      <c r="D24" s="83">
        <f>B24+C24</f>
        <v/>
      </c>
      <c r="E24" s="83">
        <f>IF($A24="","",SUMIFS(Transactions!$F$5:$F$504,Transactions!$B$5:$B$504,"Expense",Transactions!$C$5:$C$504,$A24,Transactions!$A$5:$A$504,"&gt;="&amp;Setup!$F$4,Transactions!$A$5:$A$504,"&lt;"&amp;EDATE(Setup!$F$4,1)))</f>
        <v/>
      </c>
      <c r="F24" s="83">
        <f>IF($A24="","",D24-E24)</f>
        <v/>
      </c>
      <c r="G24" s="86">
        <f>IF(OR($A24="",D24=0),"",E24/D24)</f>
        <v/>
      </c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" customHeight="1" s="49">
      <c r="A25" s="79">
        <f>IF(Setup!D20="","",Setup!D20)</f>
        <v/>
      </c>
      <c r="B25" s="85" t="n"/>
      <c r="C25" s="85" t="n"/>
      <c r="D25" s="83">
        <f>B25+C25</f>
        <v/>
      </c>
      <c r="E25" s="83">
        <f>IF($A25="","",SUMIFS(Transactions!$F$5:$F$504,Transactions!$B$5:$B$504,"Expense",Transactions!$C$5:$C$504,$A25,Transactions!$A$5:$A$504,"&gt;="&amp;Setup!$F$4,Transactions!$A$5:$A$504,"&lt;"&amp;EDATE(Setup!$F$4,1)))</f>
        <v/>
      </c>
      <c r="F25" s="83">
        <f>IF($A25="","",D25-E25)</f>
        <v/>
      </c>
      <c r="G25" s="86">
        <f>IF(OR($A25="",D25=0),"",E25/D25)</f>
        <v/>
      </c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" customHeight="1" s="49">
      <c r="A26" s="79">
        <f>IF(Setup!D21="","",Setup!D21)</f>
        <v/>
      </c>
      <c r="B26" s="85" t="n"/>
      <c r="C26" s="85" t="n"/>
      <c r="D26" s="83">
        <f>B26+C26</f>
        <v/>
      </c>
      <c r="E26" s="83">
        <f>IF($A26="","",SUMIFS(Transactions!$F$5:$F$504,Transactions!$B$5:$B$504,"Expense",Transactions!$C$5:$C$504,$A26,Transactions!$A$5:$A$504,"&gt;="&amp;Setup!$F$4,Transactions!$A$5:$A$504,"&lt;"&amp;EDATE(Setup!$F$4,1)))</f>
        <v/>
      </c>
      <c r="F26" s="83">
        <f>IF($A26="","",D26-E26)</f>
        <v/>
      </c>
      <c r="G26" s="86">
        <f>IF(OR($A26="",D26=0),"",E26/D26)</f>
        <v/>
      </c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" customHeight="1" s="49">
      <c r="A27" s="79">
        <f>IF(Setup!D22="","",Setup!D22)</f>
        <v/>
      </c>
      <c r="B27" s="85" t="n"/>
      <c r="C27" s="85" t="n"/>
      <c r="D27" s="83">
        <f>B27+C27</f>
        <v/>
      </c>
      <c r="E27" s="83">
        <f>IF($A27="","",SUMIFS(Transactions!$F$5:$F$504,Transactions!$B$5:$B$504,"Expense",Transactions!$C$5:$C$504,$A27,Transactions!$A$5:$A$504,"&gt;="&amp;Setup!$F$4,Transactions!$A$5:$A$504,"&lt;"&amp;EDATE(Setup!$F$4,1)))</f>
        <v/>
      </c>
      <c r="F27" s="83">
        <f>IF($A27="","",D27-E27)</f>
        <v/>
      </c>
      <c r="G27" s="86">
        <f>IF(OR($A27="",D27=0),"",E27/D27)</f>
        <v/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" customHeight="1" s="49">
      <c r="A28" s="79">
        <f>IF(Setup!D23="","",Setup!D23)</f>
        <v/>
      </c>
      <c r="B28" s="85" t="n"/>
      <c r="C28" s="85" t="n"/>
      <c r="D28" s="83">
        <f>B28+C28</f>
        <v/>
      </c>
      <c r="E28" s="83">
        <f>IF($A28="","",SUMIFS(Transactions!$F$5:$F$504,Transactions!$B$5:$B$504,"Expense",Transactions!$C$5:$C$504,$A28,Transactions!$A$5:$A$504,"&gt;="&amp;Setup!$F$4,Transactions!$A$5:$A$504,"&lt;"&amp;EDATE(Setup!$F$4,1)))</f>
        <v/>
      </c>
      <c r="F28" s="83">
        <f>IF($A28="","",D28-E28)</f>
        <v/>
      </c>
      <c r="G28" s="86">
        <f>IF(OR($A28="",D28=0),"",E28/D28)</f>
        <v/>
      </c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" customHeight="1" s="49">
      <c r="A29" s="79">
        <f>IF(Setup!D24="","",Setup!D24)</f>
        <v/>
      </c>
      <c r="B29" s="85" t="n"/>
      <c r="C29" s="85" t="n"/>
      <c r="D29" s="83">
        <f>B29+C29</f>
        <v/>
      </c>
      <c r="E29" s="83">
        <f>IF($A29="","",SUMIFS(Transactions!$F$5:$F$504,Transactions!$B$5:$B$504,"Expense",Transactions!$C$5:$C$504,$A29,Transactions!$A$5:$A$504,"&gt;="&amp;Setup!$F$4,Transactions!$A$5:$A$504,"&lt;"&amp;EDATE(Setup!$F$4,1)))</f>
        <v/>
      </c>
      <c r="F29" s="83">
        <f>IF($A29="","",D29-E29)</f>
        <v/>
      </c>
      <c r="G29" s="86">
        <f>IF(OR($A29="",D29=0),"",E29/D29)</f>
        <v/>
      </c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" customHeight="1" s="49">
      <c r="A30" s="79">
        <f>IF(Setup!D25="","",Setup!D25)</f>
        <v/>
      </c>
      <c r="B30" s="85" t="n"/>
      <c r="C30" s="85" t="n"/>
      <c r="D30" s="83">
        <f>B30+C30</f>
        <v/>
      </c>
      <c r="E30" s="83">
        <f>IF($A30="","",SUMIFS(Transactions!$F$5:$F$504,Transactions!$B$5:$B$504,"Expense",Transactions!$C$5:$C$504,$A30,Transactions!$A$5:$A$504,"&gt;="&amp;Setup!$F$4,Transactions!$A$5:$A$504,"&lt;"&amp;EDATE(Setup!$F$4,1)))</f>
        <v/>
      </c>
      <c r="F30" s="83">
        <f>IF($A30="","",D30-E30)</f>
        <v/>
      </c>
      <c r="G30" s="86">
        <f>IF(OR($A30="",D30=0),"",E30/D30)</f>
        <v/>
      </c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" customHeight="1" s="49">
      <c r="A31" s="79">
        <f>IF(Setup!D26="","",Setup!D26)</f>
        <v/>
      </c>
      <c r="B31" s="85" t="n"/>
      <c r="C31" s="85" t="n"/>
      <c r="D31" s="83">
        <f>B31+C31</f>
        <v/>
      </c>
      <c r="E31" s="83">
        <f>IF($A31="","",SUMIFS(Transactions!$F$5:$F$504,Transactions!$B$5:$B$504,"Expense",Transactions!$C$5:$C$504,$A31,Transactions!$A$5:$A$504,"&gt;="&amp;Setup!$F$4,Transactions!$A$5:$A$504,"&lt;"&amp;EDATE(Setup!$F$4,1)))</f>
        <v/>
      </c>
      <c r="F31" s="83">
        <f>IF($A31="","",D31-E31)</f>
        <v/>
      </c>
      <c r="G31" s="86">
        <f>IF(OR($A31="",D31=0),"",E31/D31)</f>
        <v/>
      </c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" customHeight="1" s="49">
      <c r="A32" s="87" t="inlineStr">
        <is>
          <t>TOTAL</t>
        </is>
      </c>
      <c r="B32" s="88">
        <f>SUM(B12:B31)</f>
        <v/>
      </c>
      <c r="C32" s="88">
        <f>SUM(C12:C31)</f>
        <v/>
      </c>
      <c r="D32" s="88">
        <f>SUM(D12:D31)</f>
        <v/>
      </c>
      <c r="E32" s="88">
        <f>SUM(E12:E31)</f>
        <v/>
      </c>
      <c r="F32" s="88">
        <f>SUM(F12:F31)</f>
        <v/>
      </c>
      <c r="G32" s="89">
        <f>IF(D32=0,"",E32/D32)</f>
        <v/>
      </c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" customHeight="1" s="49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4:C4"/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5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3" customWidth="1" style="48" min="1" max="1"/>
    <col width="11" customWidth="1" style="48" min="2" max="2"/>
    <col width="20" customWidth="1" style="48" min="3" max="3"/>
    <col width="13" customWidth="1" style="48" min="4" max="4"/>
    <col width="10" customWidth="1" style="48" min="5" max="5"/>
    <col width="13" customWidth="1" style="48" min="6" max="6"/>
    <col width="22" customWidth="1" style="48" min="7" max="7"/>
    <col width="8.710000000000001" customWidth="1" style="48" min="8" max="26"/>
  </cols>
  <sheetData>
    <row r="1" ht="42" customHeight="1" s="49">
      <c r="A1" s="50" t="inlineStr">
        <is>
          <t>Transactions</t>
        </is>
      </c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21.75" customHeight="1" s="49">
      <c r="A2" s="81" t="inlineStr">
        <is>
          <t>Log every income, expense and transfer here. Everything else fills in.</t>
        </is>
      </c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" customHeight="1" s="49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5" customHeight="1" s="49">
      <c r="A4" s="64" t="inlineStr">
        <is>
          <t>Date</t>
        </is>
      </c>
      <c r="B4" s="64" t="inlineStr">
        <is>
          <t>Type</t>
        </is>
      </c>
      <c r="C4" s="64" t="inlineStr">
        <is>
          <t>Category</t>
        </is>
      </c>
      <c r="D4" s="64" t="inlineStr">
        <is>
          <t>Account</t>
        </is>
      </c>
      <c r="E4" s="64" t="inlineStr">
        <is>
          <t>Paycheck</t>
        </is>
      </c>
      <c r="F4" s="64" t="inlineStr">
        <is>
          <t>Amount</t>
        </is>
      </c>
      <c r="G4" s="64" t="inlineStr">
        <is>
          <t>Note</t>
        </is>
      </c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5" customHeight="1" s="49">
      <c r="A5" s="90" t="n">
        <v>46206</v>
      </c>
      <c r="B5" s="91" t="inlineStr">
        <is>
          <t>Income</t>
        </is>
      </c>
      <c r="C5" s="66" t="inlineStr">
        <is>
          <t>Paycheck 1</t>
        </is>
      </c>
      <c r="D5" s="66" t="inlineStr">
        <is>
          <t>Checking</t>
        </is>
      </c>
      <c r="E5" s="91" t="inlineStr">
        <is>
          <t>1</t>
        </is>
      </c>
      <c r="F5" s="85" t="n">
        <v>2100</v>
      </c>
      <c r="G5" s="66" t="inlineStr">
        <is>
          <t>Salary</t>
        </is>
      </c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5" customHeight="1" s="49">
      <c r="A6" s="92" t="n">
        <v>46206</v>
      </c>
      <c r="B6" s="93" t="inlineStr">
        <is>
          <t>Expense</t>
        </is>
      </c>
      <c r="C6" s="94" t="inlineStr">
        <is>
          <t>Rent or Mortgage</t>
        </is>
      </c>
      <c r="D6" s="94" t="inlineStr">
        <is>
          <t>Checking</t>
        </is>
      </c>
      <c r="E6" s="93" t="inlineStr">
        <is>
          <t>1</t>
        </is>
      </c>
      <c r="F6" s="95" t="n">
        <v>1450</v>
      </c>
      <c r="G6" s="94" t="inlineStr">
        <is>
          <t>July rent</t>
        </is>
      </c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5" customHeight="1" s="49">
      <c r="A7" s="90" t="n">
        <v>46206</v>
      </c>
      <c r="B7" s="91" t="inlineStr">
        <is>
          <t>Transfer</t>
        </is>
      </c>
      <c r="C7" s="66" t="inlineStr">
        <is>
          <t>Emergency Fund</t>
        </is>
      </c>
      <c r="D7" s="66" t="inlineStr">
        <is>
          <t>Savings</t>
        </is>
      </c>
      <c r="E7" s="91" t="inlineStr">
        <is>
          <t>1</t>
        </is>
      </c>
      <c r="F7" s="85" t="n">
        <v>250</v>
      </c>
      <c r="G7" s="66" t="inlineStr">
        <is>
          <t>Pay yourself first</t>
        </is>
      </c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5" customHeight="1" s="49">
      <c r="A8" s="92" t="n">
        <v>46206</v>
      </c>
      <c r="B8" s="93" t="inlineStr">
        <is>
          <t>Transfer</t>
        </is>
      </c>
      <c r="C8" s="94" t="inlineStr">
        <is>
          <t>Vacation</t>
        </is>
      </c>
      <c r="D8" s="94" t="inlineStr">
        <is>
          <t>Savings</t>
        </is>
      </c>
      <c r="E8" s="93" t="inlineStr">
        <is>
          <t>1</t>
        </is>
      </c>
      <c r="F8" s="95" t="n">
        <v>120</v>
      </c>
      <c r="G8" s="94" t="inlineStr">
        <is>
          <t>Greece 2027</t>
        </is>
      </c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5" customHeight="1" s="49">
      <c r="A9" s="90" t="n">
        <v>46207</v>
      </c>
      <c r="B9" s="91" t="inlineStr">
        <is>
          <t>Expense</t>
        </is>
      </c>
      <c r="C9" s="66" t="inlineStr">
        <is>
          <t>Groceries</t>
        </is>
      </c>
      <c r="D9" s="66" t="inlineStr">
        <is>
          <t>Checking</t>
        </is>
      </c>
      <c r="E9" s="91" t="inlineStr">
        <is>
          <t>1</t>
        </is>
      </c>
      <c r="F9" s="85" t="n">
        <v>118.4</v>
      </c>
      <c r="G9" s="66" t="inlineStr">
        <is>
          <t>Weekly shop</t>
        </is>
      </c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5" customHeight="1" s="49">
      <c r="A10" s="92" t="n">
        <v>46207</v>
      </c>
      <c r="B10" s="93" t="inlineStr">
        <is>
          <t>Expense</t>
        </is>
      </c>
      <c r="C10" s="94" t="inlineStr">
        <is>
          <t>Dining out</t>
        </is>
      </c>
      <c r="D10" s="94" t="inlineStr">
        <is>
          <t>Credit Card</t>
        </is>
      </c>
      <c r="E10" s="93" t="inlineStr">
        <is>
          <t>1</t>
        </is>
      </c>
      <c r="F10" s="95" t="n">
        <v>28.5</v>
      </c>
      <c r="G10" s="94" t="inlineStr">
        <is>
          <t>Brunch</t>
        </is>
      </c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 ht="15" customHeight="1" s="49">
      <c r="A11" s="90" t="n">
        <v>46208</v>
      </c>
      <c r="B11" s="91" t="inlineStr">
        <is>
          <t>Expense</t>
        </is>
      </c>
      <c r="C11" s="66" t="inlineStr">
        <is>
          <t>Transport</t>
        </is>
      </c>
      <c r="D11" s="66" t="inlineStr">
        <is>
          <t>Checking</t>
        </is>
      </c>
      <c r="E11" s="91" t="inlineStr">
        <is>
          <t>1</t>
        </is>
      </c>
      <c r="F11" s="85" t="n">
        <v>62</v>
      </c>
      <c r="G11" s="66" t="inlineStr">
        <is>
          <t>Fuel</t>
        </is>
      </c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 ht="15" customHeight="1" s="49">
      <c r="A12" s="92" t="n">
        <v>46209</v>
      </c>
      <c r="B12" s="93" t="inlineStr">
        <is>
          <t>Expense</t>
        </is>
      </c>
      <c r="C12" s="94" t="inlineStr">
        <is>
          <t>Subscriptions</t>
        </is>
      </c>
      <c r="D12" s="94" t="inlineStr">
        <is>
          <t>Credit Card</t>
        </is>
      </c>
      <c r="E12" s="93" t="inlineStr">
        <is>
          <t>1</t>
        </is>
      </c>
      <c r="F12" s="95" t="n">
        <v>15.99</v>
      </c>
      <c r="G12" s="94" t="inlineStr">
        <is>
          <t>Streaming</t>
        </is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15" customHeight="1" s="49">
      <c r="A13" s="90" t="n">
        <v>46209</v>
      </c>
      <c r="B13" s="91" t="inlineStr">
        <is>
          <t>Expense</t>
        </is>
      </c>
      <c r="C13" s="66" t="inlineStr">
        <is>
          <t>Phone and Internet</t>
        </is>
      </c>
      <c r="D13" s="66" t="inlineStr">
        <is>
          <t>Checking</t>
        </is>
      </c>
      <c r="E13" s="91" t="inlineStr">
        <is>
          <t>1</t>
        </is>
      </c>
      <c r="F13" s="85" t="n">
        <v>45</v>
      </c>
      <c r="G13" s="66" t="inlineStr">
        <is>
          <t>Mobile</t>
        </is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15" customHeight="1" s="49">
      <c r="A14" s="92" t="n">
        <v>46210</v>
      </c>
      <c r="B14" s="93" t="inlineStr">
        <is>
          <t>Expense</t>
        </is>
      </c>
      <c r="C14" s="94" t="inlineStr">
        <is>
          <t>Utilities</t>
        </is>
      </c>
      <c r="D14" s="94" t="inlineStr">
        <is>
          <t>Checking</t>
        </is>
      </c>
      <c r="E14" s="93" t="inlineStr">
        <is>
          <t>1</t>
        </is>
      </c>
      <c r="F14" s="95" t="n">
        <v>88.2</v>
      </c>
      <c r="G14" s="94" t="inlineStr">
        <is>
          <t>Electricity</t>
        </is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15" customHeight="1" s="49">
      <c r="A15" s="90" t="n">
        <v>46211</v>
      </c>
      <c r="B15" s="91" t="inlineStr">
        <is>
          <t>Expense</t>
        </is>
      </c>
      <c r="C15" s="66" t="inlineStr">
        <is>
          <t>Health</t>
        </is>
      </c>
      <c r="D15" s="66" t="inlineStr">
        <is>
          <t>Checking</t>
        </is>
      </c>
      <c r="E15" s="91" t="inlineStr">
        <is>
          <t>1</t>
        </is>
      </c>
      <c r="F15" s="85" t="n">
        <v>34</v>
      </c>
      <c r="G15" s="66" t="inlineStr">
        <is>
          <t>Pharmacy</t>
        </is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 ht="15" customHeight="1" s="49">
      <c r="A16" s="92" t="n">
        <v>46212</v>
      </c>
      <c r="B16" s="93" t="inlineStr">
        <is>
          <t>Expense</t>
        </is>
      </c>
      <c r="C16" s="94" t="inlineStr">
        <is>
          <t>Groceries</t>
        </is>
      </c>
      <c r="D16" s="94" t="inlineStr">
        <is>
          <t>Checking</t>
        </is>
      </c>
      <c r="E16" s="93" t="inlineStr">
        <is>
          <t>1</t>
        </is>
      </c>
      <c r="F16" s="95" t="n">
        <v>104.75</v>
      </c>
      <c r="G16" s="94" t="inlineStr">
        <is>
          <t>Weekly shop</t>
        </is>
      </c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 ht="15" customHeight="1" s="49">
      <c r="A17" s="90" t="n">
        <v>46213</v>
      </c>
      <c r="B17" s="91" t="inlineStr">
        <is>
          <t>Expense</t>
        </is>
      </c>
      <c r="C17" s="66" t="inlineStr">
        <is>
          <t>Fun and Leisure</t>
        </is>
      </c>
      <c r="D17" s="66" t="inlineStr">
        <is>
          <t>Cash</t>
        </is>
      </c>
      <c r="E17" s="91" t="inlineStr">
        <is>
          <t>1</t>
        </is>
      </c>
      <c r="F17" s="85" t="n">
        <v>42</v>
      </c>
      <c r="G17" s="66" t="inlineStr">
        <is>
          <t>Cinema</t>
        </is>
      </c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5" customHeight="1" s="49">
      <c r="A18" s="92" t="n">
        <v>46214</v>
      </c>
      <c r="B18" s="93" t="inlineStr">
        <is>
          <t>Expense</t>
        </is>
      </c>
      <c r="C18" s="94" t="inlineStr">
        <is>
          <t>Insurance</t>
        </is>
      </c>
      <c r="D18" s="94" t="inlineStr">
        <is>
          <t>Checking</t>
        </is>
      </c>
      <c r="E18" s="93" t="inlineStr">
        <is>
          <t>1</t>
        </is>
      </c>
      <c r="F18" s="95" t="n">
        <v>145</v>
      </c>
      <c r="G18" s="94" t="inlineStr">
        <is>
          <t>Car insurance</t>
        </is>
      </c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5" customHeight="1" s="49">
      <c r="A19" s="90" t="n">
        <v>46214</v>
      </c>
      <c r="B19" s="91" t="inlineStr">
        <is>
          <t>Expense</t>
        </is>
      </c>
      <c r="C19" s="66" t="inlineStr">
        <is>
          <t>Shopping</t>
        </is>
      </c>
      <c r="D19" s="66" t="inlineStr">
        <is>
          <t>Credit Card</t>
        </is>
      </c>
      <c r="E19" s="91" t="inlineStr">
        <is>
          <t>1</t>
        </is>
      </c>
      <c r="F19" s="85" t="n">
        <v>76.3</v>
      </c>
      <c r="G19" s="66" t="inlineStr">
        <is>
          <t>Summer shoes</t>
        </is>
      </c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" customHeight="1" s="49">
      <c r="A20" s="92" t="n">
        <v>46215</v>
      </c>
      <c r="B20" s="93" t="inlineStr">
        <is>
          <t>Expense</t>
        </is>
      </c>
      <c r="C20" s="94" t="inlineStr">
        <is>
          <t>Transport</t>
        </is>
      </c>
      <c r="D20" s="94" t="inlineStr">
        <is>
          <t>Checking</t>
        </is>
      </c>
      <c r="E20" s="93" t="inlineStr">
        <is>
          <t>1</t>
        </is>
      </c>
      <c r="F20" s="95" t="n">
        <v>58.4</v>
      </c>
      <c r="G20" s="94" t="inlineStr">
        <is>
          <t>Fuel</t>
        </is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" customHeight="1" s="49">
      <c r="A21" s="90" t="n">
        <v>46216</v>
      </c>
      <c r="B21" s="91" t="inlineStr">
        <is>
          <t>Expense</t>
        </is>
      </c>
      <c r="C21" s="66" t="inlineStr">
        <is>
          <t>Dining out</t>
        </is>
      </c>
      <c r="D21" s="66" t="inlineStr">
        <is>
          <t>Credit Card</t>
        </is>
      </c>
      <c r="E21" s="91" t="inlineStr">
        <is>
          <t>1</t>
        </is>
      </c>
      <c r="F21" s="85" t="n">
        <v>31.8</v>
      </c>
      <c r="G21" s="66" t="inlineStr">
        <is>
          <t>Pizza night</t>
        </is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" customHeight="1" s="49">
      <c r="A22" s="92" t="n">
        <v>46217</v>
      </c>
      <c r="B22" s="93" t="inlineStr">
        <is>
          <t>Expense</t>
        </is>
      </c>
      <c r="C22" s="94" t="inlineStr">
        <is>
          <t>Groceries</t>
        </is>
      </c>
      <c r="D22" s="94" t="inlineStr">
        <is>
          <t>Checking</t>
        </is>
      </c>
      <c r="E22" s="93" t="inlineStr">
        <is>
          <t>1</t>
        </is>
      </c>
      <c r="F22" s="95" t="n">
        <v>96.09999999999999</v>
      </c>
      <c r="G22" s="94" t="inlineStr">
        <is>
          <t>Weekly shop</t>
        </is>
      </c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" customHeight="1" s="49">
      <c r="A23" s="90" t="n">
        <v>46218</v>
      </c>
      <c r="B23" s="91" t="inlineStr">
        <is>
          <t>Expense</t>
        </is>
      </c>
      <c r="C23" s="66" t="inlineStr">
        <is>
          <t>Gifts</t>
        </is>
      </c>
      <c r="D23" s="66" t="inlineStr">
        <is>
          <t>Cash</t>
        </is>
      </c>
      <c r="E23" s="91" t="inlineStr">
        <is>
          <t>1</t>
        </is>
      </c>
      <c r="F23" s="85" t="n">
        <v>35</v>
      </c>
      <c r="G23" s="66" t="inlineStr">
        <is>
          <t>Birthday gift</t>
        </is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" customHeight="1" s="49">
      <c r="A24" s="92" t="n">
        <v>46219</v>
      </c>
      <c r="B24" s="93" t="inlineStr">
        <is>
          <t>Expense</t>
        </is>
      </c>
      <c r="C24" s="94" t="inlineStr">
        <is>
          <t>Utilities</t>
        </is>
      </c>
      <c r="D24" s="94" t="inlineStr">
        <is>
          <t>Checking</t>
        </is>
      </c>
      <c r="E24" s="93" t="inlineStr">
        <is>
          <t>1</t>
        </is>
      </c>
      <c r="F24" s="95" t="n">
        <v>26.5</v>
      </c>
      <c r="G24" s="94" t="inlineStr">
        <is>
          <t>Water</t>
        </is>
      </c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" customHeight="1" s="49">
      <c r="A25" s="90" t="n">
        <v>46220</v>
      </c>
      <c r="B25" s="91" t="inlineStr">
        <is>
          <t>Income</t>
        </is>
      </c>
      <c r="C25" s="66" t="inlineStr">
        <is>
          <t>Paycheck 2</t>
        </is>
      </c>
      <c r="D25" s="66" t="inlineStr">
        <is>
          <t>Checking</t>
        </is>
      </c>
      <c r="E25" s="91" t="inlineStr">
        <is>
          <t>2</t>
        </is>
      </c>
      <c r="F25" s="85" t="n">
        <v>2100</v>
      </c>
      <c r="G25" s="66" t="inlineStr">
        <is>
          <t>Salary</t>
        </is>
      </c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" customHeight="1" s="49">
      <c r="A26" s="92" t="n">
        <v>46220</v>
      </c>
      <c r="B26" s="93" t="inlineStr">
        <is>
          <t>Transfer</t>
        </is>
      </c>
      <c r="C26" s="94" t="inlineStr">
        <is>
          <t>Emergency Fund</t>
        </is>
      </c>
      <c r="D26" s="94" t="inlineStr">
        <is>
          <t>Savings</t>
        </is>
      </c>
      <c r="E26" s="93" t="inlineStr">
        <is>
          <t>2</t>
        </is>
      </c>
      <c r="F26" s="95" t="n">
        <v>200</v>
      </c>
      <c r="G26" s="94" t="inlineStr">
        <is>
          <t>Pay yourself first</t>
        </is>
      </c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" customHeight="1" s="49">
      <c r="A27" s="90" t="n">
        <v>46220</v>
      </c>
      <c r="B27" s="91" t="inlineStr">
        <is>
          <t>Transfer</t>
        </is>
      </c>
      <c r="C27" s="66" t="inlineStr">
        <is>
          <t>New Car</t>
        </is>
      </c>
      <c r="D27" s="66" t="inlineStr">
        <is>
          <t>Savings</t>
        </is>
      </c>
      <c r="E27" s="91" t="inlineStr">
        <is>
          <t>2</t>
        </is>
      </c>
      <c r="F27" s="85" t="n">
        <v>300</v>
      </c>
      <c r="G27" s="66" t="inlineStr">
        <is>
          <t>Down payment</t>
        </is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" customHeight="1" s="49">
      <c r="A28" s="92" t="n">
        <v>46220</v>
      </c>
      <c r="B28" s="93" t="inlineStr">
        <is>
          <t>Transfer</t>
        </is>
      </c>
      <c r="C28" s="94" t="inlineStr">
        <is>
          <t>Holiday</t>
        </is>
      </c>
      <c r="D28" s="94" t="inlineStr">
        <is>
          <t>Savings</t>
        </is>
      </c>
      <c r="E28" s="93" t="inlineStr">
        <is>
          <t>2</t>
        </is>
      </c>
      <c r="F28" s="95" t="n">
        <v>150</v>
      </c>
      <c r="G28" s="94" t="inlineStr">
        <is>
          <t>December fund</t>
        </is>
      </c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" customHeight="1" s="49">
      <c r="A29" s="90" t="n">
        <v>46221</v>
      </c>
      <c r="B29" s="91" t="inlineStr">
        <is>
          <t>Expense</t>
        </is>
      </c>
      <c r="C29" s="66" t="inlineStr">
        <is>
          <t>Groceries</t>
        </is>
      </c>
      <c r="D29" s="66" t="inlineStr">
        <is>
          <t>Checking</t>
        </is>
      </c>
      <c r="E29" s="91" t="inlineStr">
        <is>
          <t>2</t>
        </is>
      </c>
      <c r="F29" s="85" t="n">
        <v>112.9</v>
      </c>
      <c r="G29" s="66" t="inlineStr">
        <is>
          <t>Weekly shop</t>
        </is>
      </c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" customHeight="1" s="49">
      <c r="A30" s="92" t="n">
        <v>46221</v>
      </c>
      <c r="B30" s="93" t="inlineStr">
        <is>
          <t>Expense</t>
        </is>
      </c>
      <c r="C30" s="94" t="inlineStr">
        <is>
          <t>Phone and Internet</t>
        </is>
      </c>
      <c r="D30" s="94" t="inlineStr">
        <is>
          <t>Checking</t>
        </is>
      </c>
      <c r="E30" s="93" t="inlineStr">
        <is>
          <t>2</t>
        </is>
      </c>
      <c r="F30" s="95" t="n">
        <v>40</v>
      </c>
      <c r="G30" s="94" t="inlineStr">
        <is>
          <t>Internet</t>
        </is>
      </c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" customHeight="1" s="49">
      <c r="A31" s="90" t="n">
        <v>46222</v>
      </c>
      <c r="B31" s="91" t="inlineStr">
        <is>
          <t>Expense</t>
        </is>
      </c>
      <c r="C31" s="66" t="inlineStr">
        <is>
          <t>Transport</t>
        </is>
      </c>
      <c r="D31" s="66" t="inlineStr">
        <is>
          <t>Checking</t>
        </is>
      </c>
      <c r="E31" s="91" t="inlineStr">
        <is>
          <t>2</t>
        </is>
      </c>
      <c r="F31" s="85" t="n">
        <v>55</v>
      </c>
      <c r="G31" s="66" t="inlineStr">
        <is>
          <t>Fuel</t>
        </is>
      </c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" customHeight="1" s="49">
      <c r="A32" s="92" t="n">
        <v>46222</v>
      </c>
      <c r="B32" s="93" t="inlineStr">
        <is>
          <t>Expense</t>
        </is>
      </c>
      <c r="C32" s="94" t="inlineStr">
        <is>
          <t>Fun and Leisure</t>
        </is>
      </c>
      <c r="D32" s="94" t="inlineStr">
        <is>
          <t>Credit Card</t>
        </is>
      </c>
      <c r="E32" s="93" t="inlineStr">
        <is>
          <t>2</t>
        </is>
      </c>
      <c r="F32" s="95" t="n">
        <v>48</v>
      </c>
      <c r="G32" s="94" t="inlineStr">
        <is>
          <t>Concert tickets</t>
        </is>
      </c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" customHeight="1" s="49">
      <c r="A33" s="90" t="n">
        <v>46223</v>
      </c>
      <c r="B33" s="91" t="inlineStr">
        <is>
          <t>Expense</t>
        </is>
      </c>
      <c r="C33" s="66" t="inlineStr">
        <is>
          <t>Subscriptions</t>
        </is>
      </c>
      <c r="D33" s="66" t="inlineStr">
        <is>
          <t>Credit Card</t>
        </is>
      </c>
      <c r="E33" s="91" t="inlineStr">
        <is>
          <t>2</t>
        </is>
      </c>
      <c r="F33" s="85" t="n">
        <v>12.99</v>
      </c>
      <c r="G33" s="66" t="inlineStr">
        <is>
          <t>Music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" customHeight="1" s="49">
      <c r="A34" s="92" t="n">
        <v>46224</v>
      </c>
      <c r="B34" s="93" t="inlineStr">
        <is>
          <t>Expense</t>
        </is>
      </c>
      <c r="C34" s="94" t="inlineStr">
        <is>
          <t>Health</t>
        </is>
      </c>
      <c r="D34" s="94" t="inlineStr">
        <is>
          <t>Checking</t>
        </is>
      </c>
      <c r="E34" s="93" t="inlineStr">
        <is>
          <t>2</t>
        </is>
      </c>
      <c r="F34" s="95" t="n">
        <v>60</v>
      </c>
      <c r="G34" s="94" t="inlineStr">
        <is>
          <t>Dentist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" customHeight="1" s="49">
      <c r="A35" s="90" t="n">
        <v>46225</v>
      </c>
      <c r="B35" s="91" t="inlineStr">
        <is>
          <t>Income</t>
        </is>
      </c>
      <c r="C35" s="66" t="inlineStr">
        <is>
          <t>Extra Income</t>
        </is>
      </c>
      <c r="D35" s="66" t="inlineStr">
        <is>
          <t>Checking</t>
        </is>
      </c>
      <c r="E35" s="91" t="inlineStr">
        <is>
          <t>Extra</t>
        </is>
      </c>
      <c r="F35" s="85" t="n">
        <v>320</v>
      </c>
      <c r="G35" s="66" t="inlineStr">
        <is>
          <t>Freelance invoice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" customHeight="1" s="49">
      <c r="A36" s="92" t="n">
        <v>46225</v>
      </c>
      <c r="B36" s="93" t="inlineStr">
        <is>
          <t>Transfer</t>
        </is>
      </c>
      <c r="C36" s="94" t="inlineStr">
        <is>
          <t>Vacation</t>
        </is>
      </c>
      <c r="D36" s="94" t="inlineStr">
        <is>
          <t>Savings</t>
        </is>
      </c>
      <c r="E36" s="93" t="inlineStr">
        <is>
          <t>Extra</t>
        </is>
      </c>
      <c r="F36" s="95" t="n">
        <v>150</v>
      </c>
      <c r="G36" s="94" t="inlineStr">
        <is>
          <t>Flights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" customHeight="1" s="49">
      <c r="A37" s="90" t="n">
        <v>46225</v>
      </c>
      <c r="B37" s="91" t="inlineStr">
        <is>
          <t>Expense</t>
        </is>
      </c>
      <c r="C37" s="66" t="inlineStr">
        <is>
          <t>Groceries</t>
        </is>
      </c>
      <c r="D37" s="66" t="inlineStr">
        <is>
          <t>Checking</t>
        </is>
      </c>
      <c r="E37" s="91" t="inlineStr">
        <is>
          <t>2</t>
        </is>
      </c>
      <c r="F37" s="85" t="n">
        <v>88.59999999999999</v>
      </c>
      <c r="G37" s="66" t="inlineStr">
        <is>
          <t>Weekly shop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" customHeight="1" s="49">
      <c r="A38" s="92" t="n">
        <v>46226</v>
      </c>
      <c r="B38" s="93" t="inlineStr">
        <is>
          <t>Expense</t>
        </is>
      </c>
      <c r="C38" s="94" t="inlineStr">
        <is>
          <t>Dining out</t>
        </is>
      </c>
      <c r="D38" s="94" t="inlineStr">
        <is>
          <t>Credit Card</t>
        </is>
      </c>
      <c r="E38" s="93" t="inlineStr">
        <is>
          <t>2</t>
        </is>
      </c>
      <c r="F38" s="95" t="n">
        <v>26.4</v>
      </c>
      <c r="G38" s="94" t="inlineStr">
        <is>
          <t>Lunch out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" customHeight="1" s="49">
      <c r="A39" s="90" t="n">
        <v>46227</v>
      </c>
      <c r="B39" s="91" t="inlineStr">
        <is>
          <t>Expense</t>
        </is>
      </c>
      <c r="C39" s="66" t="inlineStr">
        <is>
          <t>Shopping</t>
        </is>
      </c>
      <c r="D39" s="66" t="inlineStr">
        <is>
          <t>Credit Card</t>
        </is>
      </c>
      <c r="E39" s="91" t="inlineStr">
        <is>
          <t>2</t>
        </is>
      </c>
      <c r="F39" s="85" t="n">
        <v>54.2</v>
      </c>
      <c r="G39" s="66" t="inlineStr">
        <is>
          <t>Household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" customHeight="1" s="49">
      <c r="A40" s="92" t="n">
        <v>46228</v>
      </c>
      <c r="B40" s="93" t="inlineStr">
        <is>
          <t>Expense</t>
        </is>
      </c>
      <c r="C40" s="94" t="inlineStr">
        <is>
          <t>Utilities</t>
        </is>
      </c>
      <c r="D40" s="94" t="inlineStr">
        <is>
          <t>Checking</t>
        </is>
      </c>
      <c r="E40" s="93" t="inlineStr">
        <is>
          <t>2</t>
        </is>
      </c>
      <c r="F40" s="95" t="n">
        <v>61.3</v>
      </c>
      <c r="G40" s="94" t="inlineStr">
        <is>
          <t>Gas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" customHeight="1" s="49">
      <c r="A41" s="90" t="n">
        <v>46229</v>
      </c>
      <c r="B41" s="91" t="inlineStr">
        <is>
          <t>Expense</t>
        </is>
      </c>
      <c r="C41" s="66" t="inlineStr">
        <is>
          <t>Transport</t>
        </is>
      </c>
      <c r="D41" s="66" t="inlineStr">
        <is>
          <t>Checking</t>
        </is>
      </c>
      <c r="E41" s="91" t="inlineStr">
        <is>
          <t>2</t>
        </is>
      </c>
      <c r="F41" s="85" t="n">
        <v>32</v>
      </c>
      <c r="G41" s="66" t="inlineStr">
        <is>
          <t>Train pass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" customHeight="1" s="49">
      <c r="A42" s="92" t="n">
        <v>46230</v>
      </c>
      <c r="B42" s="93" t="inlineStr">
        <is>
          <t>Expense</t>
        </is>
      </c>
      <c r="C42" s="94" t="inlineStr">
        <is>
          <t>Groceries</t>
        </is>
      </c>
      <c r="D42" s="94" t="inlineStr">
        <is>
          <t>Checking</t>
        </is>
      </c>
      <c r="E42" s="93" t="inlineStr">
        <is>
          <t>2</t>
        </is>
      </c>
      <c r="F42" s="95" t="n">
        <v>79.45</v>
      </c>
      <c r="G42" s="94" t="inlineStr">
        <is>
          <t>Weekly shop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" customHeight="1" s="49">
      <c r="A43" s="90" t="n">
        <v>46230</v>
      </c>
      <c r="B43" s="91" t="inlineStr">
        <is>
          <t>Expense</t>
        </is>
      </c>
      <c r="C43" s="66" t="inlineStr">
        <is>
          <t>Gifts</t>
        </is>
      </c>
      <c r="D43" s="66" t="inlineStr">
        <is>
          <t>Cash</t>
        </is>
      </c>
      <c r="E43" s="91" t="inlineStr">
        <is>
          <t>2</t>
        </is>
      </c>
      <c r="F43" s="85" t="n">
        <v>25</v>
      </c>
      <c r="G43" s="66" t="inlineStr">
        <is>
          <t>Wedding card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" customHeight="1" s="49">
      <c r="A44" s="92" t="n">
        <v>46231</v>
      </c>
      <c r="B44" s="93" t="inlineStr">
        <is>
          <t>Expense</t>
        </is>
      </c>
      <c r="C44" s="94" t="inlineStr">
        <is>
          <t>Fun and Leisure</t>
        </is>
      </c>
      <c r="D44" s="94" t="inlineStr">
        <is>
          <t>Cash</t>
        </is>
      </c>
      <c r="E44" s="93" t="inlineStr">
        <is>
          <t>2</t>
        </is>
      </c>
      <c r="F44" s="95" t="n">
        <v>36</v>
      </c>
      <c r="G44" s="94" t="inlineStr">
        <is>
          <t>Museum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" customHeight="1" s="49">
      <c r="A45" s="90" t="n">
        <v>46232</v>
      </c>
      <c r="B45" s="91" t="inlineStr">
        <is>
          <t>Expense</t>
        </is>
      </c>
      <c r="C45" s="66" t="inlineStr">
        <is>
          <t>Dining out</t>
        </is>
      </c>
      <c r="D45" s="66" t="inlineStr">
        <is>
          <t>Credit Card</t>
        </is>
      </c>
      <c r="E45" s="91" t="inlineStr">
        <is>
          <t>2</t>
        </is>
      </c>
      <c r="F45" s="85" t="n">
        <v>18.9</v>
      </c>
      <c r="G45" s="66" t="inlineStr">
        <is>
          <t>Coffee run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" customHeight="1" s="49">
      <c r="A46" s="92" t="n">
        <v>46233</v>
      </c>
      <c r="B46" s="93" t="inlineStr">
        <is>
          <t>Transfer</t>
        </is>
      </c>
      <c r="C46" s="94" t="inlineStr">
        <is>
          <t>Home Repairs</t>
        </is>
      </c>
      <c r="D46" s="94" t="inlineStr">
        <is>
          <t>Savings</t>
        </is>
      </c>
      <c r="E46" s="93" t="inlineStr">
        <is>
          <t>2</t>
        </is>
      </c>
      <c r="F46" s="95" t="n">
        <v>60</v>
      </c>
      <c r="G46" s="94" t="inlineStr">
        <is>
          <t>Boiler service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" customHeight="1" s="49">
      <c r="A47" s="90" t="n"/>
      <c r="B47" s="91" t="n"/>
      <c r="C47" s="66" t="n"/>
      <c r="D47" s="66" t="n"/>
      <c r="E47" s="91" t="n"/>
      <c r="F47" s="85" t="n"/>
      <c r="G47" s="66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" customHeight="1" s="49">
      <c r="A48" s="92" t="n"/>
      <c r="B48" s="93" t="n"/>
      <c r="C48" s="94" t="n"/>
      <c r="D48" s="94" t="n"/>
      <c r="E48" s="93" t="n"/>
      <c r="F48" s="95" t="n"/>
      <c r="G48" s="94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" customHeight="1" s="49">
      <c r="A49" s="90" t="n"/>
      <c r="B49" s="91" t="n"/>
      <c r="C49" s="66" t="n"/>
      <c r="D49" s="66" t="n"/>
      <c r="E49" s="91" t="n"/>
      <c r="F49" s="85" t="n"/>
      <c r="G49" s="66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" customHeight="1" s="49">
      <c r="A50" s="92" t="n"/>
      <c r="B50" s="93" t="n"/>
      <c r="C50" s="94" t="n"/>
      <c r="D50" s="94" t="n"/>
      <c r="E50" s="93" t="n"/>
      <c r="F50" s="95" t="n"/>
      <c r="G50" s="94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" customHeight="1" s="49">
      <c r="A51" s="90" t="n"/>
      <c r="B51" s="91" t="n"/>
      <c r="C51" s="66" t="n"/>
      <c r="D51" s="66" t="n"/>
      <c r="E51" s="91" t="n"/>
      <c r="F51" s="85" t="n"/>
      <c r="G51" s="66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" customHeight="1" s="49">
      <c r="A52" s="92" t="n"/>
      <c r="B52" s="93" t="n"/>
      <c r="C52" s="94" t="n"/>
      <c r="D52" s="94" t="n"/>
      <c r="E52" s="93" t="n"/>
      <c r="F52" s="95" t="n"/>
      <c r="G52" s="94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" customHeight="1" s="49">
      <c r="A53" s="90" t="n"/>
      <c r="B53" s="91" t="n"/>
      <c r="C53" s="66" t="n"/>
      <c r="D53" s="66" t="n"/>
      <c r="E53" s="91" t="n"/>
      <c r="F53" s="85" t="n"/>
      <c r="G53" s="66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" customHeight="1" s="49">
      <c r="A54" s="92" t="n"/>
      <c r="B54" s="93" t="n"/>
      <c r="C54" s="94" t="n"/>
      <c r="D54" s="94" t="n"/>
      <c r="E54" s="93" t="n"/>
      <c r="F54" s="95" t="n"/>
      <c r="G54" s="94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" customHeight="1" s="49">
      <c r="A55" s="90" t="n"/>
      <c r="B55" s="91" t="n"/>
      <c r="C55" s="66" t="n"/>
      <c r="D55" s="66" t="n"/>
      <c r="E55" s="91" t="n"/>
      <c r="F55" s="85" t="n"/>
      <c r="G55" s="66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" customHeight="1" s="49">
      <c r="A56" s="92" t="n"/>
      <c r="B56" s="93" t="n"/>
      <c r="C56" s="94" t="n"/>
      <c r="D56" s="94" t="n"/>
      <c r="E56" s="93" t="n"/>
      <c r="F56" s="95" t="n"/>
      <c r="G56" s="94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" customHeight="1" s="49">
      <c r="A57" s="90" t="n"/>
      <c r="B57" s="91" t="n"/>
      <c r="C57" s="66" t="n"/>
      <c r="D57" s="66" t="n"/>
      <c r="E57" s="91" t="n"/>
      <c r="F57" s="85" t="n"/>
      <c r="G57" s="66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" customHeight="1" s="49">
      <c r="A58" s="92" t="n"/>
      <c r="B58" s="93" t="n"/>
      <c r="C58" s="94" t="n"/>
      <c r="D58" s="94" t="n"/>
      <c r="E58" s="93" t="n"/>
      <c r="F58" s="95" t="n"/>
      <c r="G58" s="94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" customHeight="1" s="49">
      <c r="A59" s="90" t="n"/>
      <c r="B59" s="91" t="n"/>
      <c r="C59" s="66" t="n"/>
      <c r="D59" s="66" t="n"/>
      <c r="E59" s="91" t="n"/>
      <c r="F59" s="85" t="n"/>
      <c r="G59" s="66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" customHeight="1" s="49">
      <c r="A60" s="92" t="n"/>
      <c r="B60" s="93" t="n"/>
      <c r="C60" s="94" t="n"/>
      <c r="D60" s="94" t="n"/>
      <c r="E60" s="93" t="n"/>
      <c r="F60" s="95" t="n"/>
      <c r="G60" s="94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" customHeight="1" s="49">
      <c r="A61" s="90" t="n"/>
      <c r="B61" s="91" t="n"/>
      <c r="C61" s="66" t="n"/>
      <c r="D61" s="66" t="n"/>
      <c r="E61" s="91" t="n"/>
      <c r="F61" s="85" t="n"/>
      <c r="G61" s="66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" customHeight="1" s="49">
      <c r="A62" s="92" t="n"/>
      <c r="B62" s="93" t="n"/>
      <c r="C62" s="94" t="n"/>
      <c r="D62" s="94" t="n"/>
      <c r="E62" s="93" t="n"/>
      <c r="F62" s="95" t="n"/>
      <c r="G62" s="94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" customHeight="1" s="49">
      <c r="A63" s="90" t="n"/>
      <c r="B63" s="91" t="n"/>
      <c r="C63" s="66" t="n"/>
      <c r="D63" s="66" t="n"/>
      <c r="E63" s="91" t="n"/>
      <c r="F63" s="85" t="n"/>
      <c r="G63" s="66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" customHeight="1" s="49">
      <c r="A64" s="92" t="n"/>
      <c r="B64" s="93" t="n"/>
      <c r="C64" s="94" t="n"/>
      <c r="D64" s="94" t="n"/>
      <c r="E64" s="93" t="n"/>
      <c r="F64" s="95" t="n"/>
      <c r="G64" s="94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" customHeight="1" s="49">
      <c r="A65" s="90" t="n"/>
      <c r="B65" s="91" t="n"/>
      <c r="C65" s="66" t="n"/>
      <c r="D65" s="66" t="n"/>
      <c r="E65" s="91" t="n"/>
      <c r="F65" s="85" t="n"/>
      <c r="G65" s="66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" customHeight="1" s="49">
      <c r="A66" s="92" t="n"/>
      <c r="B66" s="93" t="n"/>
      <c r="C66" s="94" t="n"/>
      <c r="D66" s="94" t="n"/>
      <c r="E66" s="93" t="n"/>
      <c r="F66" s="95" t="n"/>
      <c r="G66" s="94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" customHeight="1" s="49">
      <c r="A67" s="90" t="n"/>
      <c r="B67" s="91" t="n"/>
      <c r="C67" s="66" t="n"/>
      <c r="D67" s="66" t="n"/>
      <c r="E67" s="91" t="n"/>
      <c r="F67" s="85" t="n"/>
      <c r="G67" s="66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" customHeight="1" s="49">
      <c r="A68" s="92" t="n"/>
      <c r="B68" s="93" t="n"/>
      <c r="C68" s="94" t="n"/>
      <c r="D68" s="94" t="n"/>
      <c r="E68" s="93" t="n"/>
      <c r="F68" s="95" t="n"/>
      <c r="G68" s="94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" customHeight="1" s="49">
      <c r="A69" s="90" t="n"/>
      <c r="B69" s="91" t="n"/>
      <c r="C69" s="66" t="n"/>
      <c r="D69" s="66" t="n"/>
      <c r="E69" s="91" t="n"/>
      <c r="F69" s="85" t="n"/>
      <c r="G69" s="66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" customHeight="1" s="49">
      <c r="A70" s="92" t="n"/>
      <c r="B70" s="93" t="n"/>
      <c r="C70" s="94" t="n"/>
      <c r="D70" s="94" t="n"/>
      <c r="E70" s="93" t="n"/>
      <c r="F70" s="95" t="n"/>
      <c r="G70" s="94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" customHeight="1" s="49">
      <c r="A71" s="90" t="n"/>
      <c r="B71" s="91" t="n"/>
      <c r="C71" s="66" t="n"/>
      <c r="D71" s="66" t="n"/>
      <c r="E71" s="91" t="n"/>
      <c r="F71" s="85" t="n"/>
      <c r="G71" s="66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" customHeight="1" s="49">
      <c r="A72" s="92" t="n"/>
      <c r="B72" s="93" t="n"/>
      <c r="C72" s="94" t="n"/>
      <c r="D72" s="94" t="n"/>
      <c r="E72" s="93" t="n"/>
      <c r="F72" s="95" t="n"/>
      <c r="G72" s="94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" customHeight="1" s="49">
      <c r="A73" s="90" t="n"/>
      <c r="B73" s="91" t="n"/>
      <c r="C73" s="66" t="n"/>
      <c r="D73" s="66" t="n"/>
      <c r="E73" s="91" t="n"/>
      <c r="F73" s="85" t="n"/>
      <c r="G73" s="66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" customHeight="1" s="49">
      <c r="A74" s="92" t="n"/>
      <c r="B74" s="93" t="n"/>
      <c r="C74" s="94" t="n"/>
      <c r="D74" s="94" t="n"/>
      <c r="E74" s="93" t="n"/>
      <c r="F74" s="95" t="n"/>
      <c r="G74" s="94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" customHeight="1" s="49">
      <c r="A75" s="90" t="n"/>
      <c r="B75" s="91" t="n"/>
      <c r="C75" s="66" t="n"/>
      <c r="D75" s="66" t="n"/>
      <c r="E75" s="91" t="n"/>
      <c r="F75" s="85" t="n"/>
      <c r="G75" s="66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" customHeight="1" s="49">
      <c r="A76" s="92" t="n"/>
      <c r="B76" s="93" t="n"/>
      <c r="C76" s="94" t="n"/>
      <c r="D76" s="94" t="n"/>
      <c r="E76" s="93" t="n"/>
      <c r="F76" s="95" t="n"/>
      <c r="G76" s="94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" customHeight="1" s="49">
      <c r="A77" s="90" t="n"/>
      <c r="B77" s="91" t="n"/>
      <c r="C77" s="66" t="n"/>
      <c r="D77" s="66" t="n"/>
      <c r="E77" s="91" t="n"/>
      <c r="F77" s="85" t="n"/>
      <c r="G77" s="66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" customHeight="1" s="49">
      <c r="A78" s="92" t="n"/>
      <c r="B78" s="93" t="n"/>
      <c r="C78" s="94" t="n"/>
      <c r="D78" s="94" t="n"/>
      <c r="E78" s="93" t="n"/>
      <c r="F78" s="95" t="n"/>
      <c r="G78" s="94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" customHeight="1" s="49">
      <c r="A79" s="90" t="n"/>
      <c r="B79" s="91" t="n"/>
      <c r="C79" s="66" t="n"/>
      <c r="D79" s="66" t="n"/>
      <c r="E79" s="91" t="n"/>
      <c r="F79" s="85" t="n"/>
      <c r="G79" s="66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" customHeight="1" s="49">
      <c r="A80" s="92" t="n"/>
      <c r="B80" s="93" t="n"/>
      <c r="C80" s="94" t="n"/>
      <c r="D80" s="94" t="n"/>
      <c r="E80" s="93" t="n"/>
      <c r="F80" s="95" t="n"/>
      <c r="G80" s="94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" customHeight="1" s="49">
      <c r="A81" s="90" t="n"/>
      <c r="B81" s="91" t="n"/>
      <c r="C81" s="66" t="n"/>
      <c r="D81" s="66" t="n"/>
      <c r="E81" s="91" t="n"/>
      <c r="F81" s="85" t="n"/>
      <c r="G81" s="66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" customHeight="1" s="49">
      <c r="A82" s="92" t="n"/>
      <c r="B82" s="93" t="n"/>
      <c r="C82" s="94" t="n"/>
      <c r="D82" s="94" t="n"/>
      <c r="E82" s="93" t="n"/>
      <c r="F82" s="95" t="n"/>
      <c r="G82" s="94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" customHeight="1" s="49">
      <c r="A83" s="90" t="n"/>
      <c r="B83" s="91" t="n"/>
      <c r="C83" s="66" t="n"/>
      <c r="D83" s="66" t="n"/>
      <c r="E83" s="91" t="n"/>
      <c r="F83" s="85" t="n"/>
      <c r="G83" s="66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" customHeight="1" s="49">
      <c r="A84" s="92" t="n"/>
      <c r="B84" s="93" t="n"/>
      <c r="C84" s="94" t="n"/>
      <c r="D84" s="94" t="n"/>
      <c r="E84" s="93" t="n"/>
      <c r="F84" s="95" t="n"/>
      <c r="G84" s="94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" customHeight="1" s="49">
      <c r="A85" s="90" t="n"/>
      <c r="B85" s="91" t="n"/>
      <c r="C85" s="66" t="n"/>
      <c r="D85" s="66" t="n"/>
      <c r="E85" s="91" t="n"/>
      <c r="F85" s="85" t="n"/>
      <c r="G85" s="66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" customHeight="1" s="49">
      <c r="A86" s="92" t="n"/>
      <c r="B86" s="93" t="n"/>
      <c r="C86" s="94" t="n"/>
      <c r="D86" s="94" t="n"/>
      <c r="E86" s="93" t="n"/>
      <c r="F86" s="95" t="n"/>
      <c r="G86" s="94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" customHeight="1" s="49">
      <c r="A87" s="90" t="n"/>
      <c r="B87" s="91" t="n"/>
      <c r="C87" s="66" t="n"/>
      <c r="D87" s="66" t="n"/>
      <c r="E87" s="91" t="n"/>
      <c r="F87" s="85" t="n"/>
      <c r="G87" s="66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" customHeight="1" s="49">
      <c r="A88" s="92" t="n"/>
      <c r="B88" s="93" t="n"/>
      <c r="C88" s="94" t="n"/>
      <c r="D88" s="94" t="n"/>
      <c r="E88" s="93" t="n"/>
      <c r="F88" s="95" t="n"/>
      <c r="G88" s="94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" customHeight="1" s="49">
      <c r="A89" s="90" t="n"/>
      <c r="B89" s="91" t="n"/>
      <c r="C89" s="66" t="n"/>
      <c r="D89" s="66" t="n"/>
      <c r="E89" s="91" t="n"/>
      <c r="F89" s="85" t="n"/>
      <c r="G89" s="66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" customHeight="1" s="49">
      <c r="A90" s="92" t="n"/>
      <c r="B90" s="93" t="n"/>
      <c r="C90" s="94" t="n"/>
      <c r="D90" s="94" t="n"/>
      <c r="E90" s="93" t="n"/>
      <c r="F90" s="95" t="n"/>
      <c r="G90" s="94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" customHeight="1" s="49">
      <c r="A91" s="90" t="n"/>
      <c r="B91" s="91" t="n"/>
      <c r="C91" s="66" t="n"/>
      <c r="D91" s="66" t="n"/>
      <c r="E91" s="91" t="n"/>
      <c r="F91" s="85" t="n"/>
      <c r="G91" s="66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" customHeight="1" s="49">
      <c r="A92" s="92" t="n"/>
      <c r="B92" s="93" t="n"/>
      <c r="C92" s="94" t="n"/>
      <c r="D92" s="94" t="n"/>
      <c r="E92" s="93" t="n"/>
      <c r="F92" s="95" t="n"/>
      <c r="G92" s="94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" customHeight="1" s="49">
      <c r="A93" s="90" t="n"/>
      <c r="B93" s="91" t="n"/>
      <c r="C93" s="66" t="n"/>
      <c r="D93" s="66" t="n"/>
      <c r="E93" s="91" t="n"/>
      <c r="F93" s="85" t="n"/>
      <c r="G93" s="66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" customHeight="1" s="49">
      <c r="A94" s="92" t="n"/>
      <c r="B94" s="93" t="n"/>
      <c r="C94" s="94" t="n"/>
      <c r="D94" s="94" t="n"/>
      <c r="E94" s="93" t="n"/>
      <c r="F94" s="95" t="n"/>
      <c r="G94" s="94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" customHeight="1" s="49">
      <c r="A95" s="90" t="n"/>
      <c r="B95" s="91" t="n"/>
      <c r="C95" s="66" t="n"/>
      <c r="D95" s="66" t="n"/>
      <c r="E95" s="91" t="n"/>
      <c r="F95" s="85" t="n"/>
      <c r="G95" s="66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" customHeight="1" s="49">
      <c r="A96" s="92" t="n"/>
      <c r="B96" s="93" t="n"/>
      <c r="C96" s="94" t="n"/>
      <c r="D96" s="94" t="n"/>
      <c r="E96" s="93" t="n"/>
      <c r="F96" s="95" t="n"/>
      <c r="G96" s="94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" customHeight="1" s="49">
      <c r="A97" s="90" t="n"/>
      <c r="B97" s="91" t="n"/>
      <c r="C97" s="66" t="n"/>
      <c r="D97" s="66" t="n"/>
      <c r="E97" s="91" t="n"/>
      <c r="F97" s="85" t="n"/>
      <c r="G97" s="66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" customHeight="1" s="49">
      <c r="A98" s="92" t="n"/>
      <c r="B98" s="93" t="n"/>
      <c r="C98" s="94" t="n"/>
      <c r="D98" s="94" t="n"/>
      <c r="E98" s="93" t="n"/>
      <c r="F98" s="95" t="n"/>
      <c r="G98" s="94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" customHeight="1" s="49">
      <c r="A99" s="90" t="n"/>
      <c r="B99" s="91" t="n"/>
      <c r="C99" s="66" t="n"/>
      <c r="D99" s="66" t="n"/>
      <c r="E99" s="91" t="n"/>
      <c r="F99" s="85" t="n"/>
      <c r="G99" s="66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" customHeight="1" s="49">
      <c r="A100" s="92" t="n"/>
      <c r="B100" s="93" t="n"/>
      <c r="C100" s="94" t="n"/>
      <c r="D100" s="94" t="n"/>
      <c r="E100" s="93" t="n"/>
      <c r="F100" s="95" t="n"/>
      <c r="G100" s="94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" customHeight="1" s="49">
      <c r="A101" s="90" t="n"/>
      <c r="B101" s="91" t="n"/>
      <c r="C101" s="66" t="n"/>
      <c r="D101" s="66" t="n"/>
      <c r="E101" s="91" t="n"/>
      <c r="F101" s="85" t="n"/>
      <c r="G101" s="66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" customHeight="1" s="49">
      <c r="A102" s="92" t="n"/>
      <c r="B102" s="93" t="n"/>
      <c r="C102" s="94" t="n"/>
      <c r="D102" s="94" t="n"/>
      <c r="E102" s="93" t="n"/>
      <c r="F102" s="95" t="n"/>
      <c r="G102" s="94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" customHeight="1" s="49">
      <c r="A103" s="90" t="n"/>
      <c r="B103" s="91" t="n"/>
      <c r="C103" s="66" t="n"/>
      <c r="D103" s="66" t="n"/>
      <c r="E103" s="91" t="n"/>
      <c r="F103" s="85" t="n"/>
      <c r="G103" s="66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" customHeight="1" s="49">
      <c r="A104" s="92" t="n"/>
      <c r="B104" s="93" t="n"/>
      <c r="C104" s="94" t="n"/>
      <c r="D104" s="94" t="n"/>
      <c r="E104" s="93" t="n"/>
      <c r="F104" s="95" t="n"/>
      <c r="G104" s="94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" customHeight="1" s="49">
      <c r="A105" s="90" t="n"/>
      <c r="B105" s="91" t="n"/>
      <c r="C105" s="66" t="n"/>
      <c r="D105" s="66" t="n"/>
      <c r="E105" s="91" t="n"/>
      <c r="F105" s="85" t="n"/>
      <c r="G105" s="66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" customHeight="1" s="49">
      <c r="A106" s="92" t="n"/>
      <c r="B106" s="93" t="n"/>
      <c r="C106" s="94" t="n"/>
      <c r="D106" s="94" t="n"/>
      <c r="E106" s="93" t="n"/>
      <c r="F106" s="95" t="n"/>
      <c r="G106" s="94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" customHeight="1" s="49">
      <c r="A107" s="90" t="n"/>
      <c r="B107" s="91" t="n"/>
      <c r="C107" s="66" t="n"/>
      <c r="D107" s="66" t="n"/>
      <c r="E107" s="91" t="n"/>
      <c r="F107" s="85" t="n"/>
      <c r="G107" s="66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" customHeight="1" s="49">
      <c r="A108" s="92" t="n"/>
      <c r="B108" s="93" t="n"/>
      <c r="C108" s="94" t="n"/>
      <c r="D108" s="94" t="n"/>
      <c r="E108" s="93" t="n"/>
      <c r="F108" s="95" t="n"/>
      <c r="G108" s="94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" customHeight="1" s="49">
      <c r="A109" s="90" t="n"/>
      <c r="B109" s="91" t="n"/>
      <c r="C109" s="66" t="n"/>
      <c r="D109" s="66" t="n"/>
      <c r="E109" s="91" t="n"/>
      <c r="F109" s="85" t="n"/>
      <c r="G109" s="66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" customHeight="1" s="49">
      <c r="A110" s="92" t="n"/>
      <c r="B110" s="93" t="n"/>
      <c r="C110" s="94" t="n"/>
      <c r="D110" s="94" t="n"/>
      <c r="E110" s="93" t="n"/>
      <c r="F110" s="95" t="n"/>
      <c r="G110" s="94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" customHeight="1" s="49">
      <c r="A111" s="90" t="n"/>
      <c r="B111" s="91" t="n"/>
      <c r="C111" s="66" t="n"/>
      <c r="D111" s="66" t="n"/>
      <c r="E111" s="91" t="n"/>
      <c r="F111" s="85" t="n"/>
      <c r="G111" s="66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" customHeight="1" s="49">
      <c r="A112" s="92" t="n"/>
      <c r="B112" s="93" t="n"/>
      <c r="C112" s="94" t="n"/>
      <c r="D112" s="94" t="n"/>
      <c r="E112" s="93" t="n"/>
      <c r="F112" s="95" t="n"/>
      <c r="G112" s="94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" customHeight="1" s="49">
      <c r="A113" s="90" t="n"/>
      <c r="B113" s="91" t="n"/>
      <c r="C113" s="66" t="n"/>
      <c r="D113" s="66" t="n"/>
      <c r="E113" s="91" t="n"/>
      <c r="F113" s="85" t="n"/>
      <c r="G113" s="66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" customHeight="1" s="49">
      <c r="A114" s="92" t="n"/>
      <c r="B114" s="93" t="n"/>
      <c r="C114" s="94" t="n"/>
      <c r="D114" s="94" t="n"/>
      <c r="E114" s="93" t="n"/>
      <c r="F114" s="95" t="n"/>
      <c r="G114" s="94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" customHeight="1" s="49">
      <c r="A115" s="90" t="n"/>
      <c r="B115" s="91" t="n"/>
      <c r="C115" s="66" t="n"/>
      <c r="D115" s="66" t="n"/>
      <c r="E115" s="91" t="n"/>
      <c r="F115" s="85" t="n"/>
      <c r="G115" s="66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" customHeight="1" s="49">
      <c r="A116" s="92" t="n"/>
      <c r="B116" s="93" t="n"/>
      <c r="C116" s="94" t="n"/>
      <c r="D116" s="94" t="n"/>
      <c r="E116" s="93" t="n"/>
      <c r="F116" s="95" t="n"/>
      <c r="G116" s="94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" customHeight="1" s="49">
      <c r="A117" s="90" t="n"/>
      <c r="B117" s="91" t="n"/>
      <c r="C117" s="66" t="n"/>
      <c r="D117" s="66" t="n"/>
      <c r="E117" s="91" t="n"/>
      <c r="F117" s="85" t="n"/>
      <c r="G117" s="66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" customHeight="1" s="49">
      <c r="A118" s="92" t="n"/>
      <c r="B118" s="93" t="n"/>
      <c r="C118" s="94" t="n"/>
      <c r="D118" s="94" t="n"/>
      <c r="E118" s="93" t="n"/>
      <c r="F118" s="95" t="n"/>
      <c r="G118" s="94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" customHeight="1" s="49">
      <c r="A119" s="90" t="n"/>
      <c r="B119" s="91" t="n"/>
      <c r="C119" s="66" t="n"/>
      <c r="D119" s="66" t="n"/>
      <c r="E119" s="91" t="n"/>
      <c r="F119" s="85" t="n"/>
      <c r="G119" s="66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" customHeight="1" s="49">
      <c r="A120" s="92" t="n"/>
      <c r="B120" s="93" t="n"/>
      <c r="C120" s="94" t="n"/>
      <c r="D120" s="94" t="n"/>
      <c r="E120" s="93" t="n"/>
      <c r="F120" s="95" t="n"/>
      <c r="G120" s="94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" customHeight="1" s="49">
      <c r="A121" s="90" t="n"/>
      <c r="B121" s="91" t="n"/>
      <c r="C121" s="66" t="n"/>
      <c r="D121" s="66" t="n"/>
      <c r="E121" s="91" t="n"/>
      <c r="F121" s="85" t="n"/>
      <c r="G121" s="66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" customHeight="1" s="49">
      <c r="A122" s="92" t="n"/>
      <c r="B122" s="93" t="n"/>
      <c r="C122" s="94" t="n"/>
      <c r="D122" s="94" t="n"/>
      <c r="E122" s="93" t="n"/>
      <c r="F122" s="95" t="n"/>
      <c r="G122" s="94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" customHeight="1" s="49">
      <c r="A123" s="90" t="n"/>
      <c r="B123" s="91" t="n"/>
      <c r="C123" s="66" t="n"/>
      <c r="D123" s="66" t="n"/>
      <c r="E123" s="91" t="n"/>
      <c r="F123" s="85" t="n"/>
      <c r="G123" s="66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" customHeight="1" s="49">
      <c r="A124" s="92" t="n"/>
      <c r="B124" s="93" t="n"/>
      <c r="C124" s="94" t="n"/>
      <c r="D124" s="94" t="n"/>
      <c r="E124" s="93" t="n"/>
      <c r="F124" s="95" t="n"/>
      <c r="G124" s="94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" customHeight="1" s="49">
      <c r="A125" s="90" t="n"/>
      <c r="B125" s="91" t="n"/>
      <c r="C125" s="66" t="n"/>
      <c r="D125" s="66" t="n"/>
      <c r="E125" s="91" t="n"/>
      <c r="F125" s="85" t="n"/>
      <c r="G125" s="66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" customHeight="1" s="49">
      <c r="A126" s="92" t="n"/>
      <c r="B126" s="93" t="n"/>
      <c r="C126" s="94" t="n"/>
      <c r="D126" s="94" t="n"/>
      <c r="E126" s="93" t="n"/>
      <c r="F126" s="95" t="n"/>
      <c r="G126" s="94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" customHeight="1" s="49">
      <c r="A127" s="90" t="n"/>
      <c r="B127" s="91" t="n"/>
      <c r="C127" s="66" t="n"/>
      <c r="D127" s="66" t="n"/>
      <c r="E127" s="91" t="n"/>
      <c r="F127" s="85" t="n"/>
      <c r="G127" s="66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" customHeight="1" s="49">
      <c r="A128" s="92" t="n"/>
      <c r="B128" s="93" t="n"/>
      <c r="C128" s="94" t="n"/>
      <c r="D128" s="94" t="n"/>
      <c r="E128" s="93" t="n"/>
      <c r="F128" s="95" t="n"/>
      <c r="G128" s="94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" customHeight="1" s="49">
      <c r="A129" s="90" t="n"/>
      <c r="B129" s="91" t="n"/>
      <c r="C129" s="66" t="n"/>
      <c r="D129" s="66" t="n"/>
      <c r="E129" s="91" t="n"/>
      <c r="F129" s="85" t="n"/>
      <c r="G129" s="66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" customHeight="1" s="49">
      <c r="A130" s="92" t="n"/>
      <c r="B130" s="93" t="n"/>
      <c r="C130" s="94" t="n"/>
      <c r="D130" s="94" t="n"/>
      <c r="E130" s="93" t="n"/>
      <c r="F130" s="95" t="n"/>
      <c r="G130" s="94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" customHeight="1" s="49">
      <c r="A131" s="90" t="n"/>
      <c r="B131" s="91" t="n"/>
      <c r="C131" s="66" t="n"/>
      <c r="D131" s="66" t="n"/>
      <c r="E131" s="91" t="n"/>
      <c r="F131" s="85" t="n"/>
      <c r="G131" s="66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" customHeight="1" s="49">
      <c r="A132" s="92" t="n"/>
      <c r="B132" s="93" t="n"/>
      <c r="C132" s="94" t="n"/>
      <c r="D132" s="94" t="n"/>
      <c r="E132" s="93" t="n"/>
      <c r="F132" s="95" t="n"/>
      <c r="G132" s="94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" customHeight="1" s="49">
      <c r="A133" s="90" t="n"/>
      <c r="B133" s="91" t="n"/>
      <c r="C133" s="66" t="n"/>
      <c r="D133" s="66" t="n"/>
      <c r="E133" s="91" t="n"/>
      <c r="F133" s="85" t="n"/>
      <c r="G133" s="66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" customHeight="1" s="49">
      <c r="A134" s="92" t="n"/>
      <c r="B134" s="93" t="n"/>
      <c r="C134" s="94" t="n"/>
      <c r="D134" s="94" t="n"/>
      <c r="E134" s="93" t="n"/>
      <c r="F134" s="95" t="n"/>
      <c r="G134" s="94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" customHeight="1" s="49">
      <c r="A135" s="90" t="n"/>
      <c r="B135" s="91" t="n"/>
      <c r="C135" s="66" t="n"/>
      <c r="D135" s="66" t="n"/>
      <c r="E135" s="91" t="n"/>
      <c r="F135" s="85" t="n"/>
      <c r="G135" s="66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" customHeight="1" s="49">
      <c r="A136" s="92" t="n"/>
      <c r="B136" s="93" t="n"/>
      <c r="C136" s="94" t="n"/>
      <c r="D136" s="94" t="n"/>
      <c r="E136" s="93" t="n"/>
      <c r="F136" s="95" t="n"/>
      <c r="G136" s="94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" customHeight="1" s="49">
      <c r="A137" s="90" t="n"/>
      <c r="B137" s="91" t="n"/>
      <c r="C137" s="66" t="n"/>
      <c r="D137" s="66" t="n"/>
      <c r="E137" s="91" t="n"/>
      <c r="F137" s="85" t="n"/>
      <c r="G137" s="66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" customHeight="1" s="49">
      <c r="A138" s="92" t="n"/>
      <c r="B138" s="93" t="n"/>
      <c r="C138" s="94" t="n"/>
      <c r="D138" s="94" t="n"/>
      <c r="E138" s="93" t="n"/>
      <c r="F138" s="95" t="n"/>
      <c r="G138" s="94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" customHeight="1" s="49">
      <c r="A139" s="90" t="n"/>
      <c r="B139" s="91" t="n"/>
      <c r="C139" s="66" t="n"/>
      <c r="D139" s="66" t="n"/>
      <c r="E139" s="91" t="n"/>
      <c r="F139" s="85" t="n"/>
      <c r="G139" s="66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" customHeight="1" s="49">
      <c r="A140" s="92" t="n"/>
      <c r="B140" s="93" t="n"/>
      <c r="C140" s="94" t="n"/>
      <c r="D140" s="94" t="n"/>
      <c r="E140" s="93" t="n"/>
      <c r="F140" s="95" t="n"/>
      <c r="G140" s="94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" customHeight="1" s="49">
      <c r="A141" s="90" t="n"/>
      <c r="B141" s="91" t="n"/>
      <c r="C141" s="66" t="n"/>
      <c r="D141" s="66" t="n"/>
      <c r="E141" s="91" t="n"/>
      <c r="F141" s="85" t="n"/>
      <c r="G141" s="66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" customHeight="1" s="49">
      <c r="A142" s="92" t="n"/>
      <c r="B142" s="93" t="n"/>
      <c r="C142" s="94" t="n"/>
      <c r="D142" s="94" t="n"/>
      <c r="E142" s="93" t="n"/>
      <c r="F142" s="95" t="n"/>
      <c r="G142" s="94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" customHeight="1" s="49">
      <c r="A143" s="90" t="n"/>
      <c r="B143" s="91" t="n"/>
      <c r="C143" s="66" t="n"/>
      <c r="D143" s="66" t="n"/>
      <c r="E143" s="91" t="n"/>
      <c r="F143" s="85" t="n"/>
      <c r="G143" s="66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" customHeight="1" s="49">
      <c r="A144" s="92" t="n"/>
      <c r="B144" s="93" t="n"/>
      <c r="C144" s="94" t="n"/>
      <c r="D144" s="94" t="n"/>
      <c r="E144" s="93" t="n"/>
      <c r="F144" s="95" t="n"/>
      <c r="G144" s="94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" customHeight="1" s="49">
      <c r="A145" s="90" t="n"/>
      <c r="B145" s="91" t="n"/>
      <c r="C145" s="66" t="n"/>
      <c r="D145" s="66" t="n"/>
      <c r="E145" s="91" t="n"/>
      <c r="F145" s="85" t="n"/>
      <c r="G145" s="66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" customHeight="1" s="49">
      <c r="A146" s="92" t="n"/>
      <c r="B146" s="93" t="n"/>
      <c r="C146" s="94" t="n"/>
      <c r="D146" s="94" t="n"/>
      <c r="E146" s="93" t="n"/>
      <c r="F146" s="95" t="n"/>
      <c r="G146" s="94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" customHeight="1" s="49">
      <c r="A147" s="90" t="n"/>
      <c r="B147" s="91" t="n"/>
      <c r="C147" s="66" t="n"/>
      <c r="D147" s="66" t="n"/>
      <c r="E147" s="91" t="n"/>
      <c r="F147" s="85" t="n"/>
      <c r="G147" s="66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" customHeight="1" s="49">
      <c r="A148" s="92" t="n"/>
      <c r="B148" s="93" t="n"/>
      <c r="C148" s="94" t="n"/>
      <c r="D148" s="94" t="n"/>
      <c r="E148" s="93" t="n"/>
      <c r="F148" s="95" t="n"/>
      <c r="G148" s="94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" customHeight="1" s="49">
      <c r="A149" s="90" t="n"/>
      <c r="B149" s="91" t="n"/>
      <c r="C149" s="66" t="n"/>
      <c r="D149" s="66" t="n"/>
      <c r="E149" s="91" t="n"/>
      <c r="F149" s="85" t="n"/>
      <c r="G149" s="66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" customHeight="1" s="49">
      <c r="A150" s="92" t="n"/>
      <c r="B150" s="93" t="n"/>
      <c r="C150" s="94" t="n"/>
      <c r="D150" s="94" t="n"/>
      <c r="E150" s="93" t="n"/>
      <c r="F150" s="95" t="n"/>
      <c r="G150" s="94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" customHeight="1" s="49">
      <c r="A151" s="90" t="n"/>
      <c r="B151" s="91" t="n"/>
      <c r="C151" s="66" t="n"/>
      <c r="D151" s="66" t="n"/>
      <c r="E151" s="91" t="n"/>
      <c r="F151" s="85" t="n"/>
      <c r="G151" s="66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" customHeight="1" s="49">
      <c r="A152" s="92" t="n"/>
      <c r="B152" s="93" t="n"/>
      <c r="C152" s="94" t="n"/>
      <c r="D152" s="94" t="n"/>
      <c r="E152" s="93" t="n"/>
      <c r="F152" s="95" t="n"/>
      <c r="G152" s="94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" customHeight="1" s="49">
      <c r="A153" s="90" t="n"/>
      <c r="B153" s="91" t="n"/>
      <c r="C153" s="66" t="n"/>
      <c r="D153" s="66" t="n"/>
      <c r="E153" s="91" t="n"/>
      <c r="F153" s="85" t="n"/>
      <c r="G153" s="66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" customHeight="1" s="49">
      <c r="A154" s="92" t="n"/>
      <c r="B154" s="93" t="n"/>
      <c r="C154" s="94" t="n"/>
      <c r="D154" s="94" t="n"/>
      <c r="E154" s="93" t="n"/>
      <c r="F154" s="95" t="n"/>
      <c r="G154" s="94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" customHeight="1" s="49">
      <c r="A155" s="90" t="n"/>
      <c r="B155" s="91" t="n"/>
      <c r="C155" s="66" t="n"/>
      <c r="D155" s="66" t="n"/>
      <c r="E155" s="91" t="n"/>
      <c r="F155" s="85" t="n"/>
      <c r="G155" s="66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" customHeight="1" s="49">
      <c r="A156" s="92" t="n"/>
      <c r="B156" s="93" t="n"/>
      <c r="C156" s="94" t="n"/>
      <c r="D156" s="94" t="n"/>
      <c r="E156" s="93" t="n"/>
      <c r="F156" s="95" t="n"/>
      <c r="G156" s="94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" customHeight="1" s="49">
      <c r="A157" s="90" t="n"/>
      <c r="B157" s="91" t="n"/>
      <c r="C157" s="66" t="n"/>
      <c r="D157" s="66" t="n"/>
      <c r="E157" s="91" t="n"/>
      <c r="F157" s="85" t="n"/>
      <c r="G157" s="66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" customHeight="1" s="49">
      <c r="A158" s="92" t="n"/>
      <c r="B158" s="93" t="n"/>
      <c r="C158" s="94" t="n"/>
      <c r="D158" s="94" t="n"/>
      <c r="E158" s="93" t="n"/>
      <c r="F158" s="95" t="n"/>
      <c r="G158" s="94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" customHeight="1" s="49">
      <c r="A159" s="90" t="n"/>
      <c r="B159" s="91" t="n"/>
      <c r="C159" s="66" t="n"/>
      <c r="D159" s="66" t="n"/>
      <c r="E159" s="91" t="n"/>
      <c r="F159" s="85" t="n"/>
      <c r="G159" s="66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" customHeight="1" s="49">
      <c r="A160" s="92" t="n"/>
      <c r="B160" s="93" t="n"/>
      <c r="C160" s="94" t="n"/>
      <c r="D160" s="94" t="n"/>
      <c r="E160" s="93" t="n"/>
      <c r="F160" s="95" t="n"/>
      <c r="G160" s="94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" customHeight="1" s="49">
      <c r="A161" s="90" t="n"/>
      <c r="B161" s="91" t="n"/>
      <c r="C161" s="66" t="n"/>
      <c r="D161" s="66" t="n"/>
      <c r="E161" s="91" t="n"/>
      <c r="F161" s="85" t="n"/>
      <c r="G161" s="66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" customHeight="1" s="49">
      <c r="A162" s="92" t="n"/>
      <c r="B162" s="93" t="n"/>
      <c r="C162" s="94" t="n"/>
      <c r="D162" s="94" t="n"/>
      <c r="E162" s="93" t="n"/>
      <c r="F162" s="95" t="n"/>
      <c r="G162" s="94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" customHeight="1" s="49">
      <c r="A163" s="90" t="n"/>
      <c r="B163" s="91" t="n"/>
      <c r="C163" s="66" t="n"/>
      <c r="D163" s="66" t="n"/>
      <c r="E163" s="91" t="n"/>
      <c r="F163" s="85" t="n"/>
      <c r="G163" s="66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" customHeight="1" s="49">
      <c r="A164" s="92" t="n"/>
      <c r="B164" s="93" t="n"/>
      <c r="C164" s="94" t="n"/>
      <c r="D164" s="94" t="n"/>
      <c r="E164" s="93" t="n"/>
      <c r="F164" s="95" t="n"/>
      <c r="G164" s="94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" customHeight="1" s="49">
      <c r="A165" s="90" t="n"/>
      <c r="B165" s="91" t="n"/>
      <c r="C165" s="66" t="n"/>
      <c r="D165" s="66" t="n"/>
      <c r="E165" s="91" t="n"/>
      <c r="F165" s="85" t="n"/>
      <c r="G165" s="66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" customHeight="1" s="49">
      <c r="A166" s="92" t="n"/>
      <c r="B166" s="93" t="n"/>
      <c r="C166" s="94" t="n"/>
      <c r="D166" s="94" t="n"/>
      <c r="E166" s="93" t="n"/>
      <c r="F166" s="95" t="n"/>
      <c r="G166" s="94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" customHeight="1" s="49">
      <c r="A167" s="90" t="n"/>
      <c r="B167" s="91" t="n"/>
      <c r="C167" s="66" t="n"/>
      <c r="D167" s="66" t="n"/>
      <c r="E167" s="91" t="n"/>
      <c r="F167" s="85" t="n"/>
      <c r="G167" s="66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" customHeight="1" s="49">
      <c r="A168" s="92" t="n"/>
      <c r="B168" s="93" t="n"/>
      <c r="C168" s="94" t="n"/>
      <c r="D168" s="94" t="n"/>
      <c r="E168" s="93" t="n"/>
      <c r="F168" s="95" t="n"/>
      <c r="G168" s="94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" customHeight="1" s="49">
      <c r="A169" s="90" t="n"/>
      <c r="B169" s="91" t="n"/>
      <c r="C169" s="66" t="n"/>
      <c r="D169" s="66" t="n"/>
      <c r="E169" s="91" t="n"/>
      <c r="F169" s="85" t="n"/>
      <c r="G169" s="66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" customHeight="1" s="49">
      <c r="A170" s="92" t="n"/>
      <c r="B170" s="93" t="n"/>
      <c r="C170" s="94" t="n"/>
      <c r="D170" s="94" t="n"/>
      <c r="E170" s="93" t="n"/>
      <c r="F170" s="95" t="n"/>
      <c r="G170" s="94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" customHeight="1" s="49">
      <c r="A171" s="90" t="n"/>
      <c r="B171" s="91" t="n"/>
      <c r="C171" s="66" t="n"/>
      <c r="D171" s="66" t="n"/>
      <c r="E171" s="91" t="n"/>
      <c r="F171" s="85" t="n"/>
      <c r="G171" s="66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" customHeight="1" s="49">
      <c r="A172" s="92" t="n"/>
      <c r="B172" s="93" t="n"/>
      <c r="C172" s="94" t="n"/>
      <c r="D172" s="94" t="n"/>
      <c r="E172" s="93" t="n"/>
      <c r="F172" s="95" t="n"/>
      <c r="G172" s="94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" customHeight="1" s="49">
      <c r="A173" s="90" t="n"/>
      <c r="B173" s="91" t="n"/>
      <c r="C173" s="66" t="n"/>
      <c r="D173" s="66" t="n"/>
      <c r="E173" s="91" t="n"/>
      <c r="F173" s="85" t="n"/>
      <c r="G173" s="66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" customHeight="1" s="49">
      <c r="A174" s="92" t="n"/>
      <c r="B174" s="93" t="n"/>
      <c r="C174" s="94" t="n"/>
      <c r="D174" s="94" t="n"/>
      <c r="E174" s="93" t="n"/>
      <c r="F174" s="95" t="n"/>
      <c r="G174" s="94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" customHeight="1" s="49">
      <c r="A175" s="90" t="n"/>
      <c r="B175" s="91" t="n"/>
      <c r="C175" s="66" t="n"/>
      <c r="D175" s="66" t="n"/>
      <c r="E175" s="91" t="n"/>
      <c r="F175" s="85" t="n"/>
      <c r="G175" s="66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" customHeight="1" s="49">
      <c r="A176" s="92" t="n"/>
      <c r="B176" s="93" t="n"/>
      <c r="C176" s="94" t="n"/>
      <c r="D176" s="94" t="n"/>
      <c r="E176" s="93" t="n"/>
      <c r="F176" s="95" t="n"/>
      <c r="G176" s="94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" customHeight="1" s="49">
      <c r="A177" s="90" t="n"/>
      <c r="B177" s="91" t="n"/>
      <c r="C177" s="66" t="n"/>
      <c r="D177" s="66" t="n"/>
      <c r="E177" s="91" t="n"/>
      <c r="F177" s="85" t="n"/>
      <c r="G177" s="66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" customHeight="1" s="49">
      <c r="A178" s="92" t="n"/>
      <c r="B178" s="93" t="n"/>
      <c r="C178" s="94" t="n"/>
      <c r="D178" s="94" t="n"/>
      <c r="E178" s="93" t="n"/>
      <c r="F178" s="95" t="n"/>
      <c r="G178" s="94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" customHeight="1" s="49">
      <c r="A179" s="90" t="n"/>
      <c r="B179" s="91" t="n"/>
      <c r="C179" s="66" t="n"/>
      <c r="D179" s="66" t="n"/>
      <c r="E179" s="91" t="n"/>
      <c r="F179" s="85" t="n"/>
      <c r="G179" s="66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" customHeight="1" s="49">
      <c r="A180" s="92" t="n"/>
      <c r="B180" s="93" t="n"/>
      <c r="C180" s="94" t="n"/>
      <c r="D180" s="94" t="n"/>
      <c r="E180" s="93" t="n"/>
      <c r="F180" s="95" t="n"/>
      <c r="G180" s="94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" customHeight="1" s="49">
      <c r="A181" s="90" t="n"/>
      <c r="B181" s="91" t="n"/>
      <c r="C181" s="66" t="n"/>
      <c r="D181" s="66" t="n"/>
      <c r="E181" s="91" t="n"/>
      <c r="F181" s="85" t="n"/>
      <c r="G181" s="66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" customHeight="1" s="49">
      <c r="A182" s="92" t="n"/>
      <c r="B182" s="93" t="n"/>
      <c r="C182" s="94" t="n"/>
      <c r="D182" s="94" t="n"/>
      <c r="E182" s="93" t="n"/>
      <c r="F182" s="95" t="n"/>
      <c r="G182" s="94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" customHeight="1" s="49">
      <c r="A183" s="90" t="n"/>
      <c r="B183" s="91" t="n"/>
      <c r="C183" s="66" t="n"/>
      <c r="D183" s="66" t="n"/>
      <c r="E183" s="91" t="n"/>
      <c r="F183" s="85" t="n"/>
      <c r="G183" s="66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" customHeight="1" s="49">
      <c r="A184" s="92" t="n"/>
      <c r="B184" s="93" t="n"/>
      <c r="C184" s="94" t="n"/>
      <c r="D184" s="94" t="n"/>
      <c r="E184" s="93" t="n"/>
      <c r="F184" s="95" t="n"/>
      <c r="G184" s="94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" customHeight="1" s="49">
      <c r="A185" s="90" t="n"/>
      <c r="B185" s="91" t="n"/>
      <c r="C185" s="66" t="n"/>
      <c r="D185" s="66" t="n"/>
      <c r="E185" s="91" t="n"/>
      <c r="F185" s="85" t="n"/>
      <c r="G185" s="66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" customHeight="1" s="49">
      <c r="A186" s="92" t="n"/>
      <c r="B186" s="93" t="n"/>
      <c r="C186" s="94" t="n"/>
      <c r="D186" s="94" t="n"/>
      <c r="E186" s="93" t="n"/>
      <c r="F186" s="95" t="n"/>
      <c r="G186" s="94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" customHeight="1" s="49">
      <c r="A187" s="90" t="n"/>
      <c r="B187" s="91" t="n"/>
      <c r="C187" s="66" t="n"/>
      <c r="D187" s="66" t="n"/>
      <c r="E187" s="91" t="n"/>
      <c r="F187" s="85" t="n"/>
      <c r="G187" s="66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" customHeight="1" s="49">
      <c r="A188" s="92" t="n"/>
      <c r="B188" s="93" t="n"/>
      <c r="C188" s="94" t="n"/>
      <c r="D188" s="94" t="n"/>
      <c r="E188" s="93" t="n"/>
      <c r="F188" s="95" t="n"/>
      <c r="G188" s="94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" customHeight="1" s="49">
      <c r="A189" s="90" t="n"/>
      <c r="B189" s="91" t="n"/>
      <c r="C189" s="66" t="n"/>
      <c r="D189" s="66" t="n"/>
      <c r="E189" s="91" t="n"/>
      <c r="F189" s="85" t="n"/>
      <c r="G189" s="66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" customHeight="1" s="49">
      <c r="A190" s="92" t="n"/>
      <c r="B190" s="93" t="n"/>
      <c r="C190" s="94" t="n"/>
      <c r="D190" s="94" t="n"/>
      <c r="E190" s="93" t="n"/>
      <c r="F190" s="95" t="n"/>
      <c r="G190" s="94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" customHeight="1" s="49">
      <c r="A191" s="90" t="n"/>
      <c r="B191" s="91" t="n"/>
      <c r="C191" s="66" t="n"/>
      <c r="D191" s="66" t="n"/>
      <c r="E191" s="91" t="n"/>
      <c r="F191" s="85" t="n"/>
      <c r="G191" s="66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" customHeight="1" s="49">
      <c r="A192" s="92" t="n"/>
      <c r="B192" s="93" t="n"/>
      <c r="C192" s="94" t="n"/>
      <c r="D192" s="94" t="n"/>
      <c r="E192" s="93" t="n"/>
      <c r="F192" s="95" t="n"/>
      <c r="G192" s="94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" customHeight="1" s="49">
      <c r="A193" s="90" t="n"/>
      <c r="B193" s="91" t="n"/>
      <c r="C193" s="66" t="n"/>
      <c r="D193" s="66" t="n"/>
      <c r="E193" s="91" t="n"/>
      <c r="F193" s="85" t="n"/>
      <c r="G193" s="66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" customHeight="1" s="49">
      <c r="A194" s="92" t="n"/>
      <c r="B194" s="93" t="n"/>
      <c r="C194" s="94" t="n"/>
      <c r="D194" s="94" t="n"/>
      <c r="E194" s="93" t="n"/>
      <c r="F194" s="95" t="n"/>
      <c r="G194" s="94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" customHeight="1" s="49">
      <c r="A195" s="90" t="n"/>
      <c r="B195" s="91" t="n"/>
      <c r="C195" s="66" t="n"/>
      <c r="D195" s="66" t="n"/>
      <c r="E195" s="91" t="n"/>
      <c r="F195" s="85" t="n"/>
      <c r="G195" s="66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" customHeight="1" s="49">
      <c r="A196" s="92" t="n"/>
      <c r="B196" s="93" t="n"/>
      <c r="C196" s="94" t="n"/>
      <c r="D196" s="94" t="n"/>
      <c r="E196" s="93" t="n"/>
      <c r="F196" s="95" t="n"/>
      <c r="G196" s="94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" customHeight="1" s="49">
      <c r="A197" s="90" t="n"/>
      <c r="B197" s="91" t="n"/>
      <c r="C197" s="66" t="n"/>
      <c r="D197" s="66" t="n"/>
      <c r="E197" s="91" t="n"/>
      <c r="F197" s="85" t="n"/>
      <c r="G197" s="66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" customHeight="1" s="49">
      <c r="A198" s="92" t="n"/>
      <c r="B198" s="93" t="n"/>
      <c r="C198" s="94" t="n"/>
      <c r="D198" s="94" t="n"/>
      <c r="E198" s="93" t="n"/>
      <c r="F198" s="95" t="n"/>
      <c r="G198" s="94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" customHeight="1" s="49">
      <c r="A199" s="90" t="n"/>
      <c r="B199" s="91" t="n"/>
      <c r="C199" s="66" t="n"/>
      <c r="D199" s="66" t="n"/>
      <c r="E199" s="91" t="n"/>
      <c r="F199" s="85" t="n"/>
      <c r="G199" s="66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" customHeight="1" s="49">
      <c r="A200" s="92" t="n"/>
      <c r="B200" s="93" t="n"/>
      <c r="C200" s="94" t="n"/>
      <c r="D200" s="94" t="n"/>
      <c r="E200" s="93" t="n"/>
      <c r="F200" s="95" t="n"/>
      <c r="G200" s="94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" customHeight="1" s="49">
      <c r="A201" s="90" t="n"/>
      <c r="B201" s="91" t="n"/>
      <c r="C201" s="66" t="n"/>
      <c r="D201" s="66" t="n"/>
      <c r="E201" s="91" t="n"/>
      <c r="F201" s="85" t="n"/>
      <c r="G201" s="66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" customHeight="1" s="49">
      <c r="A202" s="92" t="n"/>
      <c r="B202" s="93" t="n"/>
      <c r="C202" s="94" t="n"/>
      <c r="D202" s="94" t="n"/>
      <c r="E202" s="93" t="n"/>
      <c r="F202" s="95" t="n"/>
      <c r="G202" s="94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" customHeight="1" s="49">
      <c r="A203" s="90" t="n"/>
      <c r="B203" s="91" t="n"/>
      <c r="C203" s="66" t="n"/>
      <c r="D203" s="66" t="n"/>
      <c r="E203" s="91" t="n"/>
      <c r="F203" s="85" t="n"/>
      <c r="G203" s="66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" customHeight="1" s="49">
      <c r="A204" s="92" t="n"/>
      <c r="B204" s="93" t="n"/>
      <c r="C204" s="94" t="n"/>
      <c r="D204" s="94" t="n"/>
      <c r="E204" s="93" t="n"/>
      <c r="F204" s="95" t="n"/>
      <c r="G204" s="94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" customHeight="1" s="49">
      <c r="A205" s="90" t="n"/>
      <c r="B205" s="91" t="n"/>
      <c r="C205" s="66" t="n"/>
      <c r="D205" s="66" t="n"/>
      <c r="E205" s="91" t="n"/>
      <c r="F205" s="85" t="n"/>
      <c r="G205" s="66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" customHeight="1" s="49">
      <c r="A206" s="92" t="n"/>
      <c r="B206" s="93" t="n"/>
      <c r="C206" s="94" t="n"/>
      <c r="D206" s="94" t="n"/>
      <c r="E206" s="93" t="n"/>
      <c r="F206" s="95" t="n"/>
      <c r="G206" s="94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" customHeight="1" s="49">
      <c r="A207" s="90" t="n"/>
      <c r="B207" s="91" t="n"/>
      <c r="C207" s="66" t="n"/>
      <c r="D207" s="66" t="n"/>
      <c r="E207" s="91" t="n"/>
      <c r="F207" s="85" t="n"/>
      <c r="G207" s="66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" customHeight="1" s="49">
      <c r="A208" s="92" t="n"/>
      <c r="B208" s="93" t="n"/>
      <c r="C208" s="94" t="n"/>
      <c r="D208" s="94" t="n"/>
      <c r="E208" s="93" t="n"/>
      <c r="F208" s="95" t="n"/>
      <c r="G208" s="94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" customHeight="1" s="49">
      <c r="A209" s="90" t="n"/>
      <c r="B209" s="91" t="n"/>
      <c r="C209" s="66" t="n"/>
      <c r="D209" s="66" t="n"/>
      <c r="E209" s="91" t="n"/>
      <c r="F209" s="85" t="n"/>
      <c r="G209" s="66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" customHeight="1" s="49">
      <c r="A210" s="92" t="n"/>
      <c r="B210" s="93" t="n"/>
      <c r="C210" s="94" t="n"/>
      <c r="D210" s="94" t="n"/>
      <c r="E210" s="93" t="n"/>
      <c r="F210" s="95" t="n"/>
      <c r="G210" s="94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" customHeight="1" s="49">
      <c r="A211" s="90" t="n"/>
      <c r="B211" s="91" t="n"/>
      <c r="C211" s="66" t="n"/>
      <c r="D211" s="66" t="n"/>
      <c r="E211" s="91" t="n"/>
      <c r="F211" s="85" t="n"/>
      <c r="G211" s="66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" customHeight="1" s="49">
      <c r="A212" s="92" t="n"/>
      <c r="B212" s="93" t="n"/>
      <c r="C212" s="94" t="n"/>
      <c r="D212" s="94" t="n"/>
      <c r="E212" s="93" t="n"/>
      <c r="F212" s="95" t="n"/>
      <c r="G212" s="94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" customHeight="1" s="49">
      <c r="A213" s="90" t="n"/>
      <c r="B213" s="91" t="n"/>
      <c r="C213" s="66" t="n"/>
      <c r="D213" s="66" t="n"/>
      <c r="E213" s="91" t="n"/>
      <c r="F213" s="85" t="n"/>
      <c r="G213" s="66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" customHeight="1" s="49">
      <c r="A214" s="92" t="n"/>
      <c r="B214" s="93" t="n"/>
      <c r="C214" s="94" t="n"/>
      <c r="D214" s="94" t="n"/>
      <c r="E214" s="93" t="n"/>
      <c r="F214" s="95" t="n"/>
      <c r="G214" s="94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" customHeight="1" s="49">
      <c r="A215" s="90" t="n"/>
      <c r="B215" s="91" t="n"/>
      <c r="C215" s="66" t="n"/>
      <c r="D215" s="66" t="n"/>
      <c r="E215" s="91" t="n"/>
      <c r="F215" s="85" t="n"/>
      <c r="G215" s="66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" customHeight="1" s="49">
      <c r="A216" s="92" t="n"/>
      <c r="B216" s="93" t="n"/>
      <c r="C216" s="94" t="n"/>
      <c r="D216" s="94" t="n"/>
      <c r="E216" s="93" t="n"/>
      <c r="F216" s="95" t="n"/>
      <c r="G216" s="94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" customHeight="1" s="49">
      <c r="A217" s="90" t="n"/>
      <c r="B217" s="91" t="n"/>
      <c r="C217" s="66" t="n"/>
      <c r="D217" s="66" t="n"/>
      <c r="E217" s="91" t="n"/>
      <c r="F217" s="85" t="n"/>
      <c r="G217" s="66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" customHeight="1" s="49">
      <c r="A218" s="92" t="n"/>
      <c r="B218" s="93" t="n"/>
      <c r="C218" s="94" t="n"/>
      <c r="D218" s="94" t="n"/>
      <c r="E218" s="93" t="n"/>
      <c r="F218" s="95" t="n"/>
      <c r="G218" s="94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" customHeight="1" s="49">
      <c r="A219" s="90" t="n"/>
      <c r="B219" s="91" t="n"/>
      <c r="C219" s="66" t="n"/>
      <c r="D219" s="66" t="n"/>
      <c r="E219" s="91" t="n"/>
      <c r="F219" s="85" t="n"/>
      <c r="G219" s="66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" customHeight="1" s="49">
      <c r="A220" s="92" t="n"/>
      <c r="B220" s="93" t="n"/>
      <c r="C220" s="94" t="n"/>
      <c r="D220" s="94" t="n"/>
      <c r="E220" s="93" t="n"/>
      <c r="F220" s="95" t="n"/>
      <c r="G220" s="94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49">
      <c r="A221" s="96" t="n"/>
      <c r="B221" s="96" t="n"/>
      <c r="C221" s="96" t="n"/>
      <c r="D221" s="96" t="n"/>
      <c r="E221" s="96" t="n"/>
      <c r="F221" s="96" t="n"/>
      <c r="G221" s="96" t="n"/>
    </row>
    <row r="222" ht="15.75" customHeight="1" s="49">
      <c r="A222" s="96" t="n"/>
      <c r="B222" s="96" t="n"/>
      <c r="C222" s="96" t="n"/>
      <c r="D222" s="96" t="n"/>
      <c r="E222" s="96" t="n"/>
      <c r="F222" s="96" t="n"/>
      <c r="G222" s="96" t="n"/>
    </row>
    <row r="223" ht="15.75" customHeight="1" s="49">
      <c r="A223" s="96" t="n"/>
      <c r="B223" s="96" t="n"/>
      <c r="C223" s="96" t="n"/>
      <c r="D223" s="96" t="n"/>
      <c r="E223" s="96" t="n"/>
      <c r="F223" s="96" t="n"/>
      <c r="G223" s="96" t="n"/>
    </row>
    <row r="224" ht="15.75" customHeight="1" s="49">
      <c r="A224" s="96" t="n"/>
      <c r="B224" s="96" t="n"/>
      <c r="C224" s="96" t="n"/>
      <c r="D224" s="96" t="n"/>
      <c r="E224" s="96" t="n"/>
      <c r="F224" s="96" t="n"/>
      <c r="G224" s="96" t="n"/>
    </row>
    <row r="225" ht="15.75" customHeight="1" s="49">
      <c r="A225" s="96" t="n"/>
      <c r="B225" s="96" t="n"/>
      <c r="C225" s="96" t="n"/>
      <c r="D225" s="96" t="n"/>
      <c r="E225" s="96" t="n"/>
      <c r="F225" s="96" t="n"/>
      <c r="G225" s="96" t="n"/>
    </row>
    <row r="226" ht="15.75" customHeight="1" s="49">
      <c r="A226" s="96" t="n"/>
      <c r="B226" s="96" t="n"/>
      <c r="C226" s="96" t="n"/>
      <c r="D226" s="96" t="n"/>
      <c r="E226" s="96" t="n"/>
      <c r="F226" s="96" t="n"/>
      <c r="G226" s="96" t="n"/>
    </row>
    <row r="227" ht="15.75" customHeight="1" s="49">
      <c r="A227" s="96" t="n"/>
      <c r="B227" s="96" t="n"/>
      <c r="C227" s="96" t="n"/>
      <c r="D227" s="96" t="n"/>
      <c r="E227" s="96" t="n"/>
      <c r="F227" s="96" t="n"/>
      <c r="G227" s="96" t="n"/>
    </row>
    <row r="228" ht="15.75" customHeight="1" s="49">
      <c r="A228" s="96" t="n"/>
      <c r="B228" s="96" t="n"/>
      <c r="C228" s="96" t="n"/>
      <c r="D228" s="96" t="n"/>
      <c r="E228" s="96" t="n"/>
      <c r="F228" s="96" t="n"/>
      <c r="G228" s="96" t="n"/>
    </row>
    <row r="229" ht="15.75" customHeight="1" s="49">
      <c r="A229" s="96" t="n"/>
      <c r="B229" s="96" t="n"/>
      <c r="C229" s="96" t="n"/>
      <c r="D229" s="96" t="n"/>
      <c r="E229" s="96" t="n"/>
      <c r="F229" s="96" t="n"/>
      <c r="G229" s="96" t="n"/>
    </row>
    <row r="230" ht="15.75" customHeight="1" s="49">
      <c r="A230" s="96" t="n"/>
      <c r="B230" s="96" t="n"/>
      <c r="C230" s="96" t="n"/>
      <c r="D230" s="96" t="n"/>
      <c r="E230" s="96" t="n"/>
      <c r="F230" s="96" t="n"/>
      <c r="G230" s="96" t="n"/>
    </row>
    <row r="231" ht="15.75" customHeight="1" s="49">
      <c r="A231" s="96" t="n"/>
      <c r="B231" s="96" t="n"/>
      <c r="C231" s="96" t="n"/>
      <c r="D231" s="96" t="n"/>
      <c r="E231" s="96" t="n"/>
      <c r="F231" s="96" t="n"/>
      <c r="G231" s="96" t="n"/>
    </row>
    <row r="232" ht="15.75" customHeight="1" s="49">
      <c r="A232" s="96" t="n"/>
      <c r="B232" s="96" t="n"/>
      <c r="C232" s="96" t="n"/>
      <c r="D232" s="96" t="n"/>
      <c r="E232" s="96" t="n"/>
      <c r="F232" s="96" t="n"/>
      <c r="G232" s="96" t="n"/>
    </row>
    <row r="233" ht="15.75" customHeight="1" s="49">
      <c r="A233" s="96" t="n"/>
      <c r="B233" s="96" t="n"/>
      <c r="C233" s="96" t="n"/>
      <c r="D233" s="96" t="n"/>
      <c r="E233" s="96" t="n"/>
      <c r="F233" s="96" t="n"/>
      <c r="G233" s="96" t="n"/>
    </row>
    <row r="234" ht="15.75" customHeight="1" s="49">
      <c r="A234" s="96" t="n"/>
      <c r="B234" s="96" t="n"/>
      <c r="C234" s="96" t="n"/>
      <c r="D234" s="96" t="n"/>
      <c r="E234" s="96" t="n"/>
      <c r="F234" s="96" t="n"/>
      <c r="G234" s="96" t="n"/>
    </row>
    <row r="235" ht="15.75" customHeight="1" s="49">
      <c r="A235" s="96" t="n"/>
      <c r="B235" s="96" t="n"/>
      <c r="C235" s="96" t="n"/>
      <c r="D235" s="96" t="n"/>
      <c r="E235" s="96" t="n"/>
      <c r="F235" s="96" t="n"/>
      <c r="G235" s="96" t="n"/>
    </row>
    <row r="236" ht="15.75" customHeight="1" s="49">
      <c r="A236" s="96" t="n"/>
      <c r="B236" s="96" t="n"/>
      <c r="C236" s="96" t="n"/>
      <c r="D236" s="96" t="n"/>
      <c r="E236" s="96" t="n"/>
      <c r="F236" s="96" t="n"/>
      <c r="G236" s="96" t="n"/>
    </row>
    <row r="237" ht="15.75" customHeight="1" s="49">
      <c r="A237" s="96" t="n"/>
      <c r="B237" s="96" t="n"/>
      <c r="C237" s="96" t="n"/>
      <c r="D237" s="96" t="n"/>
      <c r="E237" s="96" t="n"/>
      <c r="F237" s="96" t="n"/>
      <c r="G237" s="96" t="n"/>
    </row>
    <row r="238" ht="15.75" customHeight="1" s="49">
      <c r="A238" s="96" t="n"/>
      <c r="B238" s="96" t="n"/>
      <c r="C238" s="96" t="n"/>
      <c r="D238" s="96" t="n"/>
      <c r="E238" s="96" t="n"/>
      <c r="F238" s="96" t="n"/>
      <c r="G238" s="96" t="n"/>
    </row>
    <row r="239" ht="15.75" customHeight="1" s="49">
      <c r="A239" s="96" t="n"/>
      <c r="B239" s="96" t="n"/>
      <c r="C239" s="96" t="n"/>
      <c r="D239" s="96" t="n"/>
      <c r="E239" s="96" t="n"/>
      <c r="F239" s="96" t="n"/>
      <c r="G239" s="96" t="n"/>
    </row>
    <row r="240" ht="15.75" customHeight="1" s="49">
      <c r="A240" s="96" t="n"/>
      <c r="B240" s="96" t="n"/>
      <c r="C240" s="96" t="n"/>
      <c r="D240" s="96" t="n"/>
      <c r="E240" s="96" t="n"/>
      <c r="F240" s="96" t="n"/>
      <c r="G240" s="96" t="n"/>
    </row>
    <row r="241" ht="15.75" customHeight="1" s="49">
      <c r="A241" s="96" t="n"/>
      <c r="B241" s="96" t="n"/>
      <c r="C241" s="96" t="n"/>
      <c r="D241" s="96" t="n"/>
      <c r="E241" s="96" t="n"/>
      <c r="F241" s="96" t="n"/>
      <c r="G241" s="96" t="n"/>
    </row>
    <row r="242" ht="15.75" customHeight="1" s="49">
      <c r="A242" s="96" t="n"/>
      <c r="B242" s="96" t="n"/>
      <c r="C242" s="96" t="n"/>
      <c r="D242" s="96" t="n"/>
      <c r="E242" s="96" t="n"/>
      <c r="F242" s="96" t="n"/>
      <c r="G242" s="96" t="n"/>
    </row>
    <row r="243" ht="15.75" customHeight="1" s="49">
      <c r="A243" s="96" t="n"/>
      <c r="B243" s="96" t="n"/>
      <c r="C243" s="96" t="n"/>
      <c r="D243" s="96" t="n"/>
      <c r="E243" s="96" t="n"/>
      <c r="F243" s="96" t="n"/>
      <c r="G243" s="96" t="n"/>
    </row>
    <row r="244" ht="15.75" customHeight="1" s="49">
      <c r="A244" s="96" t="n"/>
      <c r="B244" s="96" t="n"/>
      <c r="C244" s="96" t="n"/>
      <c r="D244" s="96" t="n"/>
      <c r="E244" s="96" t="n"/>
      <c r="F244" s="96" t="n"/>
      <c r="G244" s="96" t="n"/>
    </row>
    <row r="245" ht="15.75" customHeight="1" s="49">
      <c r="A245" s="96" t="n"/>
      <c r="B245" s="96" t="n"/>
      <c r="C245" s="96" t="n"/>
      <c r="D245" s="96" t="n"/>
      <c r="E245" s="96" t="n"/>
      <c r="F245" s="96" t="n"/>
      <c r="G245" s="96" t="n"/>
    </row>
    <row r="246" ht="15.75" customHeight="1" s="49">
      <c r="A246" s="96" t="n"/>
      <c r="B246" s="96" t="n"/>
      <c r="C246" s="96" t="n"/>
      <c r="D246" s="96" t="n"/>
      <c r="E246" s="96" t="n"/>
      <c r="F246" s="96" t="n"/>
      <c r="G246" s="96" t="n"/>
    </row>
    <row r="247" ht="15.75" customHeight="1" s="49">
      <c r="A247" s="96" t="n"/>
      <c r="B247" s="96" t="n"/>
      <c r="C247" s="96" t="n"/>
      <c r="D247" s="96" t="n"/>
      <c r="E247" s="96" t="n"/>
      <c r="F247" s="96" t="n"/>
      <c r="G247" s="96" t="n"/>
    </row>
    <row r="248" ht="15.75" customHeight="1" s="49">
      <c r="A248" s="96" t="n"/>
      <c r="B248" s="96" t="n"/>
      <c r="C248" s="96" t="n"/>
      <c r="D248" s="96" t="n"/>
      <c r="E248" s="96" t="n"/>
      <c r="F248" s="96" t="n"/>
      <c r="G248" s="96" t="n"/>
    </row>
    <row r="249" ht="15.75" customHeight="1" s="49">
      <c r="A249" s="96" t="n"/>
      <c r="B249" s="96" t="n"/>
      <c r="C249" s="96" t="n"/>
      <c r="D249" s="96" t="n"/>
      <c r="E249" s="96" t="n"/>
      <c r="F249" s="96" t="n"/>
      <c r="G249" s="96" t="n"/>
    </row>
    <row r="250" ht="15.75" customHeight="1" s="49">
      <c r="A250" s="96" t="n"/>
      <c r="B250" s="96" t="n"/>
      <c r="C250" s="96" t="n"/>
      <c r="D250" s="96" t="n"/>
      <c r="E250" s="96" t="n"/>
      <c r="F250" s="96" t="n"/>
      <c r="G250" s="96" t="n"/>
    </row>
    <row r="251" ht="15.75" customHeight="1" s="49">
      <c r="A251" s="96" t="n"/>
      <c r="B251" s="96" t="n"/>
      <c r="C251" s="96" t="n"/>
      <c r="D251" s="96" t="n"/>
      <c r="E251" s="96" t="n"/>
      <c r="F251" s="96" t="n"/>
      <c r="G251" s="96" t="n"/>
    </row>
    <row r="252" ht="15.75" customHeight="1" s="49">
      <c r="A252" s="96" t="n"/>
      <c r="B252" s="96" t="n"/>
      <c r="C252" s="96" t="n"/>
      <c r="D252" s="96" t="n"/>
      <c r="E252" s="96" t="n"/>
      <c r="F252" s="96" t="n"/>
      <c r="G252" s="96" t="n"/>
    </row>
    <row r="253" ht="15.75" customHeight="1" s="49">
      <c r="A253" s="96" t="n"/>
      <c r="B253" s="96" t="n"/>
      <c r="C253" s="96" t="n"/>
      <c r="D253" s="96" t="n"/>
      <c r="E253" s="96" t="n"/>
      <c r="F253" s="96" t="n"/>
      <c r="G253" s="96" t="n"/>
    </row>
    <row r="254" ht="15.75" customHeight="1" s="49">
      <c r="A254" s="96" t="n"/>
      <c r="B254" s="96" t="n"/>
      <c r="C254" s="96" t="n"/>
      <c r="D254" s="96" t="n"/>
      <c r="E254" s="96" t="n"/>
      <c r="F254" s="96" t="n"/>
      <c r="G254" s="96" t="n"/>
    </row>
    <row r="255" ht="15.75" customHeight="1" s="49">
      <c r="A255" s="96" t="n"/>
      <c r="B255" s="96" t="n"/>
      <c r="C255" s="96" t="n"/>
      <c r="D255" s="96" t="n"/>
      <c r="E255" s="96" t="n"/>
      <c r="F255" s="96" t="n"/>
      <c r="G255" s="96" t="n"/>
    </row>
    <row r="256" ht="15.75" customHeight="1" s="49">
      <c r="A256" s="96" t="n"/>
      <c r="B256" s="96" t="n"/>
      <c r="C256" s="96" t="n"/>
      <c r="D256" s="96" t="n"/>
      <c r="E256" s="96" t="n"/>
      <c r="F256" s="96" t="n"/>
      <c r="G256" s="96" t="n"/>
    </row>
    <row r="257" ht="15.75" customHeight="1" s="49">
      <c r="A257" s="96" t="n"/>
      <c r="B257" s="96" t="n"/>
      <c r="C257" s="96" t="n"/>
      <c r="D257" s="96" t="n"/>
      <c r="E257" s="96" t="n"/>
      <c r="F257" s="96" t="n"/>
      <c r="G257" s="96" t="n"/>
    </row>
    <row r="258" ht="15.75" customHeight="1" s="49">
      <c r="A258" s="96" t="n"/>
      <c r="B258" s="96" t="n"/>
      <c r="C258" s="96" t="n"/>
      <c r="D258" s="96" t="n"/>
      <c r="E258" s="96" t="n"/>
      <c r="F258" s="96" t="n"/>
      <c r="G258" s="96" t="n"/>
    </row>
    <row r="259" ht="15.75" customHeight="1" s="49">
      <c r="A259" s="96" t="n"/>
      <c r="B259" s="96" t="n"/>
      <c r="C259" s="96" t="n"/>
      <c r="D259" s="96" t="n"/>
      <c r="E259" s="96" t="n"/>
      <c r="F259" s="96" t="n"/>
      <c r="G259" s="96" t="n"/>
    </row>
    <row r="260" ht="15.75" customHeight="1" s="49">
      <c r="A260" s="96" t="n"/>
      <c r="B260" s="96" t="n"/>
      <c r="C260" s="96" t="n"/>
      <c r="D260" s="96" t="n"/>
      <c r="E260" s="96" t="n"/>
      <c r="F260" s="96" t="n"/>
      <c r="G260" s="96" t="n"/>
    </row>
    <row r="261" ht="15.75" customHeight="1" s="49">
      <c r="A261" s="96" t="n"/>
      <c r="B261" s="96" t="n"/>
      <c r="C261" s="96" t="n"/>
      <c r="D261" s="96" t="n"/>
      <c r="E261" s="96" t="n"/>
      <c r="F261" s="96" t="n"/>
      <c r="G261" s="96" t="n"/>
    </row>
    <row r="262" ht="15.75" customHeight="1" s="49">
      <c r="A262" s="96" t="n"/>
      <c r="B262" s="96" t="n"/>
      <c r="C262" s="96" t="n"/>
      <c r="D262" s="96" t="n"/>
      <c r="E262" s="96" t="n"/>
      <c r="F262" s="96" t="n"/>
      <c r="G262" s="96" t="n"/>
    </row>
    <row r="263" ht="15.75" customHeight="1" s="49">
      <c r="A263" s="96" t="n"/>
      <c r="B263" s="96" t="n"/>
      <c r="C263" s="96" t="n"/>
      <c r="D263" s="96" t="n"/>
      <c r="E263" s="96" t="n"/>
      <c r="F263" s="96" t="n"/>
      <c r="G263" s="96" t="n"/>
    </row>
    <row r="264" ht="15.75" customHeight="1" s="49">
      <c r="A264" s="96" t="n"/>
      <c r="B264" s="96" t="n"/>
      <c r="C264" s="96" t="n"/>
      <c r="D264" s="96" t="n"/>
      <c r="E264" s="96" t="n"/>
      <c r="F264" s="96" t="n"/>
      <c r="G264" s="96" t="n"/>
    </row>
    <row r="265" ht="15.75" customHeight="1" s="49">
      <c r="A265" s="96" t="n"/>
      <c r="B265" s="96" t="n"/>
      <c r="C265" s="96" t="n"/>
      <c r="D265" s="96" t="n"/>
      <c r="E265" s="96" t="n"/>
      <c r="F265" s="96" t="n"/>
      <c r="G265" s="96" t="n"/>
    </row>
    <row r="266" ht="15.75" customHeight="1" s="49">
      <c r="A266" s="96" t="n"/>
      <c r="B266" s="96" t="n"/>
      <c r="C266" s="96" t="n"/>
      <c r="D266" s="96" t="n"/>
      <c r="E266" s="96" t="n"/>
      <c r="F266" s="96" t="n"/>
      <c r="G266" s="96" t="n"/>
    </row>
    <row r="267" ht="15.75" customHeight="1" s="49">
      <c r="A267" s="96" t="n"/>
      <c r="B267" s="96" t="n"/>
      <c r="C267" s="96" t="n"/>
      <c r="D267" s="96" t="n"/>
      <c r="E267" s="96" t="n"/>
      <c r="F267" s="96" t="n"/>
      <c r="G267" s="96" t="n"/>
    </row>
    <row r="268" ht="15.75" customHeight="1" s="49">
      <c r="A268" s="96" t="n"/>
      <c r="B268" s="96" t="n"/>
      <c r="C268" s="96" t="n"/>
      <c r="D268" s="96" t="n"/>
      <c r="E268" s="96" t="n"/>
      <c r="F268" s="96" t="n"/>
      <c r="G268" s="96" t="n"/>
    </row>
    <row r="269" ht="15.75" customHeight="1" s="49">
      <c r="A269" s="96" t="n"/>
      <c r="B269" s="96" t="n"/>
      <c r="C269" s="96" t="n"/>
      <c r="D269" s="96" t="n"/>
      <c r="E269" s="96" t="n"/>
      <c r="F269" s="96" t="n"/>
      <c r="G269" s="96" t="n"/>
    </row>
    <row r="270" ht="15.75" customHeight="1" s="49">
      <c r="A270" s="96" t="n"/>
      <c r="B270" s="96" t="n"/>
      <c r="C270" s="96" t="n"/>
      <c r="D270" s="96" t="n"/>
      <c r="E270" s="96" t="n"/>
      <c r="F270" s="96" t="n"/>
      <c r="G270" s="96" t="n"/>
    </row>
    <row r="271" ht="15.75" customHeight="1" s="49">
      <c r="A271" s="96" t="n"/>
      <c r="B271" s="96" t="n"/>
      <c r="C271" s="96" t="n"/>
      <c r="D271" s="96" t="n"/>
      <c r="E271" s="96" t="n"/>
      <c r="F271" s="96" t="n"/>
      <c r="G271" s="96" t="n"/>
    </row>
    <row r="272" ht="15.75" customHeight="1" s="49">
      <c r="A272" s="96" t="n"/>
      <c r="B272" s="96" t="n"/>
      <c r="C272" s="96" t="n"/>
      <c r="D272" s="96" t="n"/>
      <c r="E272" s="96" t="n"/>
      <c r="F272" s="96" t="n"/>
      <c r="G272" s="96" t="n"/>
    </row>
    <row r="273" ht="15.75" customHeight="1" s="49">
      <c r="A273" s="96" t="n"/>
      <c r="B273" s="96" t="n"/>
      <c r="C273" s="96" t="n"/>
      <c r="D273" s="96" t="n"/>
      <c r="E273" s="96" t="n"/>
      <c r="F273" s="96" t="n"/>
      <c r="G273" s="96" t="n"/>
    </row>
    <row r="274" ht="15.75" customHeight="1" s="49">
      <c r="A274" s="96" t="n"/>
      <c r="B274" s="96" t="n"/>
      <c r="C274" s="96" t="n"/>
      <c r="D274" s="96" t="n"/>
      <c r="E274" s="96" t="n"/>
      <c r="F274" s="96" t="n"/>
      <c r="G274" s="96" t="n"/>
    </row>
    <row r="275" ht="15.75" customHeight="1" s="49">
      <c r="A275" s="96" t="n"/>
      <c r="B275" s="96" t="n"/>
      <c r="C275" s="96" t="n"/>
      <c r="D275" s="96" t="n"/>
      <c r="E275" s="96" t="n"/>
      <c r="F275" s="96" t="n"/>
      <c r="G275" s="96" t="n"/>
    </row>
    <row r="276" ht="15.75" customHeight="1" s="49">
      <c r="A276" s="96" t="n"/>
      <c r="B276" s="96" t="n"/>
      <c r="C276" s="96" t="n"/>
      <c r="D276" s="96" t="n"/>
      <c r="E276" s="96" t="n"/>
      <c r="F276" s="96" t="n"/>
      <c r="G276" s="96" t="n"/>
    </row>
    <row r="277" ht="15.75" customHeight="1" s="49">
      <c r="A277" s="96" t="n"/>
      <c r="B277" s="96" t="n"/>
      <c r="C277" s="96" t="n"/>
      <c r="D277" s="96" t="n"/>
      <c r="E277" s="96" t="n"/>
      <c r="F277" s="96" t="n"/>
      <c r="G277" s="96" t="n"/>
    </row>
    <row r="278" ht="15.75" customHeight="1" s="49">
      <c r="A278" s="96" t="n"/>
      <c r="B278" s="96" t="n"/>
      <c r="C278" s="96" t="n"/>
      <c r="D278" s="96" t="n"/>
      <c r="E278" s="96" t="n"/>
      <c r="F278" s="96" t="n"/>
      <c r="G278" s="96" t="n"/>
    </row>
    <row r="279" ht="15.75" customHeight="1" s="49">
      <c r="A279" s="96" t="n"/>
      <c r="B279" s="96" t="n"/>
      <c r="C279" s="96" t="n"/>
      <c r="D279" s="96" t="n"/>
      <c r="E279" s="96" t="n"/>
      <c r="F279" s="96" t="n"/>
      <c r="G279" s="96" t="n"/>
    </row>
    <row r="280" ht="15.75" customHeight="1" s="49">
      <c r="A280" s="96" t="n"/>
      <c r="B280" s="96" t="n"/>
      <c r="C280" s="96" t="n"/>
      <c r="D280" s="96" t="n"/>
      <c r="E280" s="96" t="n"/>
      <c r="F280" s="96" t="n"/>
      <c r="G280" s="96" t="n"/>
    </row>
    <row r="281" ht="15.75" customHeight="1" s="49">
      <c r="A281" s="96" t="n"/>
      <c r="B281" s="96" t="n"/>
      <c r="C281" s="96" t="n"/>
      <c r="D281" s="96" t="n"/>
      <c r="E281" s="96" t="n"/>
      <c r="F281" s="96" t="n"/>
      <c r="G281" s="96" t="n"/>
    </row>
    <row r="282" ht="15.75" customHeight="1" s="49">
      <c r="A282" s="96" t="n"/>
      <c r="B282" s="96" t="n"/>
      <c r="C282" s="96" t="n"/>
      <c r="D282" s="96" t="n"/>
      <c r="E282" s="96" t="n"/>
      <c r="F282" s="96" t="n"/>
      <c r="G282" s="96" t="n"/>
    </row>
    <row r="283" ht="15.75" customHeight="1" s="49">
      <c r="A283" s="96" t="n"/>
      <c r="B283" s="96" t="n"/>
      <c r="C283" s="96" t="n"/>
      <c r="D283" s="96" t="n"/>
      <c r="E283" s="96" t="n"/>
      <c r="F283" s="96" t="n"/>
      <c r="G283" s="96" t="n"/>
    </row>
    <row r="284" ht="15.75" customHeight="1" s="49">
      <c r="A284" s="96" t="n"/>
      <c r="B284" s="96" t="n"/>
      <c r="C284" s="96" t="n"/>
      <c r="D284" s="96" t="n"/>
      <c r="E284" s="96" t="n"/>
      <c r="F284" s="96" t="n"/>
      <c r="G284" s="96" t="n"/>
    </row>
    <row r="285" ht="15.75" customHeight="1" s="49">
      <c r="A285" s="96" t="n"/>
      <c r="B285" s="96" t="n"/>
      <c r="C285" s="96" t="n"/>
      <c r="D285" s="96" t="n"/>
      <c r="E285" s="96" t="n"/>
      <c r="F285" s="96" t="n"/>
      <c r="G285" s="96" t="n"/>
    </row>
    <row r="286" ht="15.75" customHeight="1" s="49">
      <c r="A286" s="96" t="n"/>
      <c r="B286" s="96" t="n"/>
      <c r="C286" s="96" t="n"/>
      <c r="D286" s="96" t="n"/>
      <c r="E286" s="96" t="n"/>
      <c r="F286" s="96" t="n"/>
      <c r="G286" s="96" t="n"/>
    </row>
    <row r="287" ht="15.75" customHeight="1" s="49">
      <c r="A287" s="96" t="n"/>
      <c r="B287" s="96" t="n"/>
      <c r="C287" s="96" t="n"/>
      <c r="D287" s="96" t="n"/>
      <c r="E287" s="96" t="n"/>
      <c r="F287" s="96" t="n"/>
      <c r="G287" s="96" t="n"/>
    </row>
    <row r="288" ht="15.75" customHeight="1" s="49">
      <c r="A288" s="96" t="n"/>
      <c r="B288" s="96" t="n"/>
      <c r="C288" s="96" t="n"/>
      <c r="D288" s="96" t="n"/>
      <c r="E288" s="96" t="n"/>
      <c r="F288" s="96" t="n"/>
      <c r="G288" s="96" t="n"/>
    </row>
    <row r="289" ht="15.75" customHeight="1" s="49">
      <c r="A289" s="96" t="n"/>
      <c r="B289" s="96" t="n"/>
      <c r="C289" s="96" t="n"/>
      <c r="D289" s="96" t="n"/>
      <c r="E289" s="96" t="n"/>
      <c r="F289" s="96" t="n"/>
      <c r="G289" s="96" t="n"/>
    </row>
    <row r="290" ht="15.75" customHeight="1" s="49">
      <c r="A290" s="96" t="n"/>
      <c r="B290" s="96" t="n"/>
      <c r="C290" s="96" t="n"/>
      <c r="D290" s="96" t="n"/>
      <c r="E290" s="96" t="n"/>
      <c r="F290" s="96" t="n"/>
      <c r="G290" s="96" t="n"/>
    </row>
    <row r="291" ht="15.75" customHeight="1" s="49">
      <c r="A291" s="96" t="n"/>
      <c r="B291" s="96" t="n"/>
      <c r="C291" s="96" t="n"/>
      <c r="D291" s="96" t="n"/>
      <c r="E291" s="96" t="n"/>
      <c r="F291" s="96" t="n"/>
      <c r="G291" s="96" t="n"/>
    </row>
    <row r="292" ht="15.75" customHeight="1" s="49">
      <c r="A292" s="96" t="n"/>
      <c r="B292" s="96" t="n"/>
      <c r="C292" s="96" t="n"/>
      <c r="D292" s="96" t="n"/>
      <c r="E292" s="96" t="n"/>
      <c r="F292" s="96" t="n"/>
      <c r="G292" s="96" t="n"/>
    </row>
    <row r="293" ht="15.75" customHeight="1" s="49">
      <c r="A293" s="96" t="n"/>
      <c r="B293" s="96" t="n"/>
      <c r="C293" s="96" t="n"/>
      <c r="D293" s="96" t="n"/>
      <c r="E293" s="96" t="n"/>
      <c r="F293" s="96" t="n"/>
      <c r="G293" s="96" t="n"/>
    </row>
    <row r="294" ht="15.75" customHeight="1" s="49">
      <c r="A294" s="96" t="n"/>
      <c r="B294" s="96" t="n"/>
      <c r="C294" s="96" t="n"/>
      <c r="D294" s="96" t="n"/>
      <c r="E294" s="96" t="n"/>
      <c r="F294" s="96" t="n"/>
      <c r="G294" s="96" t="n"/>
    </row>
    <row r="295" ht="15.75" customHeight="1" s="49">
      <c r="A295" s="96" t="n"/>
      <c r="B295" s="96" t="n"/>
      <c r="C295" s="96" t="n"/>
      <c r="D295" s="96" t="n"/>
      <c r="E295" s="96" t="n"/>
      <c r="F295" s="96" t="n"/>
      <c r="G295" s="96" t="n"/>
    </row>
    <row r="296" ht="15.75" customHeight="1" s="49">
      <c r="A296" s="96" t="n"/>
      <c r="B296" s="96" t="n"/>
      <c r="C296" s="96" t="n"/>
      <c r="D296" s="96" t="n"/>
      <c r="E296" s="96" t="n"/>
      <c r="F296" s="96" t="n"/>
      <c r="G296" s="96" t="n"/>
    </row>
    <row r="297" ht="15.75" customHeight="1" s="49">
      <c r="A297" s="96" t="n"/>
      <c r="B297" s="96" t="n"/>
      <c r="C297" s="96" t="n"/>
      <c r="D297" s="96" t="n"/>
      <c r="E297" s="96" t="n"/>
      <c r="F297" s="96" t="n"/>
      <c r="G297" s="96" t="n"/>
    </row>
    <row r="298" ht="15.75" customHeight="1" s="49">
      <c r="A298" s="96" t="n"/>
      <c r="B298" s="96" t="n"/>
      <c r="C298" s="96" t="n"/>
      <c r="D298" s="96" t="n"/>
      <c r="E298" s="96" t="n"/>
      <c r="F298" s="96" t="n"/>
      <c r="G298" s="96" t="n"/>
    </row>
    <row r="299" ht="15.75" customHeight="1" s="49">
      <c r="A299" s="96" t="n"/>
      <c r="B299" s="96" t="n"/>
      <c r="C299" s="96" t="n"/>
      <c r="D299" s="96" t="n"/>
      <c r="E299" s="96" t="n"/>
      <c r="F299" s="96" t="n"/>
      <c r="G299" s="96" t="n"/>
    </row>
    <row r="300" ht="15.75" customHeight="1" s="49">
      <c r="A300" s="96" t="n"/>
      <c r="B300" s="96" t="n"/>
      <c r="C300" s="96" t="n"/>
      <c r="D300" s="96" t="n"/>
      <c r="E300" s="96" t="n"/>
      <c r="F300" s="96" t="n"/>
      <c r="G300" s="96" t="n"/>
    </row>
    <row r="301" ht="15.75" customHeight="1" s="49">
      <c r="A301" s="96" t="n"/>
      <c r="B301" s="96" t="n"/>
      <c r="C301" s="96" t="n"/>
      <c r="D301" s="96" t="n"/>
      <c r="E301" s="96" t="n"/>
      <c r="F301" s="96" t="n"/>
      <c r="G301" s="96" t="n"/>
    </row>
    <row r="302" ht="15.75" customHeight="1" s="49">
      <c r="A302" s="96" t="n"/>
      <c r="B302" s="96" t="n"/>
      <c r="C302" s="96" t="n"/>
      <c r="D302" s="96" t="n"/>
      <c r="E302" s="96" t="n"/>
      <c r="F302" s="96" t="n"/>
      <c r="G302" s="96" t="n"/>
    </row>
    <row r="303" ht="15.75" customHeight="1" s="49">
      <c r="A303" s="96" t="n"/>
      <c r="B303" s="96" t="n"/>
      <c r="C303" s="96" t="n"/>
      <c r="D303" s="96" t="n"/>
      <c r="E303" s="96" t="n"/>
      <c r="F303" s="96" t="n"/>
      <c r="G303" s="96" t="n"/>
    </row>
    <row r="304" ht="15.75" customHeight="1" s="49">
      <c r="A304" s="96" t="n"/>
      <c r="B304" s="96" t="n"/>
      <c r="C304" s="96" t="n"/>
      <c r="D304" s="96" t="n"/>
      <c r="E304" s="96" t="n"/>
      <c r="F304" s="96" t="n"/>
      <c r="G304" s="96" t="n"/>
    </row>
    <row r="305" ht="15.75" customHeight="1" s="49">
      <c r="A305" s="96" t="n"/>
      <c r="B305" s="96" t="n"/>
      <c r="C305" s="96" t="n"/>
      <c r="D305" s="96" t="n"/>
      <c r="E305" s="96" t="n"/>
      <c r="F305" s="96" t="n"/>
      <c r="G305" s="96" t="n"/>
    </row>
    <row r="306" ht="15.75" customHeight="1" s="49">
      <c r="A306" s="96" t="n"/>
      <c r="B306" s="96" t="n"/>
      <c r="C306" s="96" t="n"/>
      <c r="D306" s="96" t="n"/>
      <c r="E306" s="96" t="n"/>
      <c r="F306" s="96" t="n"/>
      <c r="G306" s="96" t="n"/>
    </row>
    <row r="307" ht="15.75" customHeight="1" s="49">
      <c r="A307" s="96" t="n"/>
      <c r="B307" s="96" t="n"/>
      <c r="C307" s="96" t="n"/>
      <c r="D307" s="96" t="n"/>
      <c r="E307" s="96" t="n"/>
      <c r="F307" s="96" t="n"/>
      <c r="G307" s="96" t="n"/>
    </row>
    <row r="308" ht="15.75" customHeight="1" s="49">
      <c r="A308" s="96" t="n"/>
      <c r="B308" s="96" t="n"/>
      <c r="C308" s="96" t="n"/>
      <c r="D308" s="96" t="n"/>
      <c r="E308" s="96" t="n"/>
      <c r="F308" s="96" t="n"/>
      <c r="G308" s="96" t="n"/>
    </row>
    <row r="309" ht="15.75" customHeight="1" s="49">
      <c r="A309" s="96" t="n"/>
      <c r="B309" s="96" t="n"/>
      <c r="C309" s="96" t="n"/>
      <c r="D309" s="96" t="n"/>
      <c r="E309" s="96" t="n"/>
      <c r="F309" s="96" t="n"/>
      <c r="G309" s="96" t="n"/>
    </row>
    <row r="310" ht="15.75" customHeight="1" s="49">
      <c r="A310" s="96" t="n"/>
      <c r="B310" s="96" t="n"/>
      <c r="C310" s="96" t="n"/>
      <c r="D310" s="96" t="n"/>
      <c r="E310" s="96" t="n"/>
      <c r="F310" s="96" t="n"/>
      <c r="G310" s="96" t="n"/>
    </row>
    <row r="311" ht="15.75" customHeight="1" s="49">
      <c r="A311" s="96" t="n"/>
      <c r="B311" s="96" t="n"/>
      <c r="C311" s="96" t="n"/>
      <c r="D311" s="96" t="n"/>
      <c r="E311" s="96" t="n"/>
      <c r="F311" s="96" t="n"/>
      <c r="G311" s="96" t="n"/>
    </row>
    <row r="312" ht="15.75" customHeight="1" s="49">
      <c r="A312" s="96" t="n"/>
      <c r="B312" s="96" t="n"/>
      <c r="C312" s="96" t="n"/>
      <c r="D312" s="96" t="n"/>
      <c r="E312" s="96" t="n"/>
      <c r="F312" s="96" t="n"/>
      <c r="G312" s="96" t="n"/>
    </row>
    <row r="313" ht="15.75" customHeight="1" s="49">
      <c r="A313" s="96" t="n"/>
      <c r="B313" s="96" t="n"/>
      <c r="C313" s="96" t="n"/>
      <c r="D313" s="96" t="n"/>
      <c r="E313" s="96" t="n"/>
      <c r="F313" s="96" t="n"/>
      <c r="G313" s="96" t="n"/>
    </row>
    <row r="314" ht="15.75" customHeight="1" s="49">
      <c r="A314" s="96" t="n"/>
      <c r="B314" s="96" t="n"/>
      <c r="C314" s="96" t="n"/>
      <c r="D314" s="96" t="n"/>
      <c r="E314" s="96" t="n"/>
      <c r="F314" s="96" t="n"/>
      <c r="G314" s="96" t="n"/>
    </row>
    <row r="315" ht="15.75" customHeight="1" s="49">
      <c r="A315" s="96" t="n"/>
      <c r="B315" s="96" t="n"/>
      <c r="C315" s="96" t="n"/>
      <c r="D315" s="96" t="n"/>
      <c r="E315" s="96" t="n"/>
      <c r="F315" s="96" t="n"/>
      <c r="G315" s="96" t="n"/>
    </row>
    <row r="316" ht="15.75" customHeight="1" s="49">
      <c r="A316" s="96" t="n"/>
      <c r="B316" s="96" t="n"/>
      <c r="C316" s="96" t="n"/>
      <c r="D316" s="96" t="n"/>
      <c r="E316" s="96" t="n"/>
      <c r="F316" s="96" t="n"/>
      <c r="G316" s="96" t="n"/>
    </row>
    <row r="317" ht="15.75" customHeight="1" s="49">
      <c r="A317" s="96" t="n"/>
      <c r="B317" s="96" t="n"/>
      <c r="C317" s="96" t="n"/>
      <c r="D317" s="96" t="n"/>
      <c r="E317" s="96" t="n"/>
      <c r="F317" s="96" t="n"/>
      <c r="G317" s="96" t="n"/>
    </row>
    <row r="318" ht="15.75" customHeight="1" s="49">
      <c r="A318" s="96" t="n"/>
      <c r="B318" s="96" t="n"/>
      <c r="C318" s="96" t="n"/>
      <c r="D318" s="96" t="n"/>
      <c r="E318" s="96" t="n"/>
      <c r="F318" s="96" t="n"/>
      <c r="G318" s="96" t="n"/>
    </row>
    <row r="319" ht="15.75" customHeight="1" s="49">
      <c r="A319" s="96" t="n"/>
      <c r="B319" s="96" t="n"/>
      <c r="C319" s="96" t="n"/>
      <c r="D319" s="96" t="n"/>
      <c r="E319" s="96" t="n"/>
      <c r="F319" s="96" t="n"/>
      <c r="G319" s="96" t="n"/>
    </row>
    <row r="320" ht="15.75" customHeight="1" s="49">
      <c r="A320" s="96" t="n"/>
      <c r="B320" s="96" t="n"/>
      <c r="C320" s="96" t="n"/>
      <c r="D320" s="96" t="n"/>
      <c r="E320" s="96" t="n"/>
      <c r="F320" s="96" t="n"/>
      <c r="G320" s="96" t="n"/>
    </row>
    <row r="321" ht="15.75" customHeight="1" s="49">
      <c r="A321" s="96" t="n"/>
      <c r="B321" s="96" t="n"/>
      <c r="C321" s="96" t="n"/>
      <c r="D321" s="96" t="n"/>
      <c r="E321" s="96" t="n"/>
      <c r="F321" s="96" t="n"/>
      <c r="G321" s="96" t="n"/>
    </row>
    <row r="322" ht="15.75" customHeight="1" s="49">
      <c r="A322" s="96" t="n"/>
      <c r="B322" s="96" t="n"/>
      <c r="C322" s="96" t="n"/>
      <c r="D322" s="96" t="n"/>
      <c r="E322" s="96" t="n"/>
      <c r="F322" s="96" t="n"/>
      <c r="G322" s="96" t="n"/>
    </row>
    <row r="323" ht="15.75" customHeight="1" s="49">
      <c r="A323" s="96" t="n"/>
      <c r="B323" s="96" t="n"/>
      <c r="C323" s="96" t="n"/>
      <c r="D323" s="96" t="n"/>
      <c r="E323" s="96" t="n"/>
      <c r="F323" s="96" t="n"/>
      <c r="G323" s="96" t="n"/>
    </row>
    <row r="324" ht="15.75" customHeight="1" s="49">
      <c r="A324" s="96" t="n"/>
      <c r="B324" s="96" t="n"/>
      <c r="C324" s="96" t="n"/>
      <c r="D324" s="96" t="n"/>
      <c r="E324" s="96" t="n"/>
      <c r="F324" s="96" t="n"/>
      <c r="G324" s="96" t="n"/>
    </row>
    <row r="325" ht="15.75" customHeight="1" s="49">
      <c r="A325" s="96" t="n"/>
      <c r="B325" s="96" t="n"/>
      <c r="C325" s="96" t="n"/>
      <c r="D325" s="96" t="n"/>
      <c r="E325" s="96" t="n"/>
      <c r="F325" s="96" t="n"/>
      <c r="G325" s="96" t="n"/>
    </row>
    <row r="326" ht="15.75" customHeight="1" s="49">
      <c r="A326" s="96" t="n"/>
      <c r="B326" s="96" t="n"/>
      <c r="C326" s="96" t="n"/>
      <c r="D326" s="96" t="n"/>
      <c r="E326" s="96" t="n"/>
      <c r="F326" s="96" t="n"/>
      <c r="G326" s="96" t="n"/>
    </row>
    <row r="327" ht="15.75" customHeight="1" s="49">
      <c r="A327" s="96" t="n"/>
      <c r="B327" s="96" t="n"/>
      <c r="C327" s="96" t="n"/>
      <c r="D327" s="96" t="n"/>
      <c r="E327" s="96" t="n"/>
      <c r="F327" s="96" t="n"/>
      <c r="G327" s="96" t="n"/>
    </row>
    <row r="328" ht="15.75" customHeight="1" s="49">
      <c r="A328" s="96" t="n"/>
      <c r="B328" s="96" t="n"/>
      <c r="C328" s="96" t="n"/>
      <c r="D328" s="96" t="n"/>
      <c r="E328" s="96" t="n"/>
      <c r="F328" s="96" t="n"/>
      <c r="G328" s="96" t="n"/>
    </row>
    <row r="329" ht="15.75" customHeight="1" s="49">
      <c r="A329" s="96" t="n"/>
      <c r="B329" s="96" t="n"/>
      <c r="C329" s="96" t="n"/>
      <c r="D329" s="96" t="n"/>
      <c r="E329" s="96" t="n"/>
      <c r="F329" s="96" t="n"/>
      <c r="G329" s="96" t="n"/>
    </row>
    <row r="330" ht="15.75" customHeight="1" s="49">
      <c r="A330" s="96" t="n"/>
      <c r="B330" s="96" t="n"/>
      <c r="C330" s="96" t="n"/>
      <c r="D330" s="96" t="n"/>
      <c r="E330" s="96" t="n"/>
      <c r="F330" s="96" t="n"/>
      <c r="G330" s="96" t="n"/>
    </row>
    <row r="331" ht="15.75" customHeight="1" s="49">
      <c r="A331" s="96" t="n"/>
      <c r="B331" s="96" t="n"/>
      <c r="C331" s="96" t="n"/>
      <c r="D331" s="96" t="n"/>
      <c r="E331" s="96" t="n"/>
      <c r="F331" s="96" t="n"/>
      <c r="G331" s="96" t="n"/>
    </row>
    <row r="332" ht="15.75" customHeight="1" s="49">
      <c r="A332" s="96" t="n"/>
      <c r="B332" s="96" t="n"/>
      <c r="C332" s="96" t="n"/>
      <c r="D332" s="96" t="n"/>
      <c r="E332" s="96" t="n"/>
      <c r="F332" s="96" t="n"/>
      <c r="G332" s="96" t="n"/>
    </row>
    <row r="333" ht="15.75" customHeight="1" s="49">
      <c r="A333" s="96" t="n"/>
      <c r="B333" s="96" t="n"/>
      <c r="C333" s="96" t="n"/>
      <c r="D333" s="96" t="n"/>
      <c r="E333" s="96" t="n"/>
      <c r="F333" s="96" t="n"/>
      <c r="G333" s="96" t="n"/>
    </row>
    <row r="334" ht="15.75" customHeight="1" s="49">
      <c r="A334" s="96" t="n"/>
      <c r="B334" s="96" t="n"/>
      <c r="C334" s="96" t="n"/>
      <c r="D334" s="96" t="n"/>
      <c r="E334" s="96" t="n"/>
      <c r="F334" s="96" t="n"/>
      <c r="G334" s="96" t="n"/>
    </row>
    <row r="335" ht="15.75" customHeight="1" s="49">
      <c r="A335" s="96" t="n"/>
      <c r="B335" s="96" t="n"/>
      <c r="C335" s="96" t="n"/>
      <c r="D335" s="96" t="n"/>
      <c r="E335" s="96" t="n"/>
      <c r="F335" s="96" t="n"/>
      <c r="G335" s="96" t="n"/>
    </row>
    <row r="336" ht="15.75" customHeight="1" s="49">
      <c r="A336" s="96" t="n"/>
      <c r="B336" s="96" t="n"/>
      <c r="C336" s="96" t="n"/>
      <c r="D336" s="96" t="n"/>
      <c r="E336" s="96" t="n"/>
      <c r="F336" s="96" t="n"/>
      <c r="G336" s="96" t="n"/>
    </row>
    <row r="337" ht="15.75" customHeight="1" s="49">
      <c r="A337" s="96" t="n"/>
      <c r="B337" s="96" t="n"/>
      <c r="C337" s="96" t="n"/>
      <c r="D337" s="96" t="n"/>
      <c r="E337" s="96" t="n"/>
      <c r="F337" s="96" t="n"/>
      <c r="G337" s="96" t="n"/>
    </row>
    <row r="338" ht="15.75" customHeight="1" s="49">
      <c r="A338" s="96" t="n"/>
      <c r="B338" s="96" t="n"/>
      <c r="C338" s="96" t="n"/>
      <c r="D338" s="96" t="n"/>
      <c r="E338" s="96" t="n"/>
      <c r="F338" s="96" t="n"/>
      <c r="G338" s="96" t="n"/>
    </row>
    <row r="339" ht="15.75" customHeight="1" s="49">
      <c r="A339" s="96" t="n"/>
      <c r="B339" s="96" t="n"/>
      <c r="C339" s="96" t="n"/>
      <c r="D339" s="96" t="n"/>
      <c r="E339" s="96" t="n"/>
      <c r="F339" s="96" t="n"/>
      <c r="G339" s="96" t="n"/>
    </row>
    <row r="340" ht="15.75" customHeight="1" s="49">
      <c r="A340" s="96" t="n"/>
      <c r="B340" s="96" t="n"/>
      <c r="C340" s="96" t="n"/>
      <c r="D340" s="96" t="n"/>
      <c r="E340" s="96" t="n"/>
      <c r="F340" s="96" t="n"/>
      <c r="G340" s="96" t="n"/>
    </row>
    <row r="341" ht="15.75" customHeight="1" s="49">
      <c r="A341" s="96" t="n"/>
      <c r="B341" s="96" t="n"/>
      <c r="C341" s="96" t="n"/>
      <c r="D341" s="96" t="n"/>
      <c r="E341" s="96" t="n"/>
      <c r="F341" s="96" t="n"/>
      <c r="G341" s="96" t="n"/>
    </row>
    <row r="342" ht="15.75" customHeight="1" s="49">
      <c r="A342" s="96" t="n"/>
      <c r="B342" s="96" t="n"/>
      <c r="C342" s="96" t="n"/>
      <c r="D342" s="96" t="n"/>
      <c r="E342" s="96" t="n"/>
      <c r="F342" s="96" t="n"/>
      <c r="G342" s="96" t="n"/>
    </row>
    <row r="343" ht="15.75" customHeight="1" s="49">
      <c r="A343" s="96" t="n"/>
      <c r="B343" s="96" t="n"/>
      <c r="C343" s="96" t="n"/>
      <c r="D343" s="96" t="n"/>
      <c r="E343" s="96" t="n"/>
      <c r="F343" s="96" t="n"/>
      <c r="G343" s="96" t="n"/>
    </row>
    <row r="344" ht="15.75" customHeight="1" s="49">
      <c r="A344" s="96" t="n"/>
      <c r="B344" s="96" t="n"/>
      <c r="C344" s="96" t="n"/>
      <c r="D344" s="96" t="n"/>
      <c r="E344" s="96" t="n"/>
      <c r="F344" s="96" t="n"/>
      <c r="G344" s="96" t="n"/>
    </row>
    <row r="345" ht="15.75" customHeight="1" s="49">
      <c r="A345" s="96" t="n"/>
      <c r="B345" s="96" t="n"/>
      <c r="C345" s="96" t="n"/>
      <c r="D345" s="96" t="n"/>
      <c r="E345" s="96" t="n"/>
      <c r="F345" s="96" t="n"/>
      <c r="G345" s="96" t="n"/>
    </row>
    <row r="346" ht="15.75" customHeight="1" s="49">
      <c r="A346" s="96" t="n"/>
      <c r="B346" s="96" t="n"/>
      <c r="C346" s="96" t="n"/>
      <c r="D346" s="96" t="n"/>
      <c r="E346" s="96" t="n"/>
      <c r="F346" s="96" t="n"/>
      <c r="G346" s="96" t="n"/>
    </row>
    <row r="347" ht="15.75" customHeight="1" s="49">
      <c r="A347" s="96" t="n"/>
      <c r="B347" s="96" t="n"/>
      <c r="C347" s="96" t="n"/>
      <c r="D347" s="96" t="n"/>
      <c r="E347" s="96" t="n"/>
      <c r="F347" s="96" t="n"/>
      <c r="G347" s="96" t="n"/>
    </row>
    <row r="348" ht="15.75" customHeight="1" s="49">
      <c r="A348" s="96" t="n"/>
      <c r="B348" s="96" t="n"/>
      <c r="C348" s="96" t="n"/>
      <c r="D348" s="96" t="n"/>
      <c r="E348" s="96" t="n"/>
      <c r="F348" s="96" t="n"/>
      <c r="G348" s="96" t="n"/>
    </row>
    <row r="349" ht="15.75" customHeight="1" s="49">
      <c r="A349" s="96" t="n"/>
      <c r="B349" s="96" t="n"/>
      <c r="C349" s="96" t="n"/>
      <c r="D349" s="96" t="n"/>
      <c r="E349" s="96" t="n"/>
      <c r="F349" s="96" t="n"/>
      <c r="G349" s="96" t="n"/>
    </row>
    <row r="350" ht="15.75" customHeight="1" s="49">
      <c r="A350" s="96" t="n"/>
      <c r="B350" s="96" t="n"/>
      <c r="C350" s="96" t="n"/>
      <c r="D350" s="96" t="n"/>
      <c r="E350" s="96" t="n"/>
      <c r="F350" s="96" t="n"/>
      <c r="G350" s="96" t="n"/>
    </row>
    <row r="351" ht="15.75" customHeight="1" s="49">
      <c r="A351" s="96" t="n"/>
      <c r="B351" s="96" t="n"/>
      <c r="C351" s="96" t="n"/>
      <c r="D351" s="96" t="n"/>
      <c r="E351" s="96" t="n"/>
      <c r="F351" s="96" t="n"/>
      <c r="G351" s="96" t="n"/>
    </row>
    <row r="352" ht="15.75" customHeight="1" s="49">
      <c r="A352" s="96" t="n"/>
      <c r="B352" s="96" t="n"/>
      <c r="C352" s="96" t="n"/>
      <c r="D352" s="96" t="n"/>
      <c r="E352" s="96" t="n"/>
      <c r="F352" s="96" t="n"/>
      <c r="G352" s="96" t="n"/>
    </row>
    <row r="353" ht="15.75" customHeight="1" s="49">
      <c r="A353" s="96" t="n"/>
      <c r="B353" s="96" t="n"/>
      <c r="C353" s="96" t="n"/>
      <c r="D353" s="96" t="n"/>
      <c r="E353" s="96" t="n"/>
      <c r="F353" s="96" t="n"/>
      <c r="G353" s="96" t="n"/>
    </row>
    <row r="354" ht="15.75" customHeight="1" s="49">
      <c r="A354" s="96" t="n"/>
      <c r="B354" s="96" t="n"/>
      <c r="C354" s="96" t="n"/>
      <c r="D354" s="96" t="n"/>
      <c r="E354" s="96" t="n"/>
      <c r="F354" s="96" t="n"/>
      <c r="G354" s="96" t="n"/>
    </row>
    <row r="355" ht="15.75" customHeight="1" s="49">
      <c r="A355" s="96" t="n"/>
      <c r="B355" s="96" t="n"/>
      <c r="C355" s="96" t="n"/>
      <c r="D355" s="96" t="n"/>
      <c r="E355" s="96" t="n"/>
      <c r="F355" s="96" t="n"/>
      <c r="G355" s="96" t="n"/>
    </row>
    <row r="356" ht="15.75" customHeight="1" s="49">
      <c r="A356" s="96" t="n"/>
      <c r="B356" s="96" t="n"/>
      <c r="C356" s="96" t="n"/>
      <c r="D356" s="96" t="n"/>
      <c r="E356" s="96" t="n"/>
      <c r="F356" s="96" t="n"/>
      <c r="G356" s="96" t="n"/>
    </row>
    <row r="357" ht="15.75" customHeight="1" s="49">
      <c r="A357" s="96" t="n"/>
      <c r="B357" s="96" t="n"/>
      <c r="C357" s="96" t="n"/>
      <c r="D357" s="96" t="n"/>
      <c r="E357" s="96" t="n"/>
      <c r="F357" s="96" t="n"/>
      <c r="G357" s="96" t="n"/>
    </row>
    <row r="358" ht="15.75" customHeight="1" s="49">
      <c r="A358" s="96" t="n"/>
      <c r="B358" s="96" t="n"/>
      <c r="C358" s="96" t="n"/>
      <c r="D358" s="96" t="n"/>
      <c r="E358" s="96" t="n"/>
      <c r="F358" s="96" t="n"/>
      <c r="G358" s="96" t="n"/>
    </row>
    <row r="359" ht="15.75" customHeight="1" s="49">
      <c r="A359" s="96" t="n"/>
      <c r="B359" s="96" t="n"/>
      <c r="C359" s="96" t="n"/>
      <c r="D359" s="96" t="n"/>
      <c r="E359" s="96" t="n"/>
      <c r="F359" s="96" t="n"/>
      <c r="G359" s="96" t="n"/>
    </row>
    <row r="360" ht="15.75" customHeight="1" s="49">
      <c r="A360" s="96" t="n"/>
      <c r="B360" s="96" t="n"/>
      <c r="C360" s="96" t="n"/>
      <c r="D360" s="96" t="n"/>
      <c r="E360" s="96" t="n"/>
      <c r="F360" s="96" t="n"/>
      <c r="G360" s="96" t="n"/>
    </row>
    <row r="361" ht="15.75" customHeight="1" s="49">
      <c r="A361" s="96" t="n"/>
      <c r="B361" s="96" t="n"/>
      <c r="C361" s="96" t="n"/>
      <c r="D361" s="96" t="n"/>
      <c r="E361" s="96" t="n"/>
      <c r="F361" s="96" t="n"/>
      <c r="G361" s="96" t="n"/>
    </row>
    <row r="362" ht="15.75" customHeight="1" s="49">
      <c r="A362" s="96" t="n"/>
      <c r="B362" s="96" t="n"/>
      <c r="C362" s="96" t="n"/>
      <c r="D362" s="96" t="n"/>
      <c r="E362" s="96" t="n"/>
      <c r="F362" s="96" t="n"/>
      <c r="G362" s="96" t="n"/>
    </row>
    <row r="363" ht="15.75" customHeight="1" s="49">
      <c r="A363" s="96" t="n"/>
      <c r="B363" s="96" t="n"/>
      <c r="C363" s="96" t="n"/>
      <c r="D363" s="96" t="n"/>
      <c r="E363" s="96" t="n"/>
      <c r="F363" s="96" t="n"/>
      <c r="G363" s="96" t="n"/>
    </row>
    <row r="364" ht="15.75" customHeight="1" s="49">
      <c r="A364" s="96" t="n"/>
      <c r="B364" s="96" t="n"/>
      <c r="C364" s="96" t="n"/>
      <c r="D364" s="96" t="n"/>
      <c r="E364" s="96" t="n"/>
      <c r="F364" s="96" t="n"/>
      <c r="G364" s="96" t="n"/>
    </row>
    <row r="365" ht="15.75" customHeight="1" s="49">
      <c r="A365" s="96" t="n"/>
      <c r="B365" s="96" t="n"/>
      <c r="C365" s="96" t="n"/>
      <c r="D365" s="96" t="n"/>
      <c r="E365" s="96" t="n"/>
      <c r="F365" s="96" t="n"/>
      <c r="G365" s="96" t="n"/>
    </row>
    <row r="366" ht="15.75" customHeight="1" s="49">
      <c r="A366" s="96" t="n"/>
      <c r="B366" s="96" t="n"/>
      <c r="C366" s="96" t="n"/>
      <c r="D366" s="96" t="n"/>
      <c r="E366" s="96" t="n"/>
      <c r="F366" s="96" t="n"/>
      <c r="G366" s="96" t="n"/>
    </row>
    <row r="367" ht="15.75" customHeight="1" s="49">
      <c r="A367" s="96" t="n"/>
      <c r="B367" s="96" t="n"/>
      <c r="C367" s="96" t="n"/>
      <c r="D367" s="96" t="n"/>
      <c r="E367" s="96" t="n"/>
      <c r="F367" s="96" t="n"/>
      <c r="G367" s="96" t="n"/>
    </row>
    <row r="368" ht="15.75" customHeight="1" s="49">
      <c r="A368" s="96" t="n"/>
      <c r="B368" s="96" t="n"/>
      <c r="C368" s="96" t="n"/>
      <c r="D368" s="96" t="n"/>
      <c r="E368" s="96" t="n"/>
      <c r="F368" s="96" t="n"/>
      <c r="G368" s="96" t="n"/>
    </row>
    <row r="369" ht="15.75" customHeight="1" s="49">
      <c r="A369" s="96" t="n"/>
      <c r="B369" s="96" t="n"/>
      <c r="C369" s="96" t="n"/>
      <c r="D369" s="96" t="n"/>
      <c r="E369" s="96" t="n"/>
      <c r="F369" s="96" t="n"/>
      <c r="G369" s="96" t="n"/>
    </row>
    <row r="370" ht="15.75" customHeight="1" s="49">
      <c r="A370" s="96" t="n"/>
      <c r="B370" s="96" t="n"/>
      <c r="C370" s="96" t="n"/>
      <c r="D370" s="96" t="n"/>
      <c r="E370" s="96" t="n"/>
      <c r="F370" s="96" t="n"/>
      <c r="G370" s="96" t="n"/>
    </row>
    <row r="371" ht="15.75" customHeight="1" s="49">
      <c r="A371" s="96" t="n"/>
      <c r="B371" s="96" t="n"/>
      <c r="C371" s="96" t="n"/>
      <c r="D371" s="96" t="n"/>
      <c r="E371" s="96" t="n"/>
      <c r="F371" s="96" t="n"/>
      <c r="G371" s="96" t="n"/>
    </row>
    <row r="372" ht="15.75" customHeight="1" s="49">
      <c r="A372" s="96" t="n"/>
      <c r="B372" s="96" t="n"/>
      <c r="C372" s="96" t="n"/>
      <c r="D372" s="96" t="n"/>
      <c r="E372" s="96" t="n"/>
      <c r="F372" s="96" t="n"/>
      <c r="G372" s="96" t="n"/>
    </row>
    <row r="373" ht="15.75" customHeight="1" s="49">
      <c r="A373" s="96" t="n"/>
      <c r="B373" s="96" t="n"/>
      <c r="C373" s="96" t="n"/>
      <c r="D373" s="96" t="n"/>
      <c r="E373" s="96" t="n"/>
      <c r="F373" s="96" t="n"/>
      <c r="G373" s="96" t="n"/>
    </row>
    <row r="374" ht="15.75" customHeight="1" s="49">
      <c r="A374" s="96" t="n"/>
      <c r="B374" s="96" t="n"/>
      <c r="C374" s="96" t="n"/>
      <c r="D374" s="96" t="n"/>
      <c r="E374" s="96" t="n"/>
      <c r="F374" s="96" t="n"/>
      <c r="G374" s="96" t="n"/>
    </row>
    <row r="375" ht="15.75" customHeight="1" s="49">
      <c r="A375" s="96" t="n"/>
      <c r="B375" s="96" t="n"/>
      <c r="C375" s="96" t="n"/>
      <c r="D375" s="96" t="n"/>
      <c r="E375" s="96" t="n"/>
      <c r="F375" s="96" t="n"/>
      <c r="G375" s="96" t="n"/>
    </row>
    <row r="376" ht="15.75" customHeight="1" s="49">
      <c r="A376" s="96" t="n"/>
      <c r="B376" s="96" t="n"/>
      <c r="C376" s="96" t="n"/>
      <c r="D376" s="96" t="n"/>
      <c r="E376" s="96" t="n"/>
      <c r="F376" s="96" t="n"/>
      <c r="G376" s="96" t="n"/>
    </row>
    <row r="377" ht="15.75" customHeight="1" s="49">
      <c r="A377" s="96" t="n"/>
      <c r="B377" s="96" t="n"/>
      <c r="C377" s="96" t="n"/>
      <c r="D377" s="96" t="n"/>
      <c r="E377" s="96" t="n"/>
      <c r="F377" s="96" t="n"/>
      <c r="G377" s="96" t="n"/>
    </row>
    <row r="378" ht="15.75" customHeight="1" s="49">
      <c r="A378" s="96" t="n"/>
      <c r="B378" s="96" t="n"/>
      <c r="C378" s="96" t="n"/>
      <c r="D378" s="96" t="n"/>
      <c r="E378" s="96" t="n"/>
      <c r="F378" s="96" t="n"/>
      <c r="G378" s="96" t="n"/>
    </row>
    <row r="379" ht="15.75" customHeight="1" s="49">
      <c r="A379" s="96" t="n"/>
      <c r="B379" s="96" t="n"/>
      <c r="C379" s="96" t="n"/>
      <c r="D379" s="96" t="n"/>
      <c r="E379" s="96" t="n"/>
      <c r="F379" s="96" t="n"/>
      <c r="G379" s="96" t="n"/>
    </row>
    <row r="380" ht="15.75" customHeight="1" s="49">
      <c r="A380" s="96" t="n"/>
      <c r="B380" s="96" t="n"/>
      <c r="C380" s="96" t="n"/>
      <c r="D380" s="96" t="n"/>
      <c r="E380" s="96" t="n"/>
      <c r="F380" s="96" t="n"/>
      <c r="G380" s="96" t="n"/>
    </row>
    <row r="381" ht="15.75" customHeight="1" s="49">
      <c r="A381" s="96" t="n"/>
      <c r="B381" s="96" t="n"/>
      <c r="C381" s="96" t="n"/>
      <c r="D381" s="96" t="n"/>
      <c r="E381" s="96" t="n"/>
      <c r="F381" s="96" t="n"/>
      <c r="G381" s="96" t="n"/>
    </row>
    <row r="382" ht="15.75" customHeight="1" s="49">
      <c r="A382" s="96" t="n"/>
      <c r="B382" s="96" t="n"/>
      <c r="C382" s="96" t="n"/>
      <c r="D382" s="96" t="n"/>
      <c r="E382" s="96" t="n"/>
      <c r="F382" s="96" t="n"/>
      <c r="G382" s="96" t="n"/>
    </row>
    <row r="383" ht="15.75" customHeight="1" s="49">
      <c r="A383" s="96" t="n"/>
      <c r="B383" s="96" t="n"/>
      <c r="C383" s="96" t="n"/>
      <c r="D383" s="96" t="n"/>
      <c r="E383" s="96" t="n"/>
      <c r="F383" s="96" t="n"/>
      <c r="G383" s="96" t="n"/>
    </row>
    <row r="384" ht="15.75" customHeight="1" s="49">
      <c r="A384" s="96" t="n"/>
      <c r="B384" s="96" t="n"/>
      <c r="C384" s="96" t="n"/>
      <c r="D384" s="96" t="n"/>
      <c r="E384" s="96" t="n"/>
      <c r="F384" s="96" t="n"/>
      <c r="G384" s="96" t="n"/>
    </row>
    <row r="385" ht="15.75" customHeight="1" s="49">
      <c r="A385" s="96" t="n"/>
      <c r="B385" s="96" t="n"/>
      <c r="C385" s="96" t="n"/>
      <c r="D385" s="96" t="n"/>
      <c r="E385" s="96" t="n"/>
      <c r="F385" s="96" t="n"/>
      <c r="G385" s="96" t="n"/>
    </row>
    <row r="386" ht="15.75" customHeight="1" s="49">
      <c r="A386" s="96" t="n"/>
      <c r="B386" s="96" t="n"/>
      <c r="C386" s="96" t="n"/>
      <c r="D386" s="96" t="n"/>
      <c r="E386" s="96" t="n"/>
      <c r="F386" s="96" t="n"/>
      <c r="G386" s="96" t="n"/>
    </row>
    <row r="387" ht="15.75" customHeight="1" s="49">
      <c r="A387" s="96" t="n"/>
      <c r="B387" s="96" t="n"/>
      <c r="C387" s="96" t="n"/>
      <c r="D387" s="96" t="n"/>
      <c r="E387" s="96" t="n"/>
      <c r="F387" s="96" t="n"/>
      <c r="G387" s="96" t="n"/>
    </row>
    <row r="388" ht="15.75" customHeight="1" s="49">
      <c r="A388" s="96" t="n"/>
      <c r="B388" s="96" t="n"/>
      <c r="C388" s="96" t="n"/>
      <c r="D388" s="96" t="n"/>
      <c r="E388" s="96" t="n"/>
      <c r="F388" s="96" t="n"/>
      <c r="G388" s="96" t="n"/>
    </row>
    <row r="389" ht="15.75" customHeight="1" s="49">
      <c r="A389" s="96" t="n"/>
      <c r="B389" s="96" t="n"/>
      <c r="C389" s="96" t="n"/>
      <c r="D389" s="96" t="n"/>
      <c r="E389" s="96" t="n"/>
      <c r="F389" s="96" t="n"/>
      <c r="G389" s="96" t="n"/>
    </row>
    <row r="390" ht="15.75" customHeight="1" s="49">
      <c r="A390" s="96" t="n"/>
      <c r="B390" s="96" t="n"/>
      <c r="C390" s="96" t="n"/>
      <c r="D390" s="96" t="n"/>
      <c r="E390" s="96" t="n"/>
      <c r="F390" s="96" t="n"/>
      <c r="G390" s="96" t="n"/>
    </row>
    <row r="391" ht="15.75" customHeight="1" s="49">
      <c r="A391" s="96" t="n"/>
      <c r="B391" s="96" t="n"/>
      <c r="C391" s="96" t="n"/>
      <c r="D391" s="96" t="n"/>
      <c r="E391" s="96" t="n"/>
      <c r="F391" s="96" t="n"/>
      <c r="G391" s="96" t="n"/>
    </row>
    <row r="392" ht="15.75" customHeight="1" s="49">
      <c r="A392" s="96" t="n"/>
      <c r="B392" s="96" t="n"/>
      <c r="C392" s="96" t="n"/>
      <c r="D392" s="96" t="n"/>
      <c r="E392" s="96" t="n"/>
      <c r="F392" s="96" t="n"/>
      <c r="G392" s="96" t="n"/>
    </row>
    <row r="393" ht="15.75" customHeight="1" s="49">
      <c r="A393" s="96" t="n"/>
      <c r="B393" s="96" t="n"/>
      <c r="C393" s="96" t="n"/>
      <c r="D393" s="96" t="n"/>
      <c r="E393" s="96" t="n"/>
      <c r="F393" s="96" t="n"/>
      <c r="G393" s="96" t="n"/>
    </row>
    <row r="394" ht="15.75" customHeight="1" s="49">
      <c r="A394" s="96" t="n"/>
      <c r="B394" s="96" t="n"/>
      <c r="C394" s="96" t="n"/>
      <c r="D394" s="96" t="n"/>
      <c r="E394" s="96" t="n"/>
      <c r="F394" s="96" t="n"/>
      <c r="G394" s="96" t="n"/>
    </row>
    <row r="395" ht="15.75" customHeight="1" s="49">
      <c r="A395" s="96" t="n"/>
      <c r="B395" s="96" t="n"/>
      <c r="C395" s="96" t="n"/>
      <c r="D395" s="96" t="n"/>
      <c r="E395" s="96" t="n"/>
      <c r="F395" s="96" t="n"/>
      <c r="G395" s="96" t="n"/>
    </row>
    <row r="396" ht="15.75" customHeight="1" s="49">
      <c r="A396" s="96" t="n"/>
      <c r="B396" s="96" t="n"/>
      <c r="C396" s="96" t="n"/>
      <c r="D396" s="96" t="n"/>
      <c r="E396" s="96" t="n"/>
      <c r="F396" s="96" t="n"/>
      <c r="G396" s="96" t="n"/>
    </row>
    <row r="397" ht="15.75" customHeight="1" s="49">
      <c r="A397" s="96" t="n"/>
      <c r="B397" s="96" t="n"/>
      <c r="C397" s="96" t="n"/>
      <c r="D397" s="96" t="n"/>
      <c r="E397" s="96" t="n"/>
      <c r="F397" s="96" t="n"/>
      <c r="G397" s="96" t="n"/>
    </row>
    <row r="398" ht="15.75" customHeight="1" s="49">
      <c r="A398" s="96" t="n"/>
      <c r="B398" s="96" t="n"/>
      <c r="C398" s="96" t="n"/>
      <c r="D398" s="96" t="n"/>
      <c r="E398" s="96" t="n"/>
      <c r="F398" s="96" t="n"/>
      <c r="G398" s="96" t="n"/>
    </row>
    <row r="399" ht="15.75" customHeight="1" s="49">
      <c r="A399" s="96" t="n"/>
      <c r="B399" s="96" t="n"/>
      <c r="C399" s="96" t="n"/>
      <c r="D399" s="96" t="n"/>
      <c r="E399" s="96" t="n"/>
      <c r="F399" s="96" t="n"/>
      <c r="G399" s="96" t="n"/>
    </row>
    <row r="400" ht="15.75" customHeight="1" s="49">
      <c r="A400" s="96" t="n"/>
      <c r="B400" s="96" t="n"/>
      <c r="C400" s="96" t="n"/>
      <c r="D400" s="96" t="n"/>
      <c r="E400" s="96" t="n"/>
      <c r="F400" s="96" t="n"/>
      <c r="G400" s="96" t="n"/>
    </row>
    <row r="401" ht="15.75" customHeight="1" s="49">
      <c r="A401" s="96" t="n"/>
      <c r="B401" s="96" t="n"/>
      <c r="C401" s="96" t="n"/>
      <c r="D401" s="96" t="n"/>
      <c r="E401" s="96" t="n"/>
      <c r="F401" s="96" t="n"/>
      <c r="G401" s="96" t="n"/>
    </row>
    <row r="402" ht="15.75" customHeight="1" s="49">
      <c r="A402" s="96" t="n"/>
      <c r="B402" s="96" t="n"/>
      <c r="C402" s="96" t="n"/>
      <c r="D402" s="96" t="n"/>
      <c r="E402" s="96" t="n"/>
      <c r="F402" s="96" t="n"/>
      <c r="G402" s="96" t="n"/>
    </row>
    <row r="403" ht="15.75" customHeight="1" s="49">
      <c r="A403" s="96" t="n"/>
      <c r="B403" s="96" t="n"/>
      <c r="C403" s="96" t="n"/>
      <c r="D403" s="96" t="n"/>
      <c r="E403" s="96" t="n"/>
      <c r="F403" s="96" t="n"/>
      <c r="G403" s="96" t="n"/>
    </row>
    <row r="404" ht="15.75" customHeight="1" s="49">
      <c r="A404" s="96" t="n"/>
      <c r="B404" s="96" t="n"/>
      <c r="C404" s="96" t="n"/>
      <c r="D404" s="96" t="n"/>
      <c r="E404" s="96" t="n"/>
      <c r="F404" s="96" t="n"/>
      <c r="G404" s="96" t="n"/>
    </row>
    <row r="405" ht="15.75" customHeight="1" s="49">
      <c r="A405" s="96" t="n"/>
      <c r="B405" s="96" t="n"/>
      <c r="C405" s="96" t="n"/>
      <c r="D405" s="96" t="n"/>
      <c r="E405" s="96" t="n"/>
      <c r="F405" s="96" t="n"/>
      <c r="G405" s="96" t="n"/>
    </row>
    <row r="406" ht="15.75" customHeight="1" s="49">
      <c r="A406" s="96" t="n"/>
      <c r="B406" s="96" t="n"/>
      <c r="C406" s="96" t="n"/>
      <c r="D406" s="96" t="n"/>
      <c r="E406" s="96" t="n"/>
      <c r="F406" s="96" t="n"/>
      <c r="G406" s="96" t="n"/>
    </row>
    <row r="407" ht="15.75" customHeight="1" s="49">
      <c r="A407" s="96" t="n"/>
      <c r="B407" s="96" t="n"/>
      <c r="C407" s="96" t="n"/>
      <c r="D407" s="96" t="n"/>
      <c r="E407" s="96" t="n"/>
      <c r="F407" s="96" t="n"/>
      <c r="G407" s="96" t="n"/>
    </row>
    <row r="408" ht="15.75" customHeight="1" s="49">
      <c r="A408" s="96" t="n"/>
      <c r="B408" s="96" t="n"/>
      <c r="C408" s="96" t="n"/>
      <c r="D408" s="96" t="n"/>
      <c r="E408" s="96" t="n"/>
      <c r="F408" s="96" t="n"/>
      <c r="G408" s="96" t="n"/>
    </row>
    <row r="409" ht="15.75" customHeight="1" s="49">
      <c r="A409" s="96" t="n"/>
      <c r="B409" s="96" t="n"/>
      <c r="C409" s="96" t="n"/>
      <c r="D409" s="96" t="n"/>
      <c r="E409" s="96" t="n"/>
      <c r="F409" s="96" t="n"/>
      <c r="G409" s="96" t="n"/>
    </row>
    <row r="410" ht="15.75" customHeight="1" s="49">
      <c r="A410" s="96" t="n"/>
      <c r="B410" s="96" t="n"/>
      <c r="C410" s="96" t="n"/>
      <c r="D410" s="96" t="n"/>
      <c r="E410" s="96" t="n"/>
      <c r="F410" s="96" t="n"/>
      <c r="G410" s="96" t="n"/>
    </row>
    <row r="411" ht="15.75" customHeight="1" s="49">
      <c r="A411" s="96" t="n"/>
      <c r="B411" s="96" t="n"/>
      <c r="C411" s="96" t="n"/>
      <c r="D411" s="96" t="n"/>
      <c r="E411" s="96" t="n"/>
      <c r="F411" s="96" t="n"/>
      <c r="G411" s="96" t="n"/>
    </row>
    <row r="412" ht="15.75" customHeight="1" s="49">
      <c r="A412" s="96" t="n"/>
      <c r="B412" s="96" t="n"/>
      <c r="C412" s="96" t="n"/>
      <c r="D412" s="96" t="n"/>
      <c r="E412" s="96" t="n"/>
      <c r="F412" s="96" t="n"/>
      <c r="G412" s="96" t="n"/>
    </row>
    <row r="413" ht="15.75" customHeight="1" s="49">
      <c r="A413" s="96" t="n"/>
      <c r="B413" s="96" t="n"/>
      <c r="C413" s="96" t="n"/>
      <c r="D413" s="96" t="n"/>
      <c r="E413" s="96" t="n"/>
      <c r="F413" s="96" t="n"/>
      <c r="G413" s="96" t="n"/>
    </row>
    <row r="414" ht="15.75" customHeight="1" s="49">
      <c r="A414" s="96" t="n"/>
      <c r="B414" s="96" t="n"/>
      <c r="C414" s="96" t="n"/>
      <c r="D414" s="96" t="n"/>
      <c r="E414" s="96" t="n"/>
      <c r="F414" s="96" t="n"/>
      <c r="G414" s="96" t="n"/>
    </row>
    <row r="415" ht="15.75" customHeight="1" s="49">
      <c r="A415" s="96" t="n"/>
      <c r="B415" s="96" t="n"/>
      <c r="C415" s="96" t="n"/>
      <c r="D415" s="96" t="n"/>
      <c r="E415" s="96" t="n"/>
      <c r="F415" s="96" t="n"/>
      <c r="G415" s="96" t="n"/>
    </row>
    <row r="416" ht="15.75" customHeight="1" s="49">
      <c r="A416" s="96" t="n"/>
      <c r="B416" s="96" t="n"/>
      <c r="C416" s="96" t="n"/>
      <c r="D416" s="96" t="n"/>
      <c r="E416" s="96" t="n"/>
      <c r="F416" s="96" t="n"/>
      <c r="G416" s="96" t="n"/>
    </row>
    <row r="417" ht="15.75" customHeight="1" s="49">
      <c r="A417" s="96" t="n"/>
      <c r="B417" s="96" t="n"/>
      <c r="C417" s="96" t="n"/>
      <c r="D417" s="96" t="n"/>
      <c r="E417" s="96" t="n"/>
      <c r="F417" s="96" t="n"/>
      <c r="G417" s="96" t="n"/>
    </row>
    <row r="418" ht="15.75" customHeight="1" s="49">
      <c r="A418" s="96" t="n"/>
      <c r="B418" s="96" t="n"/>
      <c r="C418" s="96" t="n"/>
      <c r="D418" s="96" t="n"/>
      <c r="E418" s="96" t="n"/>
      <c r="F418" s="96" t="n"/>
      <c r="G418" s="96" t="n"/>
    </row>
    <row r="419" ht="15.75" customHeight="1" s="49">
      <c r="A419" s="96" t="n"/>
      <c r="B419" s="96" t="n"/>
      <c r="C419" s="96" t="n"/>
      <c r="D419" s="96" t="n"/>
      <c r="E419" s="96" t="n"/>
      <c r="F419" s="96" t="n"/>
      <c r="G419" s="96" t="n"/>
    </row>
    <row r="420" ht="15.75" customHeight="1" s="49">
      <c r="A420" s="96" t="n"/>
      <c r="B420" s="96" t="n"/>
      <c r="C420" s="96" t="n"/>
      <c r="D420" s="96" t="n"/>
      <c r="E420" s="96" t="n"/>
      <c r="F420" s="96" t="n"/>
      <c r="G420" s="96" t="n"/>
    </row>
    <row r="421" ht="15.75" customHeight="1" s="49">
      <c r="A421" s="96" t="n"/>
      <c r="B421" s="96" t="n"/>
      <c r="C421" s="96" t="n"/>
      <c r="D421" s="96" t="n"/>
      <c r="E421" s="96" t="n"/>
      <c r="F421" s="96" t="n"/>
      <c r="G421" s="96" t="n"/>
    </row>
    <row r="422" ht="15.75" customHeight="1" s="49">
      <c r="A422" s="96" t="n"/>
      <c r="B422" s="96" t="n"/>
      <c r="C422" s="96" t="n"/>
      <c r="D422" s="96" t="n"/>
      <c r="E422" s="96" t="n"/>
      <c r="F422" s="96" t="n"/>
      <c r="G422" s="96" t="n"/>
    </row>
    <row r="423" ht="15.75" customHeight="1" s="49">
      <c r="A423" s="96" t="n"/>
      <c r="B423" s="96" t="n"/>
      <c r="C423" s="96" t="n"/>
      <c r="D423" s="96" t="n"/>
      <c r="E423" s="96" t="n"/>
      <c r="F423" s="96" t="n"/>
      <c r="G423" s="96" t="n"/>
    </row>
    <row r="424" ht="15.75" customHeight="1" s="49">
      <c r="A424" s="96" t="n"/>
      <c r="B424" s="96" t="n"/>
      <c r="C424" s="96" t="n"/>
      <c r="D424" s="96" t="n"/>
      <c r="E424" s="96" t="n"/>
      <c r="F424" s="96" t="n"/>
      <c r="G424" s="96" t="n"/>
    </row>
    <row r="425" ht="15.75" customHeight="1" s="49">
      <c r="A425" s="96" t="n"/>
      <c r="B425" s="96" t="n"/>
      <c r="C425" s="96" t="n"/>
      <c r="D425" s="96" t="n"/>
      <c r="E425" s="96" t="n"/>
      <c r="F425" s="96" t="n"/>
      <c r="G425" s="96" t="n"/>
    </row>
    <row r="426" ht="15.75" customHeight="1" s="49">
      <c r="A426" s="96" t="n"/>
      <c r="B426" s="96" t="n"/>
      <c r="C426" s="96" t="n"/>
      <c r="D426" s="96" t="n"/>
      <c r="E426" s="96" t="n"/>
      <c r="F426" s="96" t="n"/>
      <c r="G426" s="96" t="n"/>
    </row>
    <row r="427" ht="15.75" customHeight="1" s="49">
      <c r="A427" s="96" t="n"/>
      <c r="B427" s="96" t="n"/>
      <c r="C427" s="96" t="n"/>
      <c r="D427" s="96" t="n"/>
      <c r="E427" s="96" t="n"/>
      <c r="F427" s="96" t="n"/>
      <c r="G427" s="96" t="n"/>
    </row>
    <row r="428" ht="15.75" customHeight="1" s="49">
      <c r="A428" s="96" t="n"/>
      <c r="B428" s="96" t="n"/>
      <c r="C428" s="96" t="n"/>
      <c r="D428" s="96" t="n"/>
      <c r="E428" s="96" t="n"/>
      <c r="F428" s="96" t="n"/>
      <c r="G428" s="96" t="n"/>
    </row>
    <row r="429" ht="15.75" customHeight="1" s="49">
      <c r="A429" s="96" t="n"/>
      <c r="B429" s="96" t="n"/>
      <c r="C429" s="96" t="n"/>
      <c r="D429" s="96" t="n"/>
      <c r="E429" s="96" t="n"/>
      <c r="F429" s="96" t="n"/>
      <c r="G429" s="96" t="n"/>
    </row>
    <row r="430" ht="15.75" customHeight="1" s="49">
      <c r="A430" s="96" t="n"/>
      <c r="B430" s="96" t="n"/>
      <c r="C430" s="96" t="n"/>
      <c r="D430" s="96" t="n"/>
      <c r="E430" s="96" t="n"/>
      <c r="F430" s="96" t="n"/>
      <c r="G430" s="96" t="n"/>
    </row>
    <row r="431" ht="15.75" customHeight="1" s="49">
      <c r="A431" s="96" t="n"/>
      <c r="B431" s="96" t="n"/>
      <c r="C431" s="96" t="n"/>
      <c r="D431" s="96" t="n"/>
      <c r="E431" s="96" t="n"/>
      <c r="F431" s="96" t="n"/>
      <c r="G431" s="96" t="n"/>
    </row>
    <row r="432" ht="15.75" customHeight="1" s="49">
      <c r="A432" s="96" t="n"/>
      <c r="B432" s="96" t="n"/>
      <c r="C432" s="96" t="n"/>
      <c r="D432" s="96" t="n"/>
      <c r="E432" s="96" t="n"/>
      <c r="F432" s="96" t="n"/>
      <c r="G432" s="96" t="n"/>
    </row>
    <row r="433" ht="15.75" customHeight="1" s="49">
      <c r="A433" s="96" t="n"/>
      <c r="B433" s="96" t="n"/>
      <c r="C433" s="96" t="n"/>
      <c r="D433" s="96" t="n"/>
      <c r="E433" s="96" t="n"/>
      <c r="F433" s="96" t="n"/>
      <c r="G433" s="96" t="n"/>
    </row>
    <row r="434" ht="15.75" customHeight="1" s="49">
      <c r="A434" s="96" t="n"/>
      <c r="B434" s="96" t="n"/>
      <c r="C434" s="96" t="n"/>
      <c r="D434" s="96" t="n"/>
      <c r="E434" s="96" t="n"/>
      <c r="F434" s="96" t="n"/>
      <c r="G434" s="96" t="n"/>
    </row>
    <row r="435" ht="15.75" customHeight="1" s="49">
      <c r="A435" s="96" t="n"/>
      <c r="B435" s="96" t="n"/>
      <c r="C435" s="96" t="n"/>
      <c r="D435" s="96" t="n"/>
      <c r="E435" s="96" t="n"/>
      <c r="F435" s="96" t="n"/>
      <c r="G435" s="96" t="n"/>
    </row>
    <row r="436" ht="15.75" customHeight="1" s="49">
      <c r="A436" s="96" t="n"/>
      <c r="B436" s="96" t="n"/>
      <c r="C436" s="96" t="n"/>
      <c r="D436" s="96" t="n"/>
      <c r="E436" s="96" t="n"/>
      <c r="F436" s="96" t="n"/>
      <c r="G436" s="96" t="n"/>
    </row>
    <row r="437" ht="15.75" customHeight="1" s="49">
      <c r="A437" s="96" t="n"/>
      <c r="B437" s="96" t="n"/>
      <c r="C437" s="96" t="n"/>
      <c r="D437" s="96" t="n"/>
      <c r="E437" s="96" t="n"/>
      <c r="F437" s="96" t="n"/>
      <c r="G437" s="96" t="n"/>
    </row>
    <row r="438" ht="15.75" customHeight="1" s="49">
      <c r="A438" s="96" t="n"/>
      <c r="B438" s="96" t="n"/>
      <c r="C438" s="96" t="n"/>
      <c r="D438" s="96" t="n"/>
      <c r="E438" s="96" t="n"/>
      <c r="F438" s="96" t="n"/>
      <c r="G438" s="96" t="n"/>
    </row>
    <row r="439" ht="15.75" customHeight="1" s="49">
      <c r="A439" s="96" t="n"/>
      <c r="B439" s="96" t="n"/>
      <c r="C439" s="96" t="n"/>
      <c r="D439" s="96" t="n"/>
      <c r="E439" s="96" t="n"/>
      <c r="F439" s="96" t="n"/>
      <c r="G439" s="96" t="n"/>
    </row>
    <row r="440" ht="15.75" customHeight="1" s="49">
      <c r="A440" s="96" t="n"/>
      <c r="B440" s="96" t="n"/>
      <c r="C440" s="96" t="n"/>
      <c r="D440" s="96" t="n"/>
      <c r="E440" s="96" t="n"/>
      <c r="F440" s="96" t="n"/>
      <c r="G440" s="96" t="n"/>
    </row>
    <row r="441" ht="15.75" customHeight="1" s="49">
      <c r="A441" s="96" t="n"/>
      <c r="B441" s="96" t="n"/>
      <c r="C441" s="96" t="n"/>
      <c r="D441" s="96" t="n"/>
      <c r="E441" s="96" t="n"/>
      <c r="F441" s="96" t="n"/>
      <c r="G441" s="96" t="n"/>
    </row>
    <row r="442" ht="15.75" customHeight="1" s="49">
      <c r="A442" s="96" t="n"/>
      <c r="B442" s="96" t="n"/>
      <c r="C442" s="96" t="n"/>
      <c r="D442" s="96" t="n"/>
      <c r="E442" s="96" t="n"/>
      <c r="F442" s="96" t="n"/>
      <c r="G442" s="96" t="n"/>
    </row>
    <row r="443" ht="15.75" customHeight="1" s="49">
      <c r="A443" s="96" t="n"/>
      <c r="B443" s="96" t="n"/>
      <c r="C443" s="96" t="n"/>
      <c r="D443" s="96" t="n"/>
      <c r="E443" s="96" t="n"/>
      <c r="F443" s="96" t="n"/>
      <c r="G443" s="96" t="n"/>
    </row>
    <row r="444" ht="15.75" customHeight="1" s="49">
      <c r="A444" s="96" t="n"/>
      <c r="B444" s="96" t="n"/>
      <c r="C444" s="96" t="n"/>
      <c r="D444" s="96" t="n"/>
      <c r="E444" s="96" t="n"/>
      <c r="F444" s="96" t="n"/>
      <c r="G444" s="96" t="n"/>
    </row>
    <row r="445" ht="15.75" customHeight="1" s="49">
      <c r="A445" s="96" t="n"/>
      <c r="B445" s="96" t="n"/>
      <c r="C445" s="96" t="n"/>
      <c r="D445" s="96" t="n"/>
      <c r="E445" s="96" t="n"/>
      <c r="F445" s="96" t="n"/>
      <c r="G445" s="96" t="n"/>
    </row>
    <row r="446" ht="15.75" customHeight="1" s="49">
      <c r="A446" s="96" t="n"/>
      <c r="B446" s="96" t="n"/>
      <c r="C446" s="96" t="n"/>
      <c r="D446" s="96" t="n"/>
      <c r="E446" s="96" t="n"/>
      <c r="F446" s="96" t="n"/>
      <c r="G446" s="96" t="n"/>
    </row>
    <row r="447" ht="15.75" customHeight="1" s="49">
      <c r="A447" s="96" t="n"/>
      <c r="B447" s="96" t="n"/>
      <c r="C447" s="96" t="n"/>
      <c r="D447" s="96" t="n"/>
      <c r="E447" s="96" t="n"/>
      <c r="F447" s="96" t="n"/>
      <c r="G447" s="96" t="n"/>
    </row>
    <row r="448" ht="15.75" customHeight="1" s="49">
      <c r="A448" s="96" t="n"/>
      <c r="B448" s="96" t="n"/>
      <c r="C448" s="96" t="n"/>
      <c r="D448" s="96" t="n"/>
      <c r="E448" s="96" t="n"/>
      <c r="F448" s="96" t="n"/>
      <c r="G448" s="96" t="n"/>
    </row>
    <row r="449" ht="15.75" customHeight="1" s="49">
      <c r="A449" s="96" t="n"/>
      <c r="B449" s="96" t="n"/>
      <c r="C449" s="96" t="n"/>
      <c r="D449" s="96" t="n"/>
      <c r="E449" s="96" t="n"/>
      <c r="F449" s="96" t="n"/>
      <c r="G449" s="96" t="n"/>
    </row>
    <row r="450" ht="15.75" customHeight="1" s="49">
      <c r="A450" s="96" t="n"/>
      <c r="B450" s="96" t="n"/>
      <c r="C450" s="96" t="n"/>
      <c r="D450" s="96" t="n"/>
      <c r="E450" s="96" t="n"/>
      <c r="F450" s="96" t="n"/>
      <c r="G450" s="96" t="n"/>
    </row>
    <row r="451" ht="15.75" customHeight="1" s="49">
      <c r="A451" s="96" t="n"/>
      <c r="B451" s="96" t="n"/>
      <c r="C451" s="96" t="n"/>
      <c r="D451" s="96" t="n"/>
      <c r="E451" s="96" t="n"/>
      <c r="F451" s="96" t="n"/>
      <c r="G451" s="96" t="n"/>
    </row>
    <row r="452" ht="15.75" customHeight="1" s="49">
      <c r="A452" s="96" t="n"/>
      <c r="B452" s="96" t="n"/>
      <c r="C452" s="96" t="n"/>
      <c r="D452" s="96" t="n"/>
      <c r="E452" s="96" t="n"/>
      <c r="F452" s="96" t="n"/>
      <c r="G452" s="96" t="n"/>
    </row>
    <row r="453" ht="15.75" customHeight="1" s="49">
      <c r="A453" s="96" t="n"/>
      <c r="B453" s="96" t="n"/>
      <c r="C453" s="96" t="n"/>
      <c r="D453" s="96" t="n"/>
      <c r="E453" s="96" t="n"/>
      <c r="F453" s="96" t="n"/>
      <c r="G453" s="96" t="n"/>
    </row>
    <row r="454" ht="15.75" customHeight="1" s="49">
      <c r="A454" s="96" t="n"/>
      <c r="B454" s="96" t="n"/>
      <c r="C454" s="96" t="n"/>
      <c r="D454" s="96" t="n"/>
      <c r="E454" s="96" t="n"/>
      <c r="F454" s="96" t="n"/>
      <c r="G454" s="96" t="n"/>
    </row>
    <row r="455" ht="15.75" customHeight="1" s="49">
      <c r="A455" s="96" t="n"/>
      <c r="B455" s="96" t="n"/>
      <c r="C455" s="96" t="n"/>
      <c r="D455" s="96" t="n"/>
      <c r="E455" s="96" t="n"/>
      <c r="F455" s="96" t="n"/>
      <c r="G455" s="96" t="n"/>
    </row>
    <row r="456" ht="15.75" customHeight="1" s="49">
      <c r="A456" s="96" t="n"/>
      <c r="B456" s="96" t="n"/>
      <c r="C456" s="96" t="n"/>
      <c r="D456" s="96" t="n"/>
      <c r="E456" s="96" t="n"/>
      <c r="F456" s="96" t="n"/>
      <c r="G456" s="96" t="n"/>
    </row>
    <row r="457" ht="15.75" customHeight="1" s="49">
      <c r="A457" s="96" t="n"/>
      <c r="B457" s="96" t="n"/>
      <c r="C457" s="96" t="n"/>
      <c r="D457" s="96" t="n"/>
      <c r="E457" s="96" t="n"/>
      <c r="F457" s="96" t="n"/>
      <c r="G457" s="96" t="n"/>
    </row>
    <row r="458" ht="15.75" customHeight="1" s="49">
      <c r="A458" s="96" t="n"/>
      <c r="B458" s="96" t="n"/>
      <c r="C458" s="96" t="n"/>
      <c r="D458" s="96" t="n"/>
      <c r="E458" s="96" t="n"/>
      <c r="F458" s="96" t="n"/>
      <c r="G458" s="96" t="n"/>
    </row>
    <row r="459" ht="15.75" customHeight="1" s="49">
      <c r="A459" s="96" t="n"/>
      <c r="B459" s="96" t="n"/>
      <c r="C459" s="96" t="n"/>
      <c r="D459" s="96" t="n"/>
      <c r="E459" s="96" t="n"/>
      <c r="F459" s="96" t="n"/>
      <c r="G459" s="96" t="n"/>
    </row>
    <row r="460" ht="15.75" customHeight="1" s="49">
      <c r="A460" s="96" t="n"/>
      <c r="B460" s="96" t="n"/>
      <c r="C460" s="96" t="n"/>
      <c r="D460" s="96" t="n"/>
      <c r="E460" s="96" t="n"/>
      <c r="F460" s="96" t="n"/>
      <c r="G460" s="96" t="n"/>
    </row>
    <row r="461" ht="15.75" customHeight="1" s="49">
      <c r="A461" s="96" t="n"/>
      <c r="B461" s="96" t="n"/>
      <c r="C461" s="96" t="n"/>
      <c r="D461" s="96" t="n"/>
      <c r="E461" s="96" t="n"/>
      <c r="F461" s="96" t="n"/>
      <c r="G461" s="96" t="n"/>
    </row>
    <row r="462" ht="15.75" customHeight="1" s="49">
      <c r="A462" s="96" t="n"/>
      <c r="B462" s="96" t="n"/>
      <c r="C462" s="96" t="n"/>
      <c r="D462" s="96" t="n"/>
      <c r="E462" s="96" t="n"/>
      <c r="F462" s="96" t="n"/>
      <c r="G462" s="96" t="n"/>
    </row>
    <row r="463" ht="15.75" customHeight="1" s="49">
      <c r="A463" s="96" t="n"/>
      <c r="B463" s="96" t="n"/>
      <c r="C463" s="96" t="n"/>
      <c r="D463" s="96" t="n"/>
      <c r="E463" s="96" t="n"/>
      <c r="F463" s="96" t="n"/>
      <c r="G463" s="96" t="n"/>
    </row>
    <row r="464" ht="15.75" customHeight="1" s="49">
      <c r="A464" s="96" t="n"/>
      <c r="B464" s="96" t="n"/>
      <c r="C464" s="96" t="n"/>
      <c r="D464" s="96" t="n"/>
      <c r="E464" s="96" t="n"/>
      <c r="F464" s="96" t="n"/>
      <c r="G464" s="96" t="n"/>
    </row>
    <row r="465" ht="15.75" customHeight="1" s="49">
      <c r="A465" s="96" t="n"/>
      <c r="B465" s="96" t="n"/>
      <c r="C465" s="96" t="n"/>
      <c r="D465" s="96" t="n"/>
      <c r="E465" s="96" t="n"/>
      <c r="F465" s="96" t="n"/>
      <c r="G465" s="96" t="n"/>
    </row>
    <row r="466" ht="15.75" customHeight="1" s="49">
      <c r="A466" s="96" t="n"/>
      <c r="B466" s="96" t="n"/>
      <c r="C466" s="96" t="n"/>
      <c r="D466" s="96" t="n"/>
      <c r="E466" s="96" t="n"/>
      <c r="F466" s="96" t="n"/>
      <c r="G466" s="96" t="n"/>
    </row>
    <row r="467" ht="15.75" customHeight="1" s="49">
      <c r="A467" s="96" t="n"/>
      <c r="B467" s="96" t="n"/>
      <c r="C467" s="96" t="n"/>
      <c r="D467" s="96" t="n"/>
      <c r="E467" s="96" t="n"/>
      <c r="F467" s="96" t="n"/>
      <c r="G467" s="96" t="n"/>
    </row>
    <row r="468" ht="15.75" customHeight="1" s="49">
      <c r="A468" s="96" t="n"/>
      <c r="B468" s="96" t="n"/>
      <c r="C468" s="96" t="n"/>
      <c r="D468" s="96" t="n"/>
      <c r="E468" s="96" t="n"/>
      <c r="F468" s="96" t="n"/>
      <c r="G468" s="96" t="n"/>
    </row>
    <row r="469" ht="15.75" customHeight="1" s="49">
      <c r="A469" s="96" t="n"/>
      <c r="B469" s="96" t="n"/>
      <c r="C469" s="96" t="n"/>
      <c r="D469" s="96" t="n"/>
      <c r="E469" s="96" t="n"/>
      <c r="F469" s="96" t="n"/>
      <c r="G469" s="96" t="n"/>
    </row>
    <row r="470" ht="15.75" customHeight="1" s="49">
      <c r="A470" s="96" t="n"/>
      <c r="B470" s="96" t="n"/>
      <c r="C470" s="96" t="n"/>
      <c r="D470" s="96" t="n"/>
      <c r="E470" s="96" t="n"/>
      <c r="F470" s="96" t="n"/>
      <c r="G470" s="96" t="n"/>
    </row>
    <row r="471" ht="15.75" customHeight="1" s="49">
      <c r="A471" s="96" t="n"/>
      <c r="B471" s="96" t="n"/>
      <c r="C471" s="96" t="n"/>
      <c r="D471" s="96" t="n"/>
      <c r="E471" s="96" t="n"/>
      <c r="F471" s="96" t="n"/>
      <c r="G471" s="96" t="n"/>
    </row>
    <row r="472" ht="15.75" customHeight="1" s="49">
      <c r="A472" s="96" t="n"/>
      <c r="B472" s="96" t="n"/>
      <c r="C472" s="96" t="n"/>
      <c r="D472" s="96" t="n"/>
      <c r="E472" s="96" t="n"/>
      <c r="F472" s="96" t="n"/>
      <c r="G472" s="96" t="n"/>
    </row>
    <row r="473" ht="15.75" customHeight="1" s="49">
      <c r="A473" s="96" t="n"/>
      <c r="B473" s="96" t="n"/>
      <c r="C473" s="96" t="n"/>
      <c r="D473" s="96" t="n"/>
      <c r="E473" s="96" t="n"/>
      <c r="F473" s="96" t="n"/>
      <c r="G473" s="96" t="n"/>
    </row>
    <row r="474" ht="15.75" customHeight="1" s="49">
      <c r="A474" s="96" t="n"/>
      <c r="B474" s="96" t="n"/>
      <c r="C474" s="96" t="n"/>
      <c r="D474" s="96" t="n"/>
      <c r="E474" s="96" t="n"/>
      <c r="F474" s="96" t="n"/>
      <c r="G474" s="96" t="n"/>
    </row>
    <row r="475" ht="15.75" customHeight="1" s="49">
      <c r="A475" s="96" t="n"/>
      <c r="B475" s="96" t="n"/>
      <c r="C475" s="96" t="n"/>
      <c r="D475" s="96" t="n"/>
      <c r="E475" s="96" t="n"/>
      <c r="F475" s="96" t="n"/>
      <c r="G475" s="96" t="n"/>
    </row>
    <row r="476" ht="15.75" customHeight="1" s="49">
      <c r="A476" s="96" t="n"/>
      <c r="B476" s="96" t="n"/>
      <c r="C476" s="96" t="n"/>
      <c r="D476" s="96" t="n"/>
      <c r="E476" s="96" t="n"/>
      <c r="F476" s="96" t="n"/>
      <c r="G476" s="96" t="n"/>
    </row>
    <row r="477" ht="15.75" customHeight="1" s="49">
      <c r="A477" s="96" t="n"/>
      <c r="B477" s="96" t="n"/>
      <c r="C477" s="96" t="n"/>
      <c r="D477" s="96" t="n"/>
      <c r="E477" s="96" t="n"/>
      <c r="F477" s="96" t="n"/>
      <c r="G477" s="96" t="n"/>
    </row>
    <row r="478" ht="15.75" customHeight="1" s="49">
      <c r="A478" s="96" t="n"/>
      <c r="B478" s="96" t="n"/>
      <c r="C478" s="96" t="n"/>
      <c r="D478" s="96" t="n"/>
      <c r="E478" s="96" t="n"/>
      <c r="F478" s="96" t="n"/>
      <c r="G478" s="96" t="n"/>
    </row>
    <row r="479" ht="15.75" customHeight="1" s="49">
      <c r="A479" s="96" t="n"/>
      <c r="B479" s="96" t="n"/>
      <c r="C479" s="96" t="n"/>
      <c r="D479" s="96" t="n"/>
      <c r="E479" s="96" t="n"/>
      <c r="F479" s="96" t="n"/>
      <c r="G479" s="96" t="n"/>
    </row>
    <row r="480" ht="15.75" customHeight="1" s="49">
      <c r="A480" s="96" t="n"/>
      <c r="B480" s="96" t="n"/>
      <c r="C480" s="96" t="n"/>
      <c r="D480" s="96" t="n"/>
      <c r="E480" s="96" t="n"/>
      <c r="F480" s="96" t="n"/>
      <c r="G480" s="96" t="n"/>
    </row>
    <row r="481" ht="15.75" customHeight="1" s="49">
      <c r="A481" s="96" t="n"/>
      <c r="B481" s="96" t="n"/>
      <c r="C481" s="96" t="n"/>
      <c r="D481" s="96" t="n"/>
      <c r="E481" s="96" t="n"/>
      <c r="F481" s="96" t="n"/>
      <c r="G481" s="96" t="n"/>
    </row>
    <row r="482" ht="15.75" customHeight="1" s="49">
      <c r="A482" s="96" t="n"/>
      <c r="B482" s="96" t="n"/>
      <c r="C482" s="96" t="n"/>
      <c r="D482" s="96" t="n"/>
      <c r="E482" s="96" t="n"/>
      <c r="F482" s="96" t="n"/>
      <c r="G482" s="96" t="n"/>
    </row>
    <row r="483" ht="15.75" customHeight="1" s="49">
      <c r="A483" s="96" t="n"/>
      <c r="B483" s="96" t="n"/>
      <c r="C483" s="96" t="n"/>
      <c r="D483" s="96" t="n"/>
      <c r="E483" s="96" t="n"/>
      <c r="F483" s="96" t="n"/>
      <c r="G483" s="96" t="n"/>
    </row>
    <row r="484" ht="15.75" customHeight="1" s="49">
      <c r="A484" s="96" t="n"/>
      <c r="B484" s="96" t="n"/>
      <c r="C484" s="96" t="n"/>
      <c r="D484" s="96" t="n"/>
      <c r="E484" s="96" t="n"/>
      <c r="F484" s="96" t="n"/>
      <c r="G484" s="96" t="n"/>
    </row>
    <row r="485" ht="15.75" customHeight="1" s="49">
      <c r="A485" s="96" t="n"/>
      <c r="B485" s="96" t="n"/>
      <c r="C485" s="96" t="n"/>
      <c r="D485" s="96" t="n"/>
      <c r="E485" s="96" t="n"/>
      <c r="F485" s="96" t="n"/>
      <c r="G485" s="96" t="n"/>
    </row>
    <row r="486" ht="15.75" customHeight="1" s="49">
      <c r="A486" s="96" t="n"/>
      <c r="B486" s="96" t="n"/>
      <c r="C486" s="96" t="n"/>
      <c r="D486" s="96" t="n"/>
      <c r="E486" s="96" t="n"/>
      <c r="F486" s="96" t="n"/>
      <c r="G486" s="96" t="n"/>
    </row>
    <row r="487" ht="15.75" customHeight="1" s="49">
      <c r="A487" s="96" t="n"/>
      <c r="B487" s="96" t="n"/>
      <c r="C487" s="96" t="n"/>
      <c r="D487" s="96" t="n"/>
      <c r="E487" s="96" t="n"/>
      <c r="F487" s="96" t="n"/>
      <c r="G487" s="96" t="n"/>
    </row>
    <row r="488" ht="15.75" customHeight="1" s="49">
      <c r="A488" s="96" t="n"/>
      <c r="B488" s="96" t="n"/>
      <c r="C488" s="96" t="n"/>
      <c r="D488" s="96" t="n"/>
      <c r="E488" s="96" t="n"/>
      <c r="F488" s="96" t="n"/>
      <c r="G488" s="96" t="n"/>
    </row>
    <row r="489" ht="15.75" customHeight="1" s="49">
      <c r="A489" s="96" t="n"/>
      <c r="B489" s="96" t="n"/>
      <c r="C489" s="96" t="n"/>
      <c r="D489" s="96" t="n"/>
      <c r="E489" s="96" t="n"/>
      <c r="F489" s="96" t="n"/>
      <c r="G489" s="96" t="n"/>
    </row>
    <row r="490" ht="15.75" customHeight="1" s="49">
      <c r="A490" s="96" t="n"/>
      <c r="B490" s="96" t="n"/>
      <c r="C490" s="96" t="n"/>
      <c r="D490" s="96" t="n"/>
      <c r="E490" s="96" t="n"/>
      <c r="F490" s="96" t="n"/>
      <c r="G490" s="96" t="n"/>
    </row>
    <row r="491" ht="15.75" customHeight="1" s="49">
      <c r="A491" s="96" t="n"/>
      <c r="B491" s="96" t="n"/>
      <c r="C491" s="96" t="n"/>
      <c r="D491" s="96" t="n"/>
      <c r="E491" s="96" t="n"/>
      <c r="F491" s="96" t="n"/>
      <c r="G491" s="96" t="n"/>
    </row>
    <row r="492" ht="15.75" customHeight="1" s="49">
      <c r="A492" s="96" t="n"/>
      <c r="B492" s="96" t="n"/>
      <c r="C492" s="96" t="n"/>
      <c r="D492" s="96" t="n"/>
      <c r="E492" s="96" t="n"/>
      <c r="F492" s="96" t="n"/>
      <c r="G492" s="96" t="n"/>
    </row>
    <row r="493" ht="15.75" customHeight="1" s="49">
      <c r="A493" s="96" t="n"/>
      <c r="B493" s="96" t="n"/>
      <c r="C493" s="96" t="n"/>
      <c r="D493" s="96" t="n"/>
      <c r="E493" s="96" t="n"/>
      <c r="F493" s="96" t="n"/>
      <c r="G493" s="96" t="n"/>
    </row>
    <row r="494" ht="15.75" customHeight="1" s="49">
      <c r="A494" s="96" t="n"/>
      <c r="B494" s="96" t="n"/>
      <c r="C494" s="96" t="n"/>
      <c r="D494" s="96" t="n"/>
      <c r="E494" s="96" t="n"/>
      <c r="F494" s="96" t="n"/>
      <c r="G494" s="96" t="n"/>
    </row>
    <row r="495" ht="15.75" customHeight="1" s="49">
      <c r="A495" s="96" t="n"/>
      <c r="B495" s="96" t="n"/>
      <c r="C495" s="96" t="n"/>
      <c r="D495" s="96" t="n"/>
      <c r="E495" s="96" t="n"/>
      <c r="F495" s="96" t="n"/>
      <c r="G495" s="96" t="n"/>
    </row>
    <row r="496" ht="15.75" customHeight="1" s="49">
      <c r="A496" s="96" t="n"/>
      <c r="B496" s="96" t="n"/>
      <c r="C496" s="96" t="n"/>
      <c r="D496" s="96" t="n"/>
      <c r="E496" s="96" t="n"/>
      <c r="F496" s="96" t="n"/>
      <c r="G496" s="96" t="n"/>
    </row>
    <row r="497" ht="15.75" customHeight="1" s="49">
      <c r="A497" s="96" t="n"/>
      <c r="B497" s="96" t="n"/>
      <c r="C497" s="96" t="n"/>
      <c r="D497" s="96" t="n"/>
      <c r="E497" s="96" t="n"/>
      <c r="F497" s="96" t="n"/>
      <c r="G497" s="96" t="n"/>
    </row>
    <row r="498" ht="15.75" customHeight="1" s="49">
      <c r="A498" s="96" t="n"/>
      <c r="B498" s="96" t="n"/>
      <c r="C498" s="96" t="n"/>
      <c r="D498" s="96" t="n"/>
      <c r="E498" s="96" t="n"/>
      <c r="F498" s="96" t="n"/>
      <c r="G498" s="96" t="n"/>
    </row>
    <row r="499" ht="15.75" customHeight="1" s="49">
      <c r="A499" s="96" t="n"/>
      <c r="B499" s="96" t="n"/>
      <c r="C499" s="96" t="n"/>
      <c r="D499" s="96" t="n"/>
      <c r="E499" s="96" t="n"/>
      <c r="F499" s="96" t="n"/>
      <c r="G499" s="96" t="n"/>
    </row>
    <row r="500" ht="15.75" customHeight="1" s="49">
      <c r="A500" s="96" t="n"/>
      <c r="B500" s="96" t="n"/>
      <c r="C500" s="96" t="n"/>
      <c r="D500" s="96" t="n"/>
      <c r="E500" s="96" t="n"/>
      <c r="F500" s="96" t="n"/>
      <c r="G500" s="96" t="n"/>
    </row>
    <row r="501" ht="15.75" customHeight="1" s="49">
      <c r="A501" s="96" t="n"/>
      <c r="B501" s="96" t="n"/>
      <c r="C501" s="96" t="n"/>
      <c r="D501" s="96" t="n"/>
      <c r="E501" s="96" t="n"/>
      <c r="F501" s="96" t="n"/>
      <c r="G501" s="96" t="n"/>
    </row>
    <row r="502" ht="15.75" customHeight="1" s="49">
      <c r="A502" s="96" t="n"/>
      <c r="B502" s="96" t="n"/>
      <c r="C502" s="96" t="n"/>
      <c r="D502" s="96" t="n"/>
      <c r="E502" s="96" t="n"/>
      <c r="F502" s="96" t="n"/>
      <c r="G502" s="96" t="n"/>
    </row>
    <row r="503" ht="15.75" customHeight="1" s="49">
      <c r="A503" s="96" t="n"/>
      <c r="B503" s="96" t="n"/>
      <c r="C503" s="96" t="n"/>
      <c r="D503" s="96" t="n"/>
      <c r="E503" s="96" t="n"/>
      <c r="F503" s="96" t="n"/>
      <c r="G503" s="96" t="n"/>
    </row>
    <row r="504" ht="15.75" customHeight="1" s="49">
      <c r="A504" s="96" t="n"/>
      <c r="B504" s="96" t="n"/>
      <c r="C504" s="96" t="n"/>
      <c r="D504" s="96" t="n"/>
      <c r="E504" s="96" t="n"/>
      <c r="F504" s="96" t="n"/>
      <c r="G504" s="96" t="n"/>
    </row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G2"/>
    <mergeCell ref="A1:G1"/>
  </mergeCells>
  <dataValidations count="5">
    <dataValidation sqref="D5:D504" showDropDown="0" showInputMessage="0" showErrorMessage="0" allowBlank="1" type="list" errorStyle="stop" operator="between">
      <formula1>Setup!$F$7:$F$10</formula1>
      <formula2>0</formula2>
    </dataValidation>
    <dataValidation sqref="C5:C504" showDropDown="0" showInputMessage="0" showErrorMessage="0" allowBlank="1" type="list" errorStyle="stop" operator="between">
      <formula1>Setup!$P$7:$P$32</formula1>
      <formula2>0</formula2>
    </dataValidation>
    <dataValidation sqref="B5:B504" showDropDown="0" showInputMessage="0" showErrorMessage="0" allowBlank="1" type="list" errorStyle="stop" operator="between">
      <formula1>"Income,Expense,Transfer"</formula1>
      <formula2>0</formula2>
    </dataValidation>
    <dataValidation sqref="E5:E504" showDropDown="0" showInputMessage="0" showErrorMessage="0" allowBlank="1" type="list" errorStyle="stop" operator="between">
      <formula1>"1,2,Extra"</formula1>
      <formula2>0</formula2>
    </dataValidation>
    <dataValidation sqref="F5:F504" showDropDown="0" showInputMessage="0" showErrorMessage="0" allowBlank="1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48" min="1" max="1"/>
    <col width="13" customWidth="1" style="48" min="2" max="2"/>
    <col width="14" customWidth="1" style="48" min="3" max="3"/>
    <col width="15" customWidth="1" style="48" min="4" max="4"/>
    <col width="10" customWidth="1" style="48" min="5" max="6"/>
    <col width="8.710000000000001" customWidth="1" style="48" min="7" max="26"/>
  </cols>
  <sheetData>
    <row r="1" ht="42" customHeight="1" s="49">
      <c r="A1" s="50" t="inlineStr">
        <is>
          <t>Bill Calendar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21.75" customHeight="1" s="49">
      <c r="A2" s="81" t="inlineStr">
        <is>
          <t>Set the frequency, see the true monthly cost, never miss a due day.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" customHeight="1" s="49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5" customHeight="1" s="49">
      <c r="A4" s="64" t="inlineStr">
        <is>
          <t>Bill</t>
        </is>
      </c>
      <c r="B4" s="64" t="inlineStr">
        <is>
          <t>Amount</t>
        </is>
      </c>
      <c r="C4" s="64" t="inlineStr">
        <is>
          <t>Frequency</t>
        </is>
      </c>
      <c r="D4" s="64" t="inlineStr">
        <is>
          <t>Monthly cost</t>
        </is>
      </c>
      <c r="E4" s="64" t="inlineStr">
        <is>
          <t>Due day</t>
        </is>
      </c>
      <c r="F4" s="64" t="inlineStr">
        <is>
          <t>Paid?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5" customHeight="1" s="49">
      <c r="A5" s="66" t="inlineStr">
        <is>
          <t>Rent or Mortgage</t>
        </is>
      </c>
      <c r="B5" s="85" t="n">
        <v>1450</v>
      </c>
      <c r="C5" s="91" t="inlineStr">
        <is>
          <t>Monthly</t>
        </is>
      </c>
      <c r="D5" s="83">
        <f>IFERROR(B5*INDEX(Setup!$N$7:$N$10,MATCH(C5,Setup!$M$7:$M$10,0)),"")</f>
        <v/>
      </c>
      <c r="E5" s="91" t="n">
        <v>1</v>
      </c>
      <c r="F5" s="91" t="inlineStr">
        <is>
          <t>Yes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5" customHeight="1" s="49">
      <c r="A6" s="66" t="inlineStr">
        <is>
          <t>Electricity</t>
        </is>
      </c>
      <c r="B6" s="85" t="n">
        <v>88.2</v>
      </c>
      <c r="C6" s="91" t="inlineStr">
        <is>
          <t>Monthly</t>
        </is>
      </c>
      <c r="D6" s="83">
        <f>IFERROR(B6*INDEX(Setup!$N$7:$N$10,MATCH(C6,Setup!$M$7:$M$10,0)),"")</f>
        <v/>
      </c>
      <c r="E6" s="91" t="n">
        <v>7</v>
      </c>
      <c r="F6" s="91" t="inlineStr">
        <is>
          <t>Yes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5" customHeight="1" s="49">
      <c r="A7" s="66" t="inlineStr">
        <is>
          <t>Water</t>
        </is>
      </c>
      <c r="B7" s="85" t="n">
        <v>26.5</v>
      </c>
      <c r="C7" s="91" t="inlineStr">
        <is>
          <t>Monthly</t>
        </is>
      </c>
      <c r="D7" s="83">
        <f>IFERROR(B7*INDEX(Setup!$N$7:$N$10,MATCH(C7,Setup!$M$7:$M$10,0)),"")</f>
        <v/>
      </c>
      <c r="E7" s="91" t="n">
        <v>16</v>
      </c>
      <c r="F7" s="91" t="inlineStr">
        <is>
          <t>Yes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5" customHeight="1" s="49">
      <c r="A8" s="66" t="inlineStr">
        <is>
          <t>Gas</t>
        </is>
      </c>
      <c r="B8" s="85" t="n">
        <v>61.3</v>
      </c>
      <c r="C8" s="91" t="inlineStr">
        <is>
          <t>Monthly</t>
        </is>
      </c>
      <c r="D8" s="83">
        <f>IFERROR(B8*INDEX(Setup!$N$7:$N$10,MATCH(C8,Setup!$M$7:$M$10,0)),"")</f>
        <v/>
      </c>
      <c r="E8" s="91" t="n">
        <v>25</v>
      </c>
      <c r="F8" s="91" t="inlineStr">
        <is>
          <t>Yes</t>
        </is>
      </c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5" customHeight="1" s="49">
      <c r="A9" s="66" t="inlineStr">
        <is>
          <t>Mobile plan</t>
        </is>
      </c>
      <c r="B9" s="85" t="n">
        <v>45</v>
      </c>
      <c r="C9" s="91" t="inlineStr">
        <is>
          <t>Monthly</t>
        </is>
      </c>
      <c r="D9" s="83">
        <f>IFERROR(B9*INDEX(Setup!$N$7:$N$10,MATCH(C9,Setup!$M$7:$M$10,0)),"")</f>
        <v/>
      </c>
      <c r="E9" s="91" t="n">
        <v>6</v>
      </c>
      <c r="F9" s="91" t="inlineStr">
        <is>
          <t>Yes</t>
        </is>
      </c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5" customHeight="1" s="49">
      <c r="A10" s="66" t="inlineStr">
        <is>
          <t>Internet</t>
        </is>
      </c>
      <c r="B10" s="85" t="n">
        <v>40</v>
      </c>
      <c r="C10" s="91" t="inlineStr">
        <is>
          <t>Monthly</t>
        </is>
      </c>
      <c r="D10" s="83">
        <f>IFERROR(B10*INDEX(Setup!$N$7:$N$10,MATCH(C10,Setup!$M$7:$M$10,0)),"")</f>
        <v/>
      </c>
      <c r="E10" s="91" t="n">
        <v>18</v>
      </c>
      <c r="F10" s="91" t="inlineStr">
        <is>
          <t>Yes</t>
        </is>
      </c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 ht="15" customHeight="1" s="49">
      <c r="A11" s="66" t="inlineStr">
        <is>
          <t>Car insurance</t>
        </is>
      </c>
      <c r="B11" s="85" t="n">
        <v>145</v>
      </c>
      <c r="C11" s="91" t="inlineStr">
        <is>
          <t>Monthly</t>
        </is>
      </c>
      <c r="D11" s="83">
        <f>IFERROR(B11*INDEX(Setup!$N$7:$N$10,MATCH(C11,Setup!$M$7:$M$10,0)),"")</f>
        <v/>
      </c>
      <c r="E11" s="91" t="n">
        <v>11</v>
      </c>
      <c r="F11" s="91" t="inlineStr">
        <is>
          <t>Yes</t>
        </is>
      </c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 ht="15" customHeight="1" s="49">
      <c r="A12" s="66" t="inlineStr">
        <is>
          <t>Streaming</t>
        </is>
      </c>
      <c r="B12" s="85" t="n">
        <v>15.99</v>
      </c>
      <c r="C12" s="91" t="inlineStr">
        <is>
          <t>Monthly</t>
        </is>
      </c>
      <c r="D12" s="83">
        <f>IFERROR(B12*INDEX(Setup!$N$7:$N$10,MATCH(C12,Setup!$M$7:$M$10,0)),"")</f>
        <v/>
      </c>
      <c r="E12" s="91" t="n">
        <v>6</v>
      </c>
      <c r="F12" s="91" t="inlineStr">
        <is>
          <t>Yes</t>
        </is>
      </c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15" customHeight="1" s="49">
      <c r="A13" s="66" t="inlineStr">
        <is>
          <t>Music</t>
        </is>
      </c>
      <c r="B13" s="85" t="n">
        <v>12.99</v>
      </c>
      <c r="C13" s="91" t="inlineStr">
        <is>
          <t>Monthly</t>
        </is>
      </c>
      <c r="D13" s="83">
        <f>IFERROR(B13*INDEX(Setup!$N$7:$N$10,MATCH(C13,Setup!$M$7:$M$10,0)),"")</f>
        <v/>
      </c>
      <c r="E13" s="91" t="n">
        <v>20</v>
      </c>
      <c r="F13" s="91" t="inlineStr">
        <is>
          <t>Yes</t>
        </is>
      </c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15" customHeight="1" s="49">
      <c r="A14" s="66" t="inlineStr">
        <is>
          <t>Gym</t>
        </is>
      </c>
      <c r="B14" s="85" t="n">
        <v>24</v>
      </c>
      <c r="C14" s="91" t="inlineStr">
        <is>
          <t>Weekly</t>
        </is>
      </c>
      <c r="D14" s="83">
        <f>IFERROR(B14*INDEX(Setup!$N$7:$N$10,MATCH(C14,Setup!$M$7:$M$10,0)),"")</f>
        <v/>
      </c>
      <c r="E14" s="91" t="n">
        <v>5</v>
      </c>
      <c r="F14" s="91" t="inlineStr">
        <is>
          <t>No</t>
        </is>
      </c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15" customHeight="1" s="49">
      <c r="A15" s="66" t="inlineStr">
        <is>
          <t>Home insurance</t>
        </is>
      </c>
      <c r="B15" s="85" t="n">
        <v>420</v>
      </c>
      <c r="C15" s="91" t="inlineStr">
        <is>
          <t>Yearly</t>
        </is>
      </c>
      <c r="D15" s="83">
        <f>IFERROR(B15*INDEX(Setup!$N$7:$N$10,MATCH(C15,Setup!$M$7:$M$10,0)),"")</f>
        <v/>
      </c>
      <c r="E15" s="91" t="n">
        <v>14</v>
      </c>
      <c r="F15" s="91" t="inlineStr">
        <is>
          <t>No</t>
        </is>
      </c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 ht="15" customHeight="1" s="49">
      <c r="A16" s="66" t="inlineStr">
        <is>
          <t>Cloud storage</t>
        </is>
      </c>
      <c r="B16" s="85" t="n">
        <v>9.99</v>
      </c>
      <c r="C16" s="91" t="inlineStr">
        <is>
          <t>Monthly</t>
        </is>
      </c>
      <c r="D16" s="83">
        <f>IFERROR(B16*INDEX(Setup!$N$7:$N$10,MATCH(C16,Setup!$M$7:$M$10,0)),"")</f>
        <v/>
      </c>
      <c r="E16" s="91" t="n">
        <v>22</v>
      </c>
      <c r="F16" s="91" t="inlineStr">
        <is>
          <t>No</t>
        </is>
      </c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 ht="15" customHeight="1" s="49">
      <c r="A17" s="87" t="inlineStr">
        <is>
          <t>TOTAL / MONTH</t>
        </is>
      </c>
      <c r="B17" s="51" t="n"/>
      <c r="C17" s="51" t="n"/>
      <c r="D17" s="88">
        <f>SUM(D5:D16)</f>
        <v/>
      </c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5" customHeight="1" s="49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5" customHeight="1" s="4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" customHeight="1" s="49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" customHeight="1" s="49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" customHeight="1" s="49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" customHeight="1" s="49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" customHeight="1" s="49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" customHeight="1" s="49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" customHeight="1" s="49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" customHeight="1" s="49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" customHeight="1" s="49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" customHeight="1" s="4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" customHeight="1" s="49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" customHeight="1" s="49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" customHeight="1" s="49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" customHeight="1" s="49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" customHeight="1" s="49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" customHeight="1" s="49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" customHeight="1" s="49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" customHeight="1" s="49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" customHeight="1" s="49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" customHeight="1" s="49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" customHeight="1" s="49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" customHeight="1" s="49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" customHeight="1" s="49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" customHeight="1" s="49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" customHeight="1" s="49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" customHeight="1" s="49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" customHeight="1" s="49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" customHeight="1" s="49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" customHeight="1" s="49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" customHeight="1" s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" customHeight="1" s="49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" customHeight="1" s="49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" customHeight="1" s="49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" customHeight="1" s="49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" customHeight="1" s="49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" customHeight="1" s="49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" customHeight="1" s="49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" customHeight="1" s="49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" customHeight="1" s="49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" customHeight="1" s="49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" customHeight="1" s="49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" customHeight="1" s="49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" customHeight="1" s="49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" customHeight="1" s="49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F2"/>
    <mergeCell ref="A1:F1"/>
  </mergeCells>
  <dataValidations count="2">
    <dataValidation sqref="C5:C16" showDropDown="0" showInputMessage="0" showErrorMessage="0" allowBlank="1" type="list" errorStyle="stop" operator="between">
      <formula1>Setup!$M$7:$M$10</formula1>
      <formula2>0</formula2>
    </dataValidation>
    <dataValidation sqref="F5:F16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0" customWidth="1" style="48" min="1" max="1"/>
    <col width="13" customWidth="1" style="48" min="2" max="4"/>
    <col width="15.29" customWidth="1" style="48" min="5" max="5"/>
    <col width="8.710000000000001" customWidth="1" style="48" min="6" max="26"/>
  </cols>
  <sheetData>
    <row r="1" ht="42" customHeight="1" s="49">
      <c r="A1" s="50" t="inlineStr">
        <is>
          <t>Savings</t>
        </is>
      </c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21.75" customHeight="1" s="49">
      <c r="A2" s="81" t="inlineStr">
        <is>
          <t>Set a target per fund. Log a Transfer in Transactions with the fund name as Category.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" customHeight="1" s="49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5" customHeight="1" s="49">
      <c r="A4" s="64" t="inlineStr">
        <is>
          <t>Fund</t>
        </is>
      </c>
      <c r="B4" s="64" t="inlineStr">
        <is>
          <t>Target</t>
        </is>
      </c>
      <c r="C4" s="64" t="inlineStr">
        <is>
          <t>Saved</t>
        </is>
      </c>
      <c r="D4" s="64" t="inlineStr">
        <is>
          <t>Left</t>
        </is>
      </c>
      <c r="E4" s="64" t="inlineStr">
        <is>
          <t>%</t>
        </is>
      </c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5" customHeight="1" s="49">
      <c r="A5" s="79">
        <f>IF(Setup!H7="","",Setup!H7)</f>
        <v/>
      </c>
      <c r="B5" s="85" t="n">
        <v>6000</v>
      </c>
      <c r="C5" s="83">
        <f>IF($A5="","",SUMIFS(Transactions!$F$5:$F$504,Transactions!$B$5:$B$504,"Transfer",Transactions!$C$5:$C$504,$A5))</f>
        <v/>
      </c>
      <c r="D5" s="83">
        <f>IF($A5="","",B5-C5)</f>
        <v/>
      </c>
      <c r="E5" s="86">
        <f>IF(OR($A5="",B5=0),"",C5/B5)</f>
        <v/>
      </c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5" customHeight="1" s="49">
      <c r="A6" s="79">
        <f>IF(Setup!H8="","",Setup!H8)</f>
        <v/>
      </c>
      <c r="B6" s="85" t="n">
        <v>1200</v>
      </c>
      <c r="C6" s="83">
        <f>IF($A6="","",SUMIFS(Transactions!$F$5:$F$504,Transactions!$B$5:$B$504,"Transfer",Transactions!$C$5:$C$504,$A6))</f>
        <v/>
      </c>
      <c r="D6" s="83">
        <f>IF($A6="","",B6-C6)</f>
        <v/>
      </c>
      <c r="E6" s="86">
        <f>IF(OR($A6="",B6=0),"",C6/B6)</f>
        <v/>
      </c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5" customHeight="1" s="49">
      <c r="A7" s="79">
        <f>IF(Setup!H9="","",Setup!H9)</f>
        <v/>
      </c>
      <c r="B7" s="85" t="n">
        <v>9000</v>
      </c>
      <c r="C7" s="83">
        <f>IF($A7="","",SUMIFS(Transactions!$F$5:$F$504,Transactions!$B$5:$B$504,"Transfer",Transactions!$C$5:$C$504,$A7))</f>
        <v/>
      </c>
      <c r="D7" s="83">
        <f>IF($A7="","",B7-C7)</f>
        <v/>
      </c>
      <c r="E7" s="86">
        <f>IF(OR($A7="",B7=0),"",C7/B7)</f>
        <v/>
      </c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5" customHeight="1" s="49">
      <c r="A8" s="79">
        <f>IF(Setup!H10="","",Setup!H10)</f>
        <v/>
      </c>
      <c r="B8" s="85" t="n">
        <v>3500</v>
      </c>
      <c r="C8" s="83">
        <f>IF($A8="","",SUMIFS(Transactions!$F$5:$F$504,Transactions!$B$5:$B$504,"Transfer",Transactions!$C$5:$C$504,$A8))</f>
        <v/>
      </c>
      <c r="D8" s="83">
        <f>IF($A8="","",B8-C8)</f>
        <v/>
      </c>
      <c r="E8" s="86">
        <f>IF(OR($A8="",B8=0),"",C8/B8)</f>
        <v/>
      </c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5" customHeight="1" s="49">
      <c r="A9" s="79">
        <f>IF(Setup!H11="","",Setup!H11)</f>
        <v/>
      </c>
      <c r="B9" s="85" t="n">
        <v>1500</v>
      </c>
      <c r="C9" s="83">
        <f>IF($A9="","",SUMIFS(Transactions!$F$5:$F$504,Transactions!$B$5:$B$504,"Transfer",Transactions!$C$5:$C$504,$A9))</f>
        <v/>
      </c>
      <c r="D9" s="83">
        <f>IF($A9="","",B9-C9)</f>
        <v/>
      </c>
      <c r="E9" s="86">
        <f>IF(OR($A9="",B9=0),"",C9/B9)</f>
        <v/>
      </c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5" customHeight="1" s="49">
      <c r="A10" s="79">
        <f>IF(Setup!H12="","",Setup!H12)</f>
        <v/>
      </c>
      <c r="B10" s="85" t="n"/>
      <c r="C10" s="83">
        <f>IF($A10="","",SUMIFS(Transactions!$F$5:$F$504,Transactions!$B$5:$B$504,"Transfer",Transactions!$C$5:$C$504,$A10))</f>
        <v/>
      </c>
      <c r="D10" s="83">
        <f>IF($A10="","",B10-C10)</f>
        <v/>
      </c>
      <c r="E10" s="86">
        <f>IF(OR($A10="",B10=0),"",C10/B10)</f>
        <v/>
      </c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 ht="15" customHeight="1" s="49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 ht="15" customHeight="1" s="49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15" customHeight="1" s="49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15" customHeight="1" s="49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15" customHeight="1" s="49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 ht="15" customHeight="1" s="49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 ht="15" customHeight="1" s="49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5" customHeight="1" s="49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5" customHeight="1" s="4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" customHeight="1" s="49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" customHeight="1" s="49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" customHeight="1" s="49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" customHeight="1" s="49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" customHeight="1" s="49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" customHeight="1" s="49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" customHeight="1" s="49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" customHeight="1" s="49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" customHeight="1" s="49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" customHeight="1" s="4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" customHeight="1" s="49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" customHeight="1" s="49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" customHeight="1" s="49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" customHeight="1" s="49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" customHeight="1" s="49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" customHeight="1" s="49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" customHeight="1" s="49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" customHeight="1" s="49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" customHeight="1" s="49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" customHeight="1" s="49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" customHeight="1" s="49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" customHeight="1" s="49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" customHeight="1" s="49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" customHeight="1" s="49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" customHeight="1" s="49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" customHeight="1" s="49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" customHeight="1" s="49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" customHeight="1" s="49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" customHeight="1" s="49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" customHeight="1" s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" customHeight="1" s="49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" customHeight="1" s="49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" customHeight="1" s="49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" customHeight="1" s="49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" customHeight="1" s="49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" customHeight="1" s="49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" customHeight="1" s="49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" customHeight="1" s="49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" customHeight="1" s="49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" customHeight="1" s="49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" customHeight="1" s="49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" customHeight="1" s="49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" customHeight="1" s="49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" customHeight="1" s="49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0" customWidth="1" style="48" min="1" max="1"/>
    <col width="13" customWidth="1" style="48" min="2" max="4"/>
    <col width="10" customWidth="1" style="48" min="5" max="5"/>
    <col width="13" customWidth="1" style="48" min="6" max="6"/>
    <col width="8.710000000000001" customWidth="1" style="48" min="7" max="26"/>
  </cols>
  <sheetData>
    <row r="1" ht="42" customHeight="1" s="49">
      <c r="A1" s="50" t="inlineStr">
        <is>
          <t>Debt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21.75" customHeight="1" s="49">
      <c r="A2" s="81" t="inlineStr">
        <is>
          <t>List debts smallest balance first for the snowball. Remaining updates itself.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" customHeight="1" s="49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5" customHeight="1" s="49">
      <c r="A4" s="64" t="inlineStr">
        <is>
          <t>Debt</t>
        </is>
      </c>
      <c r="B4" s="64" t="inlineStr">
        <is>
          <t>Balance</t>
        </is>
      </c>
      <c r="C4" s="64" t="inlineStr">
        <is>
          <t>Paid so far</t>
        </is>
      </c>
      <c r="D4" s="64" t="inlineStr">
        <is>
          <t>Remaining</t>
        </is>
      </c>
      <c r="E4" s="64" t="inlineStr">
        <is>
          <t>% paid</t>
        </is>
      </c>
      <c r="F4" s="64" t="inlineStr">
        <is>
          <t>Min payment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5" customHeight="1" s="49">
      <c r="A5" s="79">
        <f>IF(Setup!J7="","",Setup!J7)</f>
        <v/>
      </c>
      <c r="B5" s="85" t="n">
        <v>2450</v>
      </c>
      <c r="C5" s="85" t="n">
        <v>1180</v>
      </c>
      <c r="D5" s="83">
        <f>IF($A5="","",B5-C5)</f>
        <v/>
      </c>
      <c r="E5" s="86">
        <f>IF(OR($A5="",B5=0),"",C5/B5)</f>
        <v/>
      </c>
      <c r="F5" s="85" t="n">
        <v>95</v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5" customHeight="1" s="49">
      <c r="A6" s="79">
        <f>IF(Setup!J8="","",Setup!J8)</f>
        <v/>
      </c>
      <c r="B6" s="85" t="n">
        <v>9800</v>
      </c>
      <c r="C6" s="85" t="n">
        <v>3600</v>
      </c>
      <c r="D6" s="83">
        <f>IF($A6="","",B6-C6)</f>
        <v/>
      </c>
      <c r="E6" s="86">
        <f>IF(OR($A6="",B6=0),"",C6/B6)</f>
        <v/>
      </c>
      <c r="F6" s="85" t="n">
        <v>245</v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5" customHeight="1" s="49">
      <c r="A7" s="79">
        <f>IF(Setup!J9="","",Setup!J9)</f>
        <v/>
      </c>
      <c r="B7" s="85" t="n">
        <v>14200</v>
      </c>
      <c r="C7" s="85" t="n">
        <v>5100</v>
      </c>
      <c r="D7" s="83">
        <f>IF($A7="","",B7-C7)</f>
        <v/>
      </c>
      <c r="E7" s="86">
        <f>IF(OR($A7="",B7=0),"",C7/B7)</f>
        <v/>
      </c>
      <c r="F7" s="85" t="n">
        <v>190</v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5" customHeight="1" s="49">
      <c r="A8" s="79">
        <f>IF(Setup!J10="","",Setup!J10)</f>
        <v/>
      </c>
      <c r="B8" s="85" t="n"/>
      <c r="C8" s="85" t="n"/>
      <c r="D8" s="83">
        <f>IF($A8="","",B8-C8)</f>
        <v/>
      </c>
      <c r="E8" s="86">
        <f>IF(OR($A8="",B8=0),"",C8/B8)</f>
        <v/>
      </c>
      <c r="F8" s="85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 ht="15" customHeight="1" s="49">
      <c r="A9" s="79">
        <f>IF(Setup!J11="","",Setup!J11)</f>
        <v/>
      </c>
      <c r="B9" s="85" t="n"/>
      <c r="C9" s="85" t="n"/>
      <c r="D9" s="83">
        <f>IF($A9="","",B9-C9)</f>
        <v/>
      </c>
      <c r="E9" s="86">
        <f>IF(OR($A9="",B9=0),"",C9/B9)</f>
        <v/>
      </c>
      <c r="F9" s="85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 ht="15" customHeight="1" s="49">
      <c r="A10" s="79">
        <f>IF(Setup!J12="","",Setup!J12)</f>
        <v/>
      </c>
      <c r="B10" s="85" t="n"/>
      <c r="C10" s="85" t="n"/>
      <c r="D10" s="83">
        <f>IF($A10="","",B10-C10)</f>
        <v/>
      </c>
      <c r="E10" s="86">
        <f>IF(OR($A10="",B10=0),"",C10/B10)</f>
        <v/>
      </c>
      <c r="F10" s="85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 ht="15" customHeight="1" s="49">
      <c r="A11" s="87" t="inlineStr">
        <is>
          <t>TOTAL</t>
        </is>
      </c>
      <c r="B11" s="88">
        <f>SUM(B5:B10)</f>
        <v/>
      </c>
      <c r="C11" s="88">
        <f>SUM(C5:C10)</f>
        <v/>
      </c>
      <c r="D11" s="88">
        <f>SUM(D5:D10)</f>
        <v/>
      </c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 ht="15" customHeight="1" s="49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15" customHeight="1" s="49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15" customHeight="1" s="49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15" customHeight="1" s="49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 ht="15" customHeight="1" s="49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 ht="15" customHeight="1" s="49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15" customHeight="1" s="49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15" customHeight="1" s="4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15" customHeight="1" s="49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" customHeight="1" s="49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" customHeight="1" s="49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" customHeight="1" s="49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" customHeight="1" s="49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" customHeight="1" s="49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" customHeight="1" s="49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" customHeight="1" s="49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" customHeight="1" s="49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" customHeight="1" s="4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" customHeight="1" s="49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" customHeight="1" s="49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" customHeight="1" s="49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" customHeight="1" s="49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" customHeight="1" s="49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" customHeight="1" s="49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" customHeight="1" s="49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" customHeight="1" s="49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" customHeight="1" s="49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" customHeight="1" s="49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" customHeight="1" s="49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" customHeight="1" s="49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" customHeight="1" s="49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" customHeight="1" s="49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" customHeight="1" s="49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" customHeight="1" s="49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" customHeight="1" s="49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" customHeight="1" s="49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" customHeight="1" s="49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" customHeight="1" s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" customHeight="1" s="49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" customHeight="1" s="49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" customHeight="1" s="49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" customHeight="1" s="49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" customHeight="1" s="49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" customHeight="1" s="49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" customHeight="1" s="49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" customHeight="1" s="49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" customHeight="1" s="49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" customHeight="1" s="49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" customHeight="1" s="49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" customHeight="1" s="49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" customHeight="1" s="49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" customHeight="1" s="49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2026-07-18T20:09:50Z</dcterms:created>
  <dcterms:modified xsi:type="dcterms:W3CDTF">2026-09-03T21:49:15Z</dcterms:modified>
  <cp:revision>2</cp:revision>
</cp:coreProperties>
</file>