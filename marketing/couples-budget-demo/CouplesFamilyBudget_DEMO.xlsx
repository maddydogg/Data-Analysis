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Annual Dashboard" sheetId="4" state="visible" r:id="rId4"/>
    <sheet xmlns:r="http://schemas.openxmlformats.org/officeDocument/2006/relationships" name="50-30-20 Rule" sheetId="5" state="visible" r:id="rId5"/>
    <sheet xmlns:r="http://schemas.openxmlformats.org/officeDocument/2006/relationships" name="Spending Tracker" sheetId="6" state="visible" r:id="rId6"/>
    <sheet xmlns:r="http://schemas.openxmlformats.org/officeDocument/2006/relationships" name="Split and Settle" sheetId="7" state="visible" r:id="rId7"/>
    <sheet xmlns:r="http://schemas.openxmlformats.org/officeDocument/2006/relationships" name="Month View" sheetId="8" state="visible" r:id="rId8"/>
    <sheet xmlns:r="http://schemas.openxmlformats.org/officeDocument/2006/relationships" name="Bill Calendar" sheetId="9" state="visible" r:id="rId9"/>
    <sheet xmlns:r="http://schemas.openxmlformats.org/officeDocument/2006/relationships" name="Savings &amp; Net Worth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\$#,##0.00;&quot;($&quot;#,##0.00\);\-"/>
    <numFmt numFmtId="165" formatCode="yyyy\-mm\-dd"/>
    <numFmt numFmtId="166" formatCode="0.0%;\-0.0%;\-"/>
    <numFmt numFmtId="167" formatCode="0.0%;;\-"/>
    <numFmt numFmtId="168" formatCode="0.0%"/>
    <numFmt numFmtId="169" formatCode="$#,##0.00"/>
  </numFmts>
  <fonts count="38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33566B"/>
      <sz val="20"/>
    </font>
    <font>
      <name val="Arial"/>
      <charset val="1"/>
      <family val="0"/>
      <color rgb="FF33566B"/>
      <sz val="10"/>
    </font>
    <font>
      <name val="Arial"/>
      <charset val="1"/>
      <family val="0"/>
      <b val="1"/>
      <color rgb="FF33566B"/>
      <sz val="12"/>
    </font>
    <font>
      <name val="Arial"/>
      <charset val="1"/>
      <family val="0"/>
      <b val="1"/>
      <color rgb="FF33566B"/>
      <sz val="11"/>
    </font>
    <font>
      <name val="Arial"/>
      <charset val="1"/>
      <family val="0"/>
      <color rgb="FF3A4652"/>
      <sz val="10"/>
    </font>
    <font>
      <name val="Arial"/>
      <charset val="1"/>
      <family val="0"/>
      <color rgb="FF3E7CC0"/>
      <sz val="11"/>
    </font>
    <font>
      <name val="Arial"/>
      <charset val="1"/>
      <family val="0"/>
      <b val="1"/>
      <color rgb="FF33566B"/>
      <sz val="10"/>
    </font>
    <font>
      <name val="Arial"/>
      <charset val="1"/>
      <family val="0"/>
      <color rgb="FF33566B"/>
      <sz val="9"/>
    </font>
    <font>
      <name val="Arial"/>
      <charset val="1"/>
      <family val="0"/>
      <color rgb="FF9AA7B4"/>
      <sz val="9"/>
    </font>
    <font>
      <name val="Arial"/>
      <charset val="1"/>
      <family val="0"/>
      <color rgb="FF9AA7B4"/>
      <sz val="8"/>
    </font>
    <font>
      <name val="Arial"/>
      <charset val="1"/>
      <family val="0"/>
      <b val="1"/>
      <color rgb="FF33566B"/>
      <sz val="16"/>
    </font>
    <font>
      <name val="Arial"/>
      <charset val="1"/>
      <family val="0"/>
      <color rgb="FF3A4652"/>
      <sz val="9"/>
    </font>
    <font>
      <name val="Arial"/>
      <charset val="1"/>
      <family val="0"/>
      <b val="1"/>
      <color rgb="FF3A4652"/>
      <sz val="9"/>
    </font>
    <font>
      <name val="Arial"/>
      <charset val="1"/>
      <family val="0"/>
      <color rgb="FF3A4652"/>
      <sz val="8"/>
    </font>
    <font>
      <name val="Arial"/>
      <charset val="1"/>
      <family val="0"/>
      <b val="1"/>
      <color rgb="FF3A4652"/>
      <sz val="8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rial"/>
      <charset val="1"/>
      <family val="0"/>
      <color rgb="FF33566B"/>
      <sz val="11"/>
    </font>
    <font>
      <name val="Arial"/>
      <charset val="1"/>
      <family val="0"/>
      <b val="1"/>
      <color rgb="FF33566B"/>
      <sz val="15"/>
    </font>
    <font>
      <name val="Arial"/>
      <charset val="1"/>
      <family val="0"/>
      <color rgb="FF3A4652"/>
      <sz val="11"/>
    </font>
    <font>
      <b val="1"/>
      <color rgb="FF33566B"/>
      <sz val="12"/>
    </font>
    <font>
      <name val="Calibri"/>
      <b val="1"/>
      <color rgb="FF33566B"/>
      <sz val="11"/>
    </font>
    <font>
      <name val="Calibri"/>
      <color rgb="FF3E7CC0"/>
      <sz val="11"/>
    </font>
    <font>
      <color rgb="FF33566B"/>
      <sz val="10"/>
    </font>
    <font>
      <name val="Calibri"/>
      <b val="1"/>
      <color rgb="FF000840"/>
      <sz val="11"/>
    </font>
    <font>
      <b val="1"/>
      <color rgb="FF000840"/>
      <sz val="22"/>
    </font>
    <font>
      <color rgb="FF33566B"/>
      <sz val="11"/>
    </font>
    <font>
      <b val="1"/>
      <color rgb="FF33566B"/>
    </font>
    <font>
      <name val="Calibri"/>
      <color rgb="FF33566B"/>
      <sz val="11"/>
    </font>
    <font>
      <color rgb="FF000840"/>
    </font>
    <font>
      <b val="1"/>
      <color rgb="FF000840"/>
      <sz val="16"/>
    </font>
    <font>
      <color rgb="FF33566B"/>
    </font>
    <font>
      <name val="Arial"/>
      <charset val="1"/>
      <family val="0"/>
      <b val="1"/>
      <color rgb="FF3E7CC0"/>
      <sz val="11"/>
    </font>
    <font>
      <name val="Arial"/>
      <charset val="1"/>
      <family val="0"/>
      <i val="1"/>
      <color rgb="FF9AA7B4"/>
      <sz val="9"/>
    </font>
  </fonts>
  <fills count="11">
    <fill>
      <patternFill/>
    </fill>
    <fill>
      <patternFill patternType="gray125"/>
    </fill>
    <fill>
      <patternFill patternType="solid">
        <fgColor rgb="FFDFF3EA"/>
        <bgColor rgb="FFE4F3F6"/>
      </patternFill>
    </fill>
    <fill>
      <patternFill patternType="solid">
        <fgColor rgb="FFFBFCFD"/>
        <bgColor rgb="FFFFFFFF"/>
      </patternFill>
    </fill>
    <fill>
      <patternFill patternType="solid">
        <fgColor rgb="FFF1F5F9"/>
        <bgColor rgb="FFF6F9FB"/>
      </patternFill>
    </fill>
    <fill>
      <patternFill patternType="solid">
        <fgColor rgb="FFFFFFFF"/>
        <bgColor rgb="FFFBFCFD"/>
      </patternFill>
    </fill>
    <fill>
      <patternFill patternType="solid">
        <fgColor rgb="FFEAF5EE"/>
        <bgColor rgb="FFE4F3F6"/>
      </patternFill>
    </fill>
    <fill>
      <patternFill patternType="solid">
        <fgColor rgb="FFE4F3F6"/>
        <bgColor rgb="FFEAF5EE"/>
      </patternFill>
    </fill>
    <fill>
      <patternFill patternType="solid">
        <fgColor rgb="FFF6F9FB"/>
        <bgColor rgb="FFFBFCFD"/>
      </patternFill>
    </fill>
    <fill>
      <patternFill patternType="solid">
        <fgColor rgb="FFDFF3EA"/>
      </patternFill>
    </fill>
    <fill>
      <patternFill patternType="solid">
        <fgColor rgb="FFEAF5EE"/>
      </patternFill>
    </fill>
  </fills>
  <borders count="7">
    <border>
      <left/>
      <right/>
      <top/>
      <bottom/>
      <diagonal/>
    </border>
    <border>
      <left style="thin">
        <color rgb="FFE4EAF0"/>
      </left>
      <right style="thin">
        <color rgb="FFE4EAF0"/>
      </right>
      <top style="thin">
        <color rgb="FFE4EAF0"/>
      </top>
      <bottom style="thin">
        <color rgb="FFE4EAF0"/>
      </bottom>
      <diagonal/>
    </border>
    <border>
      <left style="thin">
        <color rgb="FFDDE6EC"/>
      </left>
      <right style="thin">
        <color rgb="FFDDE6EC"/>
      </right>
      <top style="thin">
        <color rgb="FFDDE6EC"/>
      </top>
      <bottom style="thin">
        <color rgb="FFDDE6EC"/>
      </bottom>
      <diagonal/>
    </border>
    <border>
      <left/>
      <right/>
      <top style="thin">
        <color rgb="FFE4EAF0"/>
      </top>
      <bottom/>
      <diagonal/>
    </border>
    <border>
      <left/>
      <right style="thin">
        <color rgb="FFE4EAF0"/>
      </right>
      <top style="thin">
        <color rgb="FFE4EAF0"/>
      </top>
      <bottom/>
      <diagonal/>
    </border>
    <border>
      <left/>
      <right/>
      <top style="thin">
        <color rgb="FFE4EAF0"/>
      </top>
      <bottom style="thin">
        <color rgb="FFE4EAF0"/>
      </bottom>
      <diagonal/>
    </border>
    <border>
      <left/>
      <right style="thin">
        <color rgb="FFE4EAF0"/>
      </right>
      <top style="thin">
        <color rgb="FFE4EAF0"/>
      </top>
      <bottom style="thin">
        <color rgb="FFE4EAF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5" borderId="1" applyAlignment="1" applyProtection="1" pivotButton="0" quotePrefix="0" xfId="0">
      <alignment horizontal="center" vertical="center" wrapText="1"/>
      <protection locked="0" hidden="0"/>
    </xf>
    <xf numFmtId="1" fontId="9" fillId="5" borderId="1" applyAlignment="1" applyProtection="1" pivotButton="0" quotePrefix="0" xfId="0">
      <alignment horizontal="center" vertical="center" wrapText="1"/>
      <protection locked="0" hidden="0"/>
    </xf>
    <xf numFmtId="164" fontId="9" fillId="5" borderId="1" applyAlignment="1" applyProtection="1" pivotButton="0" quotePrefix="0" xfId="0">
      <alignment horizontal="center" vertical="center" wrapText="1"/>
      <protection locked="0" hidden="0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9" fillId="5" borderId="1" applyAlignment="1" applyProtection="1" pivotButton="0" quotePrefix="0" xfId="0">
      <alignment horizontal="left" vertical="center"/>
      <protection locked="0" hidden="0"/>
    </xf>
    <xf numFmtId="0" fontId="11" fillId="3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/>
    </xf>
    <xf numFmtId="0" fontId="13" fillId="3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165" fontId="9" fillId="5" borderId="1" applyAlignment="1" applyProtection="1" pivotButton="0" quotePrefix="0" xfId="0">
      <alignment horizontal="center" vertical="center" wrapText="1"/>
      <protection locked="0" hidden="0"/>
    </xf>
    <xf numFmtId="0" fontId="12" fillId="3" borderId="1" applyAlignment="1" pivotButton="0" quotePrefix="0" xfId="0">
      <alignment horizontal="general" vertical="bottom"/>
    </xf>
    <xf numFmtId="165" fontId="9" fillId="8" borderId="1" applyAlignment="1" applyProtection="1" pivotButton="0" quotePrefix="0" xfId="0">
      <alignment horizontal="center" vertical="center" wrapText="1"/>
      <protection locked="0" hidden="0"/>
    </xf>
    <xf numFmtId="0" fontId="9" fillId="8" borderId="1" applyAlignment="1" applyProtection="1" pivotButton="0" quotePrefix="0" xfId="0">
      <alignment horizontal="center" vertical="center" wrapText="1"/>
      <protection locked="0" hidden="0"/>
    </xf>
    <xf numFmtId="0" fontId="9" fillId="8" borderId="1" applyAlignment="1" applyProtection="1" pivotButton="0" quotePrefix="0" xfId="0">
      <alignment horizontal="left" vertical="center"/>
      <protection locked="0" hidden="0"/>
    </xf>
    <xf numFmtId="164" fontId="9" fillId="8" borderId="1" applyAlignment="1" applyProtection="1" pivotButton="0" quotePrefix="0" xfId="0">
      <alignment horizontal="center" vertical="center" wrapText="1"/>
      <protection locked="0" hidden="0"/>
    </xf>
    <xf numFmtId="0" fontId="12" fillId="0" borderId="1" applyAlignment="1" pivotButton="0" quotePrefix="0" xfId="0">
      <alignment horizontal="general" vertical="bottom"/>
    </xf>
    <xf numFmtId="1" fontId="6" fillId="3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164" fontId="14" fillId="6" borderId="0" applyAlignment="1" pivotButton="0" quotePrefix="0" xfId="0">
      <alignment horizontal="center" vertical="center" wrapText="1"/>
    </xf>
    <xf numFmtId="164" fontId="14" fillId="7" borderId="0" applyAlignment="1" pivotButton="0" quotePrefix="0" xfId="0">
      <alignment horizontal="center" vertical="center" wrapText="1"/>
    </xf>
    <xf numFmtId="164" fontId="14" fillId="5" borderId="0" applyAlignment="1" pivotButton="0" quotePrefix="0" xfId="0">
      <alignment horizontal="center" vertical="center" wrapText="1"/>
    </xf>
    <xf numFmtId="164" fontId="14" fillId="4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general" vertical="bottom"/>
    </xf>
    <xf numFmtId="164" fontId="15" fillId="3" borderId="1" applyAlignment="1" pivotButton="0" quotePrefix="0" xfId="0">
      <alignment horizontal="general" vertical="bottom"/>
    </xf>
    <xf numFmtId="164" fontId="16" fillId="3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164" fontId="17" fillId="3" borderId="1" applyAlignment="1" pivotButton="0" quotePrefix="0" xfId="0">
      <alignment horizontal="general" vertical="bottom"/>
    </xf>
    <xf numFmtId="164" fontId="18" fillId="3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14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0" fillId="6" borderId="2" applyAlignment="1" pivotButton="0" quotePrefix="0" xfId="0">
      <alignment horizontal="left" vertical="bottom"/>
    </xf>
    <xf numFmtId="0" fontId="10" fillId="6" borderId="2" applyAlignment="1" pivotButton="0" quotePrefix="0" xfId="0">
      <alignment horizontal="center" vertical="bottom"/>
    </xf>
    <xf numFmtId="0" fontId="10" fillId="0" borderId="2" applyAlignment="1" pivotButton="0" quotePrefix="0" xfId="0">
      <alignment horizontal="general" vertical="bottom"/>
    </xf>
    <xf numFmtId="9" fontId="5" fillId="0" borderId="2" applyAlignment="1" pivotButton="0" quotePrefix="0" xfId="0">
      <alignment horizontal="center" vertical="bottom"/>
    </xf>
    <xf numFmtId="164" fontId="5" fillId="0" borderId="2" applyAlignment="1" pivotButton="0" quotePrefix="0" xfId="0">
      <alignment horizontal="center" vertical="bottom"/>
    </xf>
    <xf numFmtId="166" fontId="5" fillId="0" borderId="2" applyAlignment="1" pivotButton="0" quotePrefix="0" xfId="0">
      <alignment horizontal="center" vertical="bottom"/>
    </xf>
    <xf numFmtId="166" fontId="10" fillId="0" borderId="2" applyAlignment="1" pivotButton="0" quotePrefix="0" xfId="0">
      <alignment horizontal="center" vertical="bottom"/>
    </xf>
    <xf numFmtId="0" fontId="10" fillId="0" borderId="2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2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166" fontId="5" fillId="0" borderId="2" applyAlignment="1" pivotButton="0" quotePrefix="0" xfId="0">
      <alignment horizontal="general" vertical="bottom"/>
    </xf>
    <xf numFmtId="164" fontId="7" fillId="0" borderId="0" applyAlignment="1" pivotButton="0" quotePrefix="0" xfId="0">
      <alignment horizontal="center" vertical="bottom"/>
    </xf>
    <xf numFmtId="164" fontId="22" fillId="6" borderId="0" applyAlignment="1" pivotButton="0" quotePrefix="0" xfId="0">
      <alignment horizontal="center" vertical="center" wrapText="1"/>
    </xf>
    <xf numFmtId="164" fontId="22" fillId="7" borderId="0" applyAlignment="1" pivotButton="0" quotePrefix="0" xfId="0">
      <alignment horizontal="center" vertical="center" wrapText="1"/>
    </xf>
    <xf numFmtId="164" fontId="22" fillId="5" borderId="0" applyAlignment="1" pivotButton="0" quotePrefix="0" xfId="0">
      <alignment horizontal="center" vertical="center" wrapText="1"/>
    </xf>
    <xf numFmtId="164" fontId="22" fillId="4" borderId="0" applyAlignment="1" pivotButton="0" quotePrefix="0" xfId="0">
      <alignment horizontal="center" vertical="center" wrapText="1"/>
    </xf>
    <xf numFmtId="167" fontId="15" fillId="3" borderId="1" applyAlignment="1" pivotButton="0" quotePrefix="0" xfId="0">
      <alignment horizontal="center" vertical="center" wrapText="1"/>
    </xf>
    <xf numFmtId="164" fontId="23" fillId="3" borderId="1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167" fontId="23" fillId="3" borderId="1" applyAlignment="1" pivotButton="0" quotePrefix="0" xfId="0">
      <alignment horizontal="center" vertical="center" wrapText="1"/>
    </xf>
    <xf numFmtId="164" fontId="23" fillId="3" borderId="0" applyAlignment="1" pivotButton="0" quotePrefix="0" xfId="0">
      <alignment horizontal="general" vertical="bottom"/>
    </xf>
    <xf numFmtId="164" fontId="6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5" borderId="1" applyAlignment="1" applyProtection="1" pivotButton="0" quotePrefix="0" xfId="0">
      <alignment horizontal="center" vertical="center" wrapText="1"/>
      <protection locked="0" hidden="0"/>
    </xf>
    <xf numFmtId="1" fontId="9" fillId="5" borderId="1" applyAlignment="1" applyProtection="1" pivotButton="0" quotePrefix="0" xfId="0">
      <alignment horizontal="center" vertical="center" wrapText="1"/>
      <protection locked="0" hidden="0"/>
    </xf>
    <xf numFmtId="164" fontId="9" fillId="5" borderId="1" applyAlignment="1" applyProtection="1" pivotButton="0" quotePrefix="0" xfId="0">
      <alignment horizontal="center" vertical="center" wrapText="1"/>
      <protection locked="0" hidden="0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9" fillId="5" borderId="1" applyAlignment="1" applyProtection="1" pivotButton="0" quotePrefix="0" xfId="0">
      <alignment horizontal="left" vertical="center"/>
      <protection locked="0" hidden="0"/>
    </xf>
    <xf numFmtId="0" fontId="11" fillId="3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/>
    </xf>
    <xf numFmtId="0" fontId="13" fillId="3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165" fontId="9" fillId="5" borderId="1" applyAlignment="1" applyProtection="1" pivotButton="0" quotePrefix="0" xfId="0">
      <alignment horizontal="center" vertical="center" wrapText="1"/>
      <protection locked="0" hidden="0"/>
    </xf>
    <xf numFmtId="0" fontId="12" fillId="3" borderId="1" applyAlignment="1" pivotButton="0" quotePrefix="0" xfId="0">
      <alignment horizontal="general" vertical="bottom"/>
    </xf>
    <xf numFmtId="165" fontId="9" fillId="8" borderId="1" applyAlignment="1" applyProtection="1" pivotButton="0" quotePrefix="0" xfId="0">
      <alignment horizontal="center" vertical="center" wrapText="1"/>
      <protection locked="0" hidden="0"/>
    </xf>
    <xf numFmtId="0" fontId="9" fillId="8" borderId="1" applyAlignment="1" applyProtection="1" pivotButton="0" quotePrefix="0" xfId="0">
      <alignment horizontal="center" vertical="center" wrapText="1"/>
      <protection locked="0" hidden="0"/>
    </xf>
    <xf numFmtId="0" fontId="9" fillId="8" borderId="1" applyAlignment="1" applyProtection="1" pivotButton="0" quotePrefix="0" xfId="0">
      <alignment horizontal="left" vertical="center"/>
      <protection locked="0" hidden="0"/>
    </xf>
    <xf numFmtId="164" fontId="9" fillId="8" borderId="1" applyAlignment="1" applyProtection="1" pivotButton="0" quotePrefix="0" xfId="0">
      <alignment horizontal="center" vertical="center" wrapText="1"/>
      <protection locked="0" hidden="0"/>
    </xf>
    <xf numFmtId="0" fontId="12" fillId="0" borderId="1" applyAlignment="1" pivotButton="0" quotePrefix="0" xfId="0">
      <alignment horizontal="general" vertical="bottom"/>
    </xf>
    <xf numFmtId="1" fontId="6" fillId="3" borderId="0" applyAlignment="1" pivotButton="0" quotePrefix="0" xfId="0">
      <alignment horizontal="general" vertical="bottom"/>
    </xf>
    <xf numFmtId="0" fontId="10" fillId="6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164" fontId="14" fillId="6" borderId="0" applyAlignment="1" pivotButton="0" quotePrefix="0" xfId="0">
      <alignment horizontal="center" vertical="center" wrapText="1"/>
    </xf>
    <xf numFmtId="164" fontId="14" fillId="7" borderId="0" applyAlignment="1" pivotButton="0" quotePrefix="0" xfId="0">
      <alignment horizontal="center" vertical="center" wrapText="1"/>
    </xf>
    <xf numFmtId="164" fontId="14" fillId="5" borderId="0" applyAlignment="1" pivotButton="0" quotePrefix="0" xfId="0">
      <alignment horizontal="center" vertical="center" wrapText="1"/>
    </xf>
    <xf numFmtId="164" fontId="14" fillId="4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general" vertical="bottom"/>
    </xf>
    <xf numFmtId="164" fontId="15" fillId="3" borderId="1" applyAlignment="1" pivotButton="0" quotePrefix="0" xfId="0">
      <alignment horizontal="general" vertical="bottom"/>
    </xf>
    <xf numFmtId="164" fontId="16" fillId="3" borderId="1" applyAlignment="1" pivotButton="0" quotePrefix="0" xfId="0">
      <alignment horizontal="general" vertical="bottom"/>
    </xf>
    <xf numFmtId="0" fontId="7" fillId="7" borderId="1" applyAlignment="1" pivotButton="0" quotePrefix="0" xfId="0">
      <alignment horizontal="general" vertical="bottom"/>
    </xf>
    <xf numFmtId="0" fontId="7" fillId="5" borderId="1" applyAlignment="1" pivotButton="0" quotePrefix="0" xfId="0">
      <alignment horizontal="general" vertical="bottom"/>
    </xf>
    <xf numFmtId="0" fontId="10" fillId="4" borderId="1" applyAlignment="1" pivotButton="0" quotePrefix="0" xfId="0">
      <alignment horizontal="general" vertical="bottom"/>
    </xf>
    <xf numFmtId="164" fontId="17" fillId="3" borderId="1" applyAlignment="1" pivotButton="0" quotePrefix="0" xfId="0">
      <alignment horizontal="general" vertical="bottom"/>
    </xf>
    <xf numFmtId="164" fontId="18" fillId="3" borderId="1" applyAlignment="1" pivotButton="0" quotePrefix="0" xfId="0">
      <alignment horizontal="general" vertical="bottom"/>
    </xf>
    <xf numFmtId="0" fontId="0" fillId="0" borderId="5" pivotButton="0" quotePrefix="0" xfId="0"/>
    <xf numFmtId="0" fontId="0" fillId="0" borderId="6" pivotButton="0" quotePrefix="0" xfId="0"/>
    <xf numFmtId="0" fontId="7" fillId="3" borderId="1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14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0" fillId="6" borderId="2" applyAlignment="1" pivotButton="0" quotePrefix="0" xfId="0">
      <alignment horizontal="left" vertical="bottom"/>
    </xf>
    <xf numFmtId="0" fontId="10" fillId="6" borderId="2" applyAlignment="1" pivotButton="0" quotePrefix="0" xfId="0">
      <alignment horizontal="center" vertical="bottom"/>
    </xf>
    <xf numFmtId="0" fontId="10" fillId="0" borderId="2" applyAlignment="1" pivotButton="0" quotePrefix="0" xfId="0">
      <alignment horizontal="general" vertical="bottom"/>
    </xf>
    <xf numFmtId="9" fontId="5" fillId="0" borderId="2" applyAlignment="1" pivotButton="0" quotePrefix="0" xfId="0">
      <alignment horizontal="center" vertical="bottom"/>
    </xf>
    <xf numFmtId="164" fontId="5" fillId="0" borderId="2" applyAlignment="1" pivotButton="0" quotePrefix="0" xfId="0">
      <alignment horizontal="center" vertical="bottom"/>
    </xf>
    <xf numFmtId="166" fontId="5" fillId="0" borderId="2" applyAlignment="1" pivotButton="0" quotePrefix="0" xfId="0">
      <alignment horizontal="center" vertical="bottom"/>
    </xf>
    <xf numFmtId="166" fontId="10" fillId="0" borderId="2" applyAlignment="1" pivotButton="0" quotePrefix="0" xfId="0">
      <alignment horizontal="center" vertical="bottom"/>
    </xf>
    <xf numFmtId="0" fontId="10" fillId="0" borderId="2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2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166" fontId="5" fillId="0" borderId="2" applyAlignment="1" pivotButton="0" quotePrefix="0" xfId="0">
      <alignment horizontal="general" vertical="bottom"/>
    </xf>
    <xf numFmtId="164" fontId="7" fillId="0" borderId="0" applyAlignment="1" pivotButton="0" quotePrefix="0" xfId="0">
      <alignment horizontal="center" vertical="bottom"/>
    </xf>
    <xf numFmtId="164" fontId="22" fillId="6" borderId="0" applyAlignment="1" pivotButton="0" quotePrefix="0" xfId="0">
      <alignment horizontal="center" vertical="center" wrapText="1"/>
    </xf>
    <xf numFmtId="164" fontId="22" fillId="7" borderId="0" applyAlignment="1" pivotButton="0" quotePrefix="0" xfId="0">
      <alignment horizontal="center" vertical="center" wrapText="1"/>
    </xf>
    <xf numFmtId="164" fontId="22" fillId="5" borderId="0" applyAlignment="1" pivotButton="0" quotePrefix="0" xfId="0">
      <alignment horizontal="center" vertical="center" wrapText="1"/>
    </xf>
    <xf numFmtId="164" fontId="22" fillId="4" borderId="0" applyAlignment="1" pivotButton="0" quotePrefix="0" xfId="0">
      <alignment horizontal="center" vertical="center" wrapText="1"/>
    </xf>
    <xf numFmtId="167" fontId="15" fillId="3" borderId="1" applyAlignment="1" pivotButton="0" quotePrefix="0" xfId="0">
      <alignment horizontal="center" vertical="center" wrapText="1"/>
    </xf>
    <xf numFmtId="164" fontId="23" fillId="3" borderId="1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167" fontId="23" fillId="3" borderId="1" applyAlignment="1" pivotButton="0" quotePrefix="0" xfId="0">
      <alignment horizontal="center" vertical="center" wrapText="1"/>
    </xf>
    <xf numFmtId="164" fontId="23" fillId="3" borderId="0" applyAlignment="1" pivotButton="0" quotePrefix="0" xfId="0">
      <alignment horizontal="general" vertical="bottom"/>
    </xf>
    <xf numFmtId="164" fontId="6" fillId="2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general" vertical="bottom"/>
    </xf>
    <xf numFmtId="0" fontId="25" fillId="3" borderId="0" applyAlignment="1" pivotButton="0" quotePrefix="0" xfId="0">
      <alignment horizontal="general" vertical="bottom"/>
    </xf>
    <xf numFmtId="0" fontId="26" fillId="3" borderId="0" applyAlignment="1" pivotButton="0" quotePrefix="0" xfId="0">
      <alignment horizontal="general" vertical="bottom"/>
    </xf>
    <xf numFmtId="0" fontId="27" fillId="3" borderId="0" applyAlignment="1" pivotButton="0" quotePrefix="0" xfId="0">
      <alignment horizontal="general" vertical="bottom"/>
    </xf>
    <xf numFmtId="168" fontId="28" fillId="3" borderId="0" applyAlignment="1" pivotButton="0" quotePrefix="0" xfId="0">
      <alignment horizontal="general" vertical="bottom"/>
    </xf>
    <xf numFmtId="0" fontId="29" fillId="9" borderId="0" applyAlignment="1" pivotButton="0" quotePrefix="0" xfId="0">
      <alignment vertical="center"/>
    </xf>
    <xf numFmtId="0" fontId="30" fillId="0" borderId="0" pivotButton="0" quotePrefix="0" xfId="0"/>
    <xf numFmtId="0" fontId="25" fillId="0" borderId="0" pivotButton="0" quotePrefix="0" xfId="0"/>
    <xf numFmtId="0" fontId="28" fillId="0" borderId="0" pivotButton="0" quotePrefix="0" xfId="0"/>
    <xf numFmtId="168" fontId="28" fillId="0" borderId="0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center"/>
    </xf>
    <xf numFmtId="0" fontId="32" fillId="0" borderId="0" pivotButton="0" quotePrefix="0" xfId="0"/>
    <xf numFmtId="169" fontId="33" fillId="0" borderId="0" pivotButton="0" quotePrefix="0" xfId="0"/>
    <xf numFmtId="168" fontId="0" fillId="0" borderId="0" pivotButton="0" quotePrefix="0" xfId="0"/>
    <xf numFmtId="0" fontId="34" fillId="10" borderId="0" applyAlignment="1" pivotButton="0" quotePrefix="0" xfId="0">
      <alignment vertical="center"/>
    </xf>
    <xf numFmtId="0" fontId="35" fillId="0" borderId="0" pivotButton="0" quotePrefix="0" xfId="0"/>
    <xf numFmtId="0" fontId="26" fillId="3" borderId="0" applyAlignment="1" applyProtection="1" pivotButton="0" quotePrefix="0" xfId="0">
      <alignment horizontal="general" vertical="bottom"/>
      <protection locked="0" hidden="0"/>
    </xf>
    <xf numFmtId="0" fontId="12" fillId="3" borderId="1" applyAlignment="1" applyProtection="1" pivotButton="0" quotePrefix="0" xfId="0">
      <alignment horizontal="general" vertical="bottom"/>
      <protection locked="0" hidden="0"/>
    </xf>
    <xf numFmtId="0" fontId="12" fillId="0" borderId="1" applyAlignment="1" applyProtection="1" pivotButton="0" quotePrefix="0" xfId="0">
      <alignment horizontal="general" vertical="bottom"/>
      <protection locked="0" hidden="0"/>
    </xf>
    <xf numFmtId="0" fontId="36" fillId="3" borderId="0" applyFont="1" applyAlignment="1" pivotButton="0" quotePrefix="0" xfId="0">
      <alignment horizontal="general" vertical="bottom"/>
    </xf>
    <xf numFmtId="0" fontId="37" fillId="3" borderId="0" applyFont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4EAF0"/>
      <rgbColor rgb="FFFF00FF"/>
      <rgbColor rgb="FF70F8A0"/>
      <rgbColor rgb="FF800000"/>
      <rgbColor rgb="FF008000"/>
      <rgbColor rgb="FF000080"/>
      <rgbColor rgb="FF808000"/>
      <rgbColor rgb="FF800080"/>
      <rgbColor rgb="FF2E6E8E"/>
      <rgbColor rgb="FFB7B7B7"/>
      <rgbColor rgb="FF6C90B0"/>
      <rgbColor rgb="FF7FA8C8"/>
      <rgbColor rgb="FFC0504D"/>
      <rgbColor rgb="FFFBFCFD"/>
      <rgbColor rgb="FFDFF3EA"/>
      <rgbColor rgb="FF660066"/>
      <rgbColor rgb="FFF1F5F9"/>
      <rgbColor rgb="FF0066CC"/>
      <rgbColor rgb="FFBFC9D6"/>
      <rgbColor rgb="FF000080"/>
      <rgbColor rgb="FFFF00FF"/>
      <rgbColor rgb="FFA7E8C4"/>
      <rgbColor rgb="FF00FFFF"/>
      <rgbColor rgb="FF800080"/>
      <rgbColor rgb="FF800000"/>
      <rgbColor rgb="FF4F81BD"/>
      <rgbColor rgb="FF0000FF"/>
      <rgbColor rgb="FF00CCFF"/>
      <rgbColor rgb="FFE4F3F6"/>
      <rgbColor rgb="FFEAF5EE"/>
      <rgbColor rgb="FFF6F9FB"/>
      <rgbColor rgb="FF9AD0E6"/>
      <rgbColor rgb="FFDDE6EC"/>
      <rgbColor rgb="FFB3B3B3"/>
      <rgbColor rgb="FFD9D9D9"/>
      <rgbColor rgb="FF3E7CC0"/>
      <rgbColor rgb="FF46B389"/>
      <rgbColor rgb="FF8FD3B0"/>
      <rgbColor rgb="FFD6E8F0"/>
      <rgbColor rgb="FFFF9900"/>
      <rgbColor rgb="FFFF6600"/>
      <rgbColor rgb="FF5B7C99"/>
      <rgbColor rgb="FF9AA7B4"/>
      <rgbColor rgb="FF003366"/>
      <rgbColor rgb="FF4FA98A"/>
      <rgbColor rgb="FF003300"/>
      <rgbColor rgb="FF333300"/>
      <rgbColor rgb="FF993300"/>
      <rgbColor rgb="FF993366"/>
      <rgbColor rgb="FF33566B"/>
      <rgbColor rgb="FF3A465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Income vs Expenses by month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"Income"</f>
              <strCache>
                <ptCount val="1"/>
                <pt idx="0">
                  <v>Income</v>
                </pt>
              </strCache>
            </strRef>
          </tx>
          <spPr>
            <a:solidFill xmlns:a="http://schemas.openxmlformats.org/drawingml/2006/main">
              <a:srgbClr val="70F8A0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Dec</v>
                  </pt>
                </lvl>
                <lvl>
                  <pt idx="0">
                    <v>Nov</v>
                  </pt>
                </lvl>
                <lvl>
                  <pt idx="0">
                    <v>Oct</v>
                  </pt>
                </lvl>
                <lvl>
                  <pt idx="0">
                    <v>Sep</v>
                  </pt>
                </lvl>
                <lvl>
                  <pt idx="0">
                    <v>Aug</v>
                  </pt>
                </lvl>
                <lvl>
                  <pt idx="0">
                    <v>Jul</v>
                  </pt>
                </lvl>
                <lvl>
                  <pt idx="0">
                    <v>Jun</v>
                  </pt>
                </lvl>
                <lvl>
                  <pt idx="0">
                    <v>May</v>
                  </pt>
                </lvl>
                <lvl>
                  <pt idx="0">
                    <v>Apr</v>
                  </pt>
                </lvl>
                <lvl>
                  <pt idx="0">
                    <v>Mar</v>
                  </pt>
                </lvl>
                <lvl>
                  <pt idx="0">
                    <v>Feb</v>
                  </pt>
                </lvl>
                <lvl>
                  <pt idx="0">
                    <v>Jan</v>
                  </pt>
                </lvl>
              </multiLvlStrCache>
              <f>'Annual Dashboard'!$B$10:$M$10</f>
            </multiLvlStrRef>
          </cat>
          <val>
            <numRef>
              <f>'Annual Dashboard'!$B$11:$M$11</f>
              <numCache>
                <formatCode>\$#,##0.00;"($"#,##0.00\);\-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"Expenses"</f>
              <strCache>
                <ptCount val="1"/>
                <pt idx="0">
                  <v>Expenses</v>
                </pt>
              </strCache>
            </strRef>
          </tx>
          <spPr>
            <a:solidFill xmlns:a="http://schemas.openxmlformats.org/drawingml/2006/main">
              <a:srgbClr val="33566B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Dec</v>
                  </pt>
                </lvl>
                <lvl>
                  <pt idx="0">
                    <v>Nov</v>
                  </pt>
                </lvl>
                <lvl>
                  <pt idx="0">
                    <v>Oct</v>
                  </pt>
                </lvl>
                <lvl>
                  <pt idx="0">
                    <v>Sep</v>
                  </pt>
                </lvl>
                <lvl>
                  <pt idx="0">
                    <v>Aug</v>
                  </pt>
                </lvl>
                <lvl>
                  <pt idx="0">
                    <v>Jul</v>
                  </pt>
                </lvl>
                <lvl>
                  <pt idx="0">
                    <v>Jun</v>
                  </pt>
                </lvl>
                <lvl>
                  <pt idx="0">
                    <v>May</v>
                  </pt>
                </lvl>
                <lvl>
                  <pt idx="0">
                    <v>Apr</v>
                  </pt>
                </lvl>
                <lvl>
                  <pt idx="0">
                    <v>Mar</v>
                  </pt>
                </lvl>
                <lvl>
                  <pt idx="0">
                    <v>Feb</v>
                  </pt>
                </lvl>
                <lvl>
                  <pt idx="0">
                    <v>Jan</v>
                  </pt>
                </lvl>
              </multiLvlStrCache>
              <f>'Annual Dashboard'!$B$10:$M$10</f>
            </multiLvlStrRef>
          </cat>
          <val>
            <numRef>
              <f>'Annual Dashboard'!$B$12:$M$12</f>
              <numCache>
                <formatCode>\$#,##0.00;"($"#,##0.00\);\-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gapWidth val="150"/>
        <overlap val="0"/>
        <axId val="39987405"/>
        <axId val="88937392"/>
      </barChart>
      <catAx>
        <axId val="3998740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>None</a:t>
            </a:r>
          </a:p>
        </txPr>
        <crossAx val="88937392"/>
        <crosses val="autoZero"/>
        <auto val="1"/>
        <lblAlgn val="ctr"/>
        <lblOffset val="100"/>
        <noMultiLvlLbl val="0"/>
      </catAx>
      <valAx>
        <axId val="88937392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b7b7b7"/>
              </a:solidFill>
              <a:prstDash val="solid"/>
              <a:round/>
            </a:ln>
          </spPr>
        </majorGridlines>
        <numFmt formatCode="\$#,##0.00;&quot;($&quot;#,##0.00\);\-" sourceLinked="0"/>
        <majorTickMark val="none"/>
        <minorTickMark val="none"/>
        <tickLblPos val="nextTo"/>
        <spPr>
          <a:ln xmlns:a="http://schemas.openxmlformats.org/drawingml/2006/main" w="648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>None</a:t>
            </a:r>
          </a:p>
        </txPr>
        <crossAx val="3998740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>None</a:t>
          </a:r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Spending by Category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doughnutChart>
        <varyColors val="1"/>
        <ser>
          <idx val="0"/>
          <order val="0"/>
          <tx>
            <strRef>
              <f>'Annual Dashboard'!N16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70f8a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e7cc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33566b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fd3b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5b7c9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a7e8c4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2e6e8e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bfc9d6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4fa98a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6c90b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9ad0e6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d6e8f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46b38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7fa8c8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r>
                    <a:t>None</a:t>
                  </a:r>
                </a:p>
              </txPr>
              <showLegendKey val="1"/>
              <showVal val="0"/>
              <showCatName val="1"/>
              <showSerName val="1"/>
              <showPercent val="1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r>
                    <a:t>None</a:t>
                  </a:r>
                </a:p>
              </txPr>
              <showLegendKey val="1"/>
              <showVal val="0"/>
              <showCatName val="1"/>
              <showSerName val="1"/>
              <showPercent val="1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r>
                    <a:t>None</a:t>
                  </a:r>
                </a:p>
              </txPr>
              <showLegendKey val="1"/>
              <showVal val="0"/>
              <showCatName val="1"/>
              <showSerName val="1"/>
              <showPercent val="1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r>
                    <a:t>None</a:t>
                  </a:r>
                </a:p>
              </txPr>
              <showLegendKey val="1"/>
              <showVal val="0"/>
              <showCatName val="1"/>
              <showSerName val="1"/>
              <showPercent val="1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r>
                    <a:t>None</a:t>
                  </a:r>
                </a:p>
              </txPr>
              <showLegendKey val="1"/>
              <showVal val="0"/>
              <showCatName val="1"/>
              <showSerName val="1"/>
              <showPercent val="1"/>
            </dLbl>
            <dLbl>
              <idx val="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r>
                    <a:t>None</a:t>
                  </a:r>
                </a:p>
              </txPr>
              <showLegendKey val="1"/>
              <showVal val="0"/>
              <showCatName val="1"/>
              <showSerName val="1"/>
              <showPercent val="1"/>
            </dLbl>
            <dLbl>
              <idx val="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r>
                    <a:t>None</a:t>
                  </a:r>
                </a:p>
              </txPr>
              <showLegendKey val="1"/>
              <showVal val="0"/>
              <showCatName val="1"/>
              <showSerName val="1"/>
              <showPercent val="1"/>
            </dLbl>
            <dLbl>
              <idx val="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r>
                    <a:t>None</a:t>
                  </a:r>
                </a:p>
              </txPr>
              <showLegendKey val="1"/>
              <showVal val="0"/>
              <showCatName val="1"/>
              <showSerName val="1"/>
              <showPercent val="1"/>
            </dLbl>
            <dLbl>
              <idx val="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r>
                    <a:t>None</a:t>
                  </a:r>
                </a:p>
              </txPr>
              <showLegendKey val="1"/>
              <showVal val="0"/>
              <showCatName val="1"/>
              <showSerName val="1"/>
              <showPercent val="1"/>
            </dLbl>
            <dLbl>
              <idx val="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r>
                    <a:t>None</a:t>
                  </a:r>
                </a:p>
              </txPr>
              <showLegendKey val="1"/>
              <showVal val="0"/>
              <showCatName val="1"/>
              <showSerName val="1"/>
              <showPercent val="1"/>
            </dLbl>
            <dLbl>
              <idx val="1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r>
                    <a:t>None</a:t>
                  </a:r>
                </a:p>
              </txPr>
              <showLegendKey val="1"/>
              <showVal val="0"/>
              <showCatName val="1"/>
              <showSerName val="1"/>
              <showPercent val="1"/>
            </dLbl>
            <dLbl>
              <idx val="1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r>
                    <a:t>None</a:t>
                  </a:r>
                </a:p>
              </txPr>
              <showLegendKey val="1"/>
              <showVal val="0"/>
              <showCatName val="1"/>
              <showSerName val="1"/>
              <showPercent val="1"/>
            </dLbl>
            <dLbl>
              <idx val="1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r>
                    <a:t>None</a:t>
                  </a:r>
                </a:p>
              </txPr>
              <showLegendKey val="1"/>
              <showVal val="0"/>
              <showCatName val="1"/>
              <showSerName val="1"/>
              <showPercent val="1"/>
            </dLbl>
            <dLbl>
              <idx val="1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r>
                    <a:t>None</a:t>
                  </a:r>
                </a:p>
              </txPr>
              <showLegendKey val="1"/>
              <showVal val="0"/>
              <showCatName val="1"/>
              <showSerName val="1"/>
              <showPercent val="1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t>None</a:t>
                </a:r>
              </a:p>
            </txPr>
            <showLegendKey val="1"/>
            <showVal val="0"/>
            <showCatName val="1"/>
            <showSerName val="1"/>
            <showPercent val="1"/>
            <showLeaderLines val="1"/>
          </dLbls>
          <cat>
            <strRef>
              <f>'Annual Dashboard'!$A$17:$A$30</f>
              <strCache>
                <ptCount val="14"/>
                <pt idx="0">
                  <v>Rent or Mortgage</v>
                </pt>
                <pt idx="1">
                  <v>Utilities</v>
                </pt>
                <pt idx="2">
                  <v>Groceries</v>
                </pt>
                <pt idx="3">
                  <v>Transport</v>
                </pt>
                <pt idx="4">
                  <v>Dining out</v>
                </pt>
                <pt idx="5">
                  <v>Subscriptions</v>
                </pt>
                <pt idx="6">
                  <v>Health</v>
                </pt>
                <pt idx="7">
                  <v>Insurance</v>
                </pt>
                <pt idx="8">
                  <v>Phone and Internet</v>
                </pt>
                <pt idx="9">
                  <v>Shopping</v>
                </pt>
                <pt idx="10">
                  <v>Fun and Leisure</v>
                </pt>
                <pt idx="11">
                  <v>Gifts</v>
                </pt>
                <pt idx="12">
                  <v>Savings</v>
                </pt>
                <pt idx="13">
                  <v>Debt</v>
                </pt>
              </strCache>
            </strRef>
          </cat>
          <val>
            <numRef>
              <f>'Annual Dashboard'!$N$17:$N$30</f>
              <numCache>
                <formatCode>\$#,##0.00;"($"#,##0.00\);\-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</numCache>
            </numRef>
          </val>
        </ser>
        <firstSliceAng val="0"/>
        <holeSize val="50"/>
      </doughnut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50 / 30 / 20 Split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doughnutChart>
        <varyColors val="1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70f8a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e7cc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33566b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numFmt formatCode="\$#,##0.00;&quot;($&quot;#,##0.0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r>
                    <a:t>None</a:t>
                  </a:r>
                </a:p>
              </txPr>
              <showLegendKey val="1"/>
              <showVal val="1"/>
              <showCatName val="1"/>
              <showSerName val="1"/>
              <showPercent val="1"/>
            </dLbl>
            <dLbl>
              <idx val="1"/>
              <numFmt formatCode="\$#,##0.00;&quot;($&quot;#,##0.0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r>
                    <a:t>None</a:t>
                  </a:r>
                </a:p>
              </txPr>
              <showLegendKey val="1"/>
              <showVal val="1"/>
              <showCatName val="1"/>
              <showSerName val="1"/>
              <showPercent val="1"/>
            </dLbl>
            <dLbl>
              <idx val="2"/>
              <numFmt formatCode="\$#,##0.00;&quot;($&quot;#,##0.00\);\-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  <a:r>
                    <a:t>None</a:t>
                  </a:r>
                </a:p>
              </txPr>
              <showLegendKey val="1"/>
              <showVal val="1"/>
              <showCatName val="1"/>
              <showSerName val="1"/>
              <showPercent val="1"/>
            </dLbl>
            <numFmt formatCode="\$#,##0.00;&quot;($&quot;#,##0.00\);\-"/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t>None</a:t>
                </a:r>
              </a:p>
            </txPr>
            <showLegendKey val="1"/>
            <showVal val="1"/>
            <showCatName val="1"/>
            <showSerName val="1"/>
            <showPercent val="1"/>
            <showLeaderLines val="1"/>
          </dLbls>
          <cat>
            <strRef>
              <f>'Annual Dashboard'!$A$34:$A$36</f>
              <strCache>
                <ptCount val="3"/>
                <pt idx="0">
                  <v>Needs</v>
                </pt>
                <pt idx="1">
                  <v>Wants</v>
                </pt>
                <pt idx="2">
                  <v>Savings</v>
                </pt>
              </strCache>
            </strRef>
          </cat>
          <val>
            <numRef>
              <f>'Annual Dashboard'!$B$34:$B$36</f>
              <numCache>
                <formatCode>\$#,##0.00;"($"#,##0.00\);\-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firstSliceAng val="0"/>
        <holeSize val="50"/>
      </doughnut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Saved by Month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70f8a0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'Annual Dashboard'!$B$10:$M$10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'Annual Dashboard'!$B$13:$M$13</f>
              <numCache>
                <formatCode>\$#,##0.00;"($"#,##0.00\);\-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gapWidth val="150"/>
        <overlap val="0"/>
        <axId val="26047448"/>
        <axId val="60531526"/>
      </barChart>
      <catAx>
        <axId val="2604744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>None</a:t>
            </a:r>
          </a:p>
        </txPr>
        <crossAx val="60531526"/>
        <crosses val="autoZero"/>
        <auto val="1"/>
        <lblAlgn val="ctr"/>
        <lblOffset val="100"/>
        <noMultiLvlLbl val="0"/>
      </catAx>
      <valAx>
        <axId val="60531526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\$#,##0.00;&quot;($&quot;#,##0.00\);\-" sourceLinked="0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>None</a:t>
            </a:r>
          </a:p>
        </txPr>
        <crossAx val="2604744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63</row>
      <rowOff>0</rowOff>
    </from>
    <to>
      <col>8</col>
      <colOff>408600</colOff>
      <row>76</row>
      <rowOff>97560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0</colOff>
      <row>31</row>
      <rowOff>0</rowOff>
    </from>
    <to>
      <col>8</col>
      <colOff>408600</colOff>
      <row>45</row>
      <rowOff>30960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0</colOff>
      <row>47</row>
      <rowOff>0</rowOff>
    </from>
    <to>
      <col>8</col>
      <colOff>408600</colOff>
      <row>61</row>
      <rowOff>30960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0</col>
      <colOff>0</colOff>
      <row>79</row>
      <rowOff>0</rowOff>
    </from>
    <to>
      <col>8</col>
      <colOff>408600</colOff>
      <row>92</row>
      <rowOff>97560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2" customWidth="1" style="85" min="1" max="1"/>
    <col width="13" customWidth="1" style="85" min="2" max="8"/>
    <col width="8.710000000000001" customWidth="1" style="85" min="9" max="19"/>
  </cols>
  <sheetData>
    <row r="1" ht="42" customHeight="1" s="86">
      <c r="A1" s="87" t="inlineStr">
        <is>
          <t>Start Here</t>
        </is>
      </c>
      <c r="I1" s="88" t="n"/>
      <c r="J1" s="88" t="n"/>
      <c r="K1" s="88" t="n"/>
      <c r="L1" s="88" t="n"/>
      <c r="M1" s="88" t="n"/>
      <c r="N1" s="88" t="n"/>
      <c r="O1" s="88" t="n"/>
      <c r="P1" s="88" t="n"/>
      <c r="Q1" s="88" t="n"/>
      <c r="R1" s="88" t="n"/>
      <c r="S1" s="88" t="n"/>
      <c r="T1" s="85" t="n"/>
      <c r="U1" s="85" t="n"/>
      <c r="V1" s="85" t="n"/>
      <c r="W1" s="85" t="n"/>
      <c r="X1" s="85" t="n"/>
      <c r="Y1" s="85" t="n"/>
      <c r="Z1" s="85" t="n"/>
    </row>
    <row r="2" ht="21.75" customHeight="1" s="86">
      <c r="A2" s="89" t="inlineStr">
        <is>
          <t>A full year of budgeting that does the math for you.</t>
        </is>
      </c>
      <c r="I2" s="88" t="n"/>
      <c r="J2" s="88" t="n"/>
      <c r="K2" s="88" t="n"/>
      <c r="L2" s="88" t="n"/>
      <c r="M2" s="88" t="n"/>
      <c r="N2" s="88" t="n"/>
      <c r="O2" s="88" t="n"/>
      <c r="P2" s="88" t="n"/>
      <c r="Q2" s="88" t="n"/>
      <c r="R2" s="88" t="n"/>
      <c r="S2" s="88" t="n"/>
      <c r="T2" s="85" t="n"/>
      <c r="U2" s="85" t="n"/>
      <c r="V2" s="85" t="n"/>
      <c r="W2" s="85" t="n"/>
      <c r="X2" s="85" t="n"/>
      <c r="Y2" s="85" t="n"/>
      <c r="Z2" s="85" t="n"/>
    </row>
    <row r="3" ht="15" customHeight="1" s="86">
      <c r="A3" s="88" t="n"/>
      <c r="B3" s="88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5" t="n"/>
      <c r="U3" s="85" t="n"/>
      <c r="V3" s="85" t="n"/>
      <c r="W3" s="85" t="n"/>
      <c r="X3" s="85" t="n"/>
      <c r="Y3" s="85" t="n"/>
      <c r="Z3" s="85" t="n"/>
    </row>
    <row r="4" ht="15" customHeight="1" s="86">
      <c r="A4" s="90" t="inlineStr">
        <is>
          <t>HOW IT WORKS</t>
        </is>
      </c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5" t="n"/>
      <c r="U4" s="85" t="n"/>
      <c r="V4" s="85" t="n"/>
      <c r="W4" s="85" t="n"/>
      <c r="X4" s="85" t="n"/>
      <c r="Y4" s="85" t="n"/>
      <c r="Z4" s="85" t="n"/>
    </row>
    <row r="5" ht="15" customHeight="1" s="86">
      <c r="A5" s="91" t="inlineStr">
        <is>
          <t>1. Setup</t>
        </is>
      </c>
      <c r="B5" s="88" t="n"/>
      <c r="C5" s="92" t="inlineStr">
        <is>
          <t>Set your year and currency, then list your categories and accounts.</t>
        </is>
      </c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5" t="n"/>
      <c r="U5" s="85" t="n"/>
      <c r="V5" s="85" t="n"/>
      <c r="W5" s="85" t="n"/>
      <c r="X5" s="85" t="n"/>
      <c r="Y5" s="85" t="n"/>
      <c r="Z5" s="85" t="n"/>
    </row>
    <row r="6" ht="15" customHeight="1" s="86">
      <c r="A6" s="91" t="inlineStr">
        <is>
          <t>2. Transactions</t>
        </is>
      </c>
      <c r="B6" s="88" t="n"/>
      <c r="C6" s="92" t="inlineStr">
        <is>
          <t>Log every income, expense and transfer once. Months and totals fill in automatically.</t>
        </is>
      </c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5" t="n"/>
      <c r="U6" s="85" t="n"/>
      <c r="V6" s="85" t="n"/>
      <c r="W6" s="85" t="n"/>
      <c r="X6" s="85" t="n"/>
      <c r="Y6" s="85" t="n"/>
      <c r="Z6" s="85" t="n"/>
    </row>
    <row r="7" ht="15" customHeight="1" s="86">
      <c r="A7" s="91" t="inlineStr">
        <is>
          <t>3. Annual Dashboard</t>
        </is>
      </c>
      <c r="B7" s="88" t="n"/>
      <c r="C7" s="92" t="inlineStr">
        <is>
          <t>See your whole year: monthly totals, category trends, 50/30/20 and charts.</t>
        </is>
      </c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5" t="n"/>
      <c r="U7" s="85" t="n"/>
      <c r="V7" s="85" t="n"/>
      <c r="W7" s="85" t="n"/>
      <c r="X7" s="85" t="n"/>
      <c r="Y7" s="85" t="n"/>
      <c r="Z7" s="85" t="n"/>
    </row>
    <row r="8" ht="15" customHeight="1" s="86">
      <c r="A8" s="92" t="n"/>
      <c r="B8" s="88" t="n"/>
      <c r="C8" s="88" t="n"/>
      <c r="D8" s="88" t="n"/>
      <c r="E8" s="88" t="n"/>
      <c r="F8" s="88" t="n"/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5" t="n"/>
      <c r="U8" s="85" t="n"/>
      <c r="V8" s="85" t="n"/>
      <c r="W8" s="85" t="n"/>
      <c r="X8" s="85" t="n"/>
      <c r="Y8" s="85" t="n"/>
      <c r="Z8" s="85" t="n"/>
    </row>
    <row r="9" ht="15" customHeight="1" s="86">
      <c r="A9" s="90" t="inlineStr">
        <is>
          <t>THE TABS</t>
        </is>
      </c>
      <c r="I9" s="88" t="n"/>
      <c r="J9" s="88" t="n"/>
      <c r="K9" s="88" t="n"/>
      <c r="L9" s="88" t="n"/>
      <c r="M9" s="88" t="n"/>
      <c r="N9" s="88" t="n"/>
      <c r="O9" s="88" t="n"/>
      <c r="P9" s="88" t="n"/>
      <c r="Q9" s="88" t="n"/>
      <c r="R9" s="88" t="n"/>
      <c r="S9" s="88" t="n"/>
      <c r="T9" s="85" t="n"/>
      <c r="U9" s="85" t="n"/>
      <c r="V9" s="85" t="n"/>
      <c r="W9" s="85" t="n"/>
      <c r="X9" s="85" t="n"/>
      <c r="Y9" s="85" t="n"/>
      <c r="Z9" s="85" t="n"/>
    </row>
    <row r="10" ht="15" customHeight="1" s="86">
      <c r="A10" s="91" t="inlineStr">
        <is>
          <t>Annual Dashboard</t>
        </is>
      </c>
      <c r="B10" s="88" t="n"/>
      <c r="C10" s="92" t="inlineStr">
        <is>
          <t>Your full year at a glance. Updates itself.</t>
        </is>
      </c>
      <c r="I10" s="88" t="n"/>
      <c r="J10" s="88" t="n"/>
      <c r="K10" s="88" t="n"/>
      <c r="L10" s="88" t="n"/>
      <c r="M10" s="88" t="n"/>
      <c r="N10" s="88" t="n"/>
      <c r="O10" s="88" t="n"/>
      <c r="P10" s="88" t="n"/>
      <c r="Q10" s="88" t="n"/>
      <c r="R10" s="88" t="n"/>
      <c r="S10" s="88" t="n"/>
      <c r="T10" s="85" t="n"/>
      <c r="U10" s="85" t="n"/>
      <c r="V10" s="85" t="n"/>
      <c r="W10" s="85" t="n"/>
      <c r="X10" s="85" t="n"/>
      <c r="Y10" s="85" t="n"/>
      <c r="Z10" s="85" t="n"/>
    </row>
    <row r="11" ht="15" customHeight="1" s="86">
      <c r="A11" s="93" t="inlineStr">
        <is>
          <t>50 / 30 / 20 Rule</t>
        </is>
      </c>
      <c r="C11" s="94" t="inlineStr">
        <is>
          <t>How your spending splits into needs, wants and savings, vs the 50/30/20 targets.</t>
        </is>
      </c>
    </row>
    <row r="12" ht="15" customHeight="1" s="86">
      <c r="A12" s="93" t="inlineStr">
        <is>
          <t>Spending Tracker</t>
        </is>
      </c>
      <c r="C12" s="94" t="inlineStr">
        <is>
          <t>Which categories take the biggest share of your spending this year.</t>
        </is>
      </c>
    </row>
    <row r="13" ht="15" customHeight="1" s="86">
      <c r="A13" s="91" t="inlineStr">
        <is>
          <t>Month View</t>
        </is>
      </c>
      <c r="B13" s="88" t="n"/>
      <c r="C13" s="92" t="inlineStr">
        <is>
          <t>Pick any month to see it on its own.</t>
        </is>
      </c>
      <c r="I13" s="88" t="n"/>
      <c r="J13" s="88" t="n"/>
      <c r="K13" s="88" t="n"/>
      <c r="L13" s="88" t="n"/>
      <c r="M13" s="88" t="n"/>
      <c r="N13" s="88" t="n"/>
      <c r="O13" s="88" t="n"/>
      <c r="P13" s="88" t="n"/>
      <c r="Q13" s="88" t="n"/>
      <c r="R13" s="88" t="n"/>
      <c r="S13" s="88" t="n"/>
      <c r="T13" s="85" t="n"/>
      <c r="U13" s="85" t="n"/>
      <c r="V13" s="85" t="n"/>
      <c r="W13" s="85" t="n"/>
      <c r="X13" s="85" t="n"/>
      <c r="Y13" s="85" t="n"/>
      <c r="Z13" s="85" t="n"/>
    </row>
    <row r="14" ht="15" customHeight="1" s="86">
      <c r="A14" s="91" t="inlineStr">
        <is>
          <t>Bill Calendar</t>
        </is>
      </c>
      <c r="B14" s="88" t="n"/>
      <c r="C14" s="92" t="inlineStr">
        <is>
          <t>Weekly to yearly bills shown as a fair monthly and yearly cost.</t>
        </is>
      </c>
      <c r="I14" s="88" t="n"/>
      <c r="J14" s="88" t="n"/>
      <c r="K14" s="88" t="n"/>
      <c r="L14" s="88" t="n"/>
      <c r="M14" s="88" t="n"/>
      <c r="N14" s="88" t="n"/>
      <c r="O14" s="88" t="n"/>
      <c r="P14" s="88" t="n"/>
      <c r="Q14" s="88" t="n"/>
      <c r="R14" s="88" t="n"/>
      <c r="S14" s="88" t="n"/>
      <c r="T14" s="85" t="n"/>
      <c r="U14" s="85" t="n"/>
      <c r="V14" s="85" t="n"/>
      <c r="W14" s="85" t="n"/>
      <c r="X14" s="85" t="n"/>
      <c r="Y14" s="85" t="n"/>
      <c r="Z14" s="85" t="n"/>
    </row>
    <row r="15" ht="15" customHeight="1" s="86">
      <c r="A15" s="91" t="inlineStr">
        <is>
          <t>Savings &amp; Net Worth</t>
        </is>
      </c>
      <c r="I15" s="88" t="n"/>
      <c r="J15" s="88" t="n"/>
      <c r="K15" s="88" t="n"/>
      <c r="L15" s="88" t="n"/>
      <c r="M15" s="88" t="n"/>
      <c r="N15" s="88" t="n"/>
      <c r="O15" s="88" t="n"/>
      <c r="P15" s="88" t="n"/>
      <c r="Q15" s="88" t="n"/>
      <c r="R15" s="88" t="n"/>
      <c r="S15" s="88" t="n"/>
      <c r="T15" s="85" t="n"/>
      <c r="U15" s="85" t="n"/>
      <c r="V15" s="85" t="n"/>
      <c r="W15" s="85" t="n"/>
      <c r="X15" s="85" t="n"/>
      <c r="Y15" s="85" t="n"/>
      <c r="Z15" s="85" t="n"/>
    </row>
    <row r="16" ht="15" customHeight="1" s="86">
      <c r="A16" s="92" t="n"/>
      <c r="B16" s="88" t="n"/>
      <c r="C16" s="88" t="n"/>
      <c r="I16" s="88" t="n"/>
      <c r="J16" s="88" t="n"/>
      <c r="K16" s="88" t="n"/>
      <c r="L16" s="88" t="n"/>
      <c r="M16" s="88" t="n"/>
      <c r="N16" s="88" t="n"/>
      <c r="O16" s="88" t="n"/>
      <c r="P16" s="88" t="n"/>
      <c r="Q16" s="88" t="n"/>
      <c r="R16" s="88" t="n"/>
      <c r="S16" s="88" t="n"/>
      <c r="T16" s="85" t="n"/>
      <c r="U16" s="85" t="n"/>
      <c r="V16" s="85" t="n"/>
      <c r="W16" s="85" t="n"/>
      <c r="X16" s="85" t="n"/>
      <c r="Y16" s="85" t="n"/>
      <c r="Z16" s="85" t="n"/>
    </row>
    <row r="17" ht="15" customHeight="1" s="86">
      <c r="A17" s="90" t="inlineStr">
        <is>
          <t>COLOR KEY</t>
        </is>
      </c>
      <c r="C17" s="85" t="n"/>
      <c r="I17" s="88" t="n"/>
      <c r="J17" s="88" t="n"/>
      <c r="K17" s="88" t="n"/>
      <c r="L17" s="88" t="n"/>
      <c r="M17" s="88" t="n"/>
      <c r="N17" s="88" t="n"/>
      <c r="O17" s="88" t="n"/>
      <c r="P17" s="88" t="n"/>
      <c r="Q17" s="88" t="n"/>
      <c r="R17" s="88" t="n"/>
      <c r="S17" s="88" t="n"/>
      <c r="T17" s="85" t="n"/>
      <c r="U17" s="85" t="n"/>
      <c r="V17" s="85" t="n"/>
      <c r="W17" s="85" t="n"/>
      <c r="X17" s="85" t="n"/>
      <c r="Y17" s="85" t="n"/>
      <c r="Z17" s="85" t="n"/>
    </row>
    <row r="18" ht="15" customHeight="1" s="86">
      <c r="A18" s="186" t="inlineStr">
        <is>
          <t>Blue text</t>
        </is>
      </c>
      <c r="B18" s="88" t="n"/>
      <c r="C18" s="92" t="inlineStr">
        <is>
          <t>You type it.</t>
        </is>
      </c>
      <c r="I18" s="88" t="n"/>
      <c r="J18" s="88" t="n"/>
      <c r="K18" s="88" t="n"/>
      <c r="L18" s="88" t="n"/>
      <c r="M18" s="88" t="n"/>
      <c r="N18" s="88" t="n"/>
      <c r="O18" s="88" t="n"/>
      <c r="P18" s="88" t="n"/>
      <c r="Q18" s="88" t="n"/>
      <c r="R18" s="88" t="n"/>
      <c r="S18" s="88" t="n"/>
      <c r="T18" s="85" t="n"/>
      <c r="U18" s="85" t="n"/>
      <c r="V18" s="85" t="n"/>
      <c r="W18" s="85" t="n"/>
      <c r="X18" s="85" t="n"/>
      <c r="Y18" s="85" t="n"/>
      <c r="Z18" s="85" t="n"/>
    </row>
    <row r="19" ht="15" customHeight="1" s="86">
      <c r="A19" s="91" t="inlineStr">
        <is>
          <t>Dark text</t>
        </is>
      </c>
      <c r="B19" s="88" t="n"/>
      <c r="C19" s="92" t="inlineStr">
        <is>
          <t>Calculated — do not edit.</t>
        </is>
      </c>
      <c r="I19" s="88" t="n"/>
      <c r="J19" s="88" t="n"/>
      <c r="K19" s="88" t="n"/>
      <c r="L19" s="88" t="n"/>
      <c r="M19" s="88" t="n"/>
      <c r="N19" s="88" t="n"/>
      <c r="O19" s="88" t="n"/>
      <c r="P19" s="88" t="n"/>
      <c r="Q19" s="88" t="n"/>
      <c r="R19" s="88" t="n"/>
      <c r="S19" s="88" t="n"/>
      <c r="T19" s="85" t="n"/>
      <c r="U19" s="85" t="n"/>
      <c r="V19" s="85" t="n"/>
      <c r="W19" s="85" t="n"/>
      <c r="X19" s="85" t="n"/>
      <c r="Y19" s="85" t="n"/>
      <c r="Z19" s="85" t="n"/>
    </row>
    <row r="20" ht="15" customHeight="1" s="86">
      <c r="A20" s="92" t="n"/>
      <c r="B20" s="88" t="n"/>
      <c r="C20" s="88" t="n"/>
      <c r="D20" s="88" t="n"/>
      <c r="E20" s="88" t="n"/>
      <c r="F20" s="88" t="n"/>
      <c r="G20" s="88" t="n"/>
      <c r="H20" s="88" t="n"/>
      <c r="I20" s="88" t="n"/>
      <c r="J20" s="88" t="n"/>
      <c r="K20" s="88" t="n"/>
      <c r="L20" s="88" t="n"/>
      <c r="M20" s="88" t="n"/>
      <c r="N20" s="88" t="n"/>
      <c r="O20" s="88" t="n"/>
      <c r="P20" s="88" t="n"/>
      <c r="Q20" s="88" t="n"/>
      <c r="R20" s="88" t="n"/>
      <c r="S20" s="88" t="n"/>
      <c r="T20" s="85" t="n"/>
      <c r="U20" s="85" t="n"/>
      <c r="V20" s="85" t="n"/>
      <c r="W20" s="85" t="n"/>
      <c r="X20" s="85" t="n"/>
      <c r="Y20" s="85" t="n"/>
      <c r="Z20" s="85" t="n"/>
    </row>
    <row r="21" ht="15" customHeight="1" s="86">
      <c r="A21" s="92" t="inlineStr">
        <is>
          <t xml:space="preserve">Works in Google Sheets AND Excel. One log feeds the whole year — no separate tab per month. </t>
        </is>
      </c>
      <c r="B21" s="88" t="n"/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5" t="n"/>
      <c r="U21" s="85" t="n"/>
      <c r="V21" s="85" t="n"/>
      <c r="W21" s="85" t="n"/>
      <c r="X21" s="85" t="n"/>
      <c r="Y21" s="85" t="n"/>
      <c r="Z21" s="85" t="n"/>
    </row>
    <row r="22" ht="15" customHeight="1" s="86">
      <c r="A22" s="94" t="inlineStr">
        <is>
          <t>Formulas are protected, only the blue cells are yours.</t>
        </is>
      </c>
      <c r="B22" s="88" t="n"/>
      <c r="C22" s="88" t="n"/>
      <c r="D22" s="88" t="n"/>
      <c r="E22" s="88" t="n"/>
      <c r="F22" s="88" t="n"/>
      <c r="G22" s="88" t="n"/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/>
      <c r="Q22" s="88" t="n"/>
      <c r="R22" s="88" t="n"/>
      <c r="S22" s="88" t="n"/>
      <c r="T22" s="85" t="n"/>
      <c r="U22" s="85" t="n"/>
      <c r="V22" s="85" t="n"/>
      <c r="W22" s="85" t="n"/>
      <c r="X22" s="85" t="n"/>
      <c r="Y22" s="85" t="n"/>
      <c r="Z22" s="85" t="n"/>
    </row>
    <row r="23" ht="15" customHeight="1" s="86">
      <c r="A23" s="92" t="inlineStr">
        <is>
          <t>This is an organisation tool, not financial advice.</t>
        </is>
      </c>
      <c r="B23" s="88" t="n"/>
      <c r="C23" s="88" t="n"/>
      <c r="D23" s="88" t="n"/>
      <c r="E23" s="88" t="n"/>
      <c r="F23" s="88" t="n"/>
      <c r="G23" s="88" t="n"/>
      <c r="H23" s="88" t="n"/>
      <c r="I23" s="88" t="n"/>
      <c r="J23" s="88" t="n"/>
      <c r="K23" s="88" t="n"/>
      <c r="L23" s="88" t="n"/>
      <c r="M23" s="88" t="n"/>
      <c r="N23" s="88" t="n"/>
      <c r="O23" s="88" t="n"/>
      <c r="P23" s="88" t="n"/>
      <c r="Q23" s="88" t="n"/>
      <c r="R23" s="88" t="n"/>
      <c r="S23" s="88" t="n"/>
      <c r="T23" s="85" t="n"/>
      <c r="U23" s="85" t="n"/>
      <c r="V23" s="85" t="n"/>
      <c r="W23" s="85" t="n"/>
      <c r="X23" s="85" t="n"/>
      <c r="Y23" s="85" t="n"/>
      <c r="Z23" s="85" t="n"/>
    </row>
    <row r="24" ht="15" customHeight="1" s="86">
      <c r="A24" s="88" t="n"/>
      <c r="B24" s="88" t="n"/>
      <c r="C24" s="88" t="n"/>
      <c r="D24" s="88" t="n"/>
      <c r="E24" s="88" t="n"/>
      <c r="F24" s="88" t="n"/>
      <c r="G24" s="88" t="n"/>
      <c r="H24" s="88" t="n"/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5" t="n"/>
      <c r="U24" s="85" t="n"/>
      <c r="V24" s="85" t="n"/>
      <c r="W24" s="85" t="n"/>
      <c r="X24" s="85" t="n"/>
      <c r="Y24" s="85" t="n"/>
      <c r="Z24" s="85" t="n"/>
    </row>
    <row r="25" ht="15" customHeight="1" s="86">
      <c r="A25" s="88" t="n"/>
      <c r="B25" s="88" t="n"/>
      <c r="C25" s="88" t="n"/>
      <c r="D25" s="88" t="n"/>
      <c r="E25" s="88" t="n"/>
      <c r="F25" s="88" t="n"/>
      <c r="G25" s="88" t="n"/>
      <c r="H25" s="88" t="n"/>
      <c r="I25" s="88" t="n"/>
      <c r="J25" s="88" t="n"/>
      <c r="K25" s="88" t="n"/>
      <c r="L25" s="88" t="n"/>
      <c r="M25" s="88" t="n"/>
      <c r="N25" s="88" t="n"/>
      <c r="O25" s="88" t="n"/>
      <c r="P25" s="88" t="n"/>
      <c r="Q25" s="88" t="n"/>
      <c r="R25" s="88" t="n"/>
      <c r="S25" s="88" t="n"/>
      <c r="T25" s="85" t="n"/>
      <c r="U25" s="85" t="n"/>
      <c r="V25" s="85" t="n"/>
      <c r="W25" s="85" t="n"/>
      <c r="X25" s="85" t="n"/>
      <c r="Y25" s="85" t="n"/>
      <c r="Z25" s="85" t="n"/>
    </row>
    <row r="26" ht="15" customHeight="1" s="86">
      <c r="A26" s="88" t="n"/>
      <c r="B26" s="88" t="n"/>
      <c r="C26" s="88" t="n"/>
      <c r="D26" s="88" t="n"/>
      <c r="E26" s="88" t="n"/>
      <c r="F26" s="88" t="n"/>
      <c r="G26" s="88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5" t="n"/>
      <c r="U26" s="85" t="n"/>
      <c r="V26" s="85" t="n"/>
      <c r="W26" s="85" t="n"/>
      <c r="X26" s="85" t="n"/>
      <c r="Y26" s="85" t="n"/>
      <c r="Z26" s="85" t="n"/>
    </row>
    <row r="27" ht="15" customHeight="1" s="86">
      <c r="A27" s="88" t="n"/>
      <c r="B27" s="88" t="n"/>
      <c r="C27" s="88" t="n"/>
      <c r="D27" s="88" t="n"/>
      <c r="E27" s="88" t="n"/>
      <c r="F27" s="88" t="n"/>
      <c r="G27" s="88" t="n"/>
      <c r="H27" s="88" t="n"/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5" t="n"/>
      <c r="U27" s="85" t="n"/>
      <c r="V27" s="85" t="n"/>
      <c r="W27" s="85" t="n"/>
      <c r="X27" s="85" t="n"/>
      <c r="Y27" s="85" t="n"/>
      <c r="Z27" s="85" t="n"/>
    </row>
    <row r="28" ht="15" customHeight="1" s="86">
      <c r="A28" s="88" t="n"/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5" t="n"/>
      <c r="U28" s="85" t="n"/>
      <c r="V28" s="85" t="n"/>
      <c r="W28" s="85" t="n"/>
      <c r="X28" s="85" t="n"/>
      <c r="Y28" s="85" t="n"/>
      <c r="Z28" s="85" t="n"/>
    </row>
    <row r="29" ht="15" customHeight="1" s="86">
      <c r="A29" s="88" t="n"/>
      <c r="B29" s="88" t="n"/>
      <c r="C29" s="88" t="n"/>
      <c r="D29" s="88" t="n"/>
      <c r="E29" s="88" t="n"/>
      <c r="F29" s="88" t="n"/>
      <c r="G29" s="88" t="n"/>
      <c r="H29" s="88" t="n"/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5" t="n"/>
      <c r="U29" s="85" t="n"/>
      <c r="V29" s="85" t="n"/>
      <c r="W29" s="85" t="n"/>
      <c r="X29" s="85" t="n"/>
      <c r="Y29" s="85" t="n"/>
      <c r="Z29" s="85" t="n"/>
    </row>
    <row r="30" ht="15" customHeight="1" s="86">
      <c r="A30" s="88" t="n"/>
      <c r="B30" s="88" t="n"/>
      <c r="C30" s="88" t="n"/>
      <c r="D30" s="88" t="n"/>
      <c r="E30" s="88" t="n"/>
      <c r="F30" s="88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5" t="n"/>
      <c r="U30" s="85" t="n"/>
      <c r="V30" s="85" t="n"/>
      <c r="W30" s="85" t="n"/>
      <c r="X30" s="85" t="n"/>
      <c r="Y30" s="85" t="n"/>
      <c r="Z30" s="85" t="n"/>
    </row>
    <row r="31" ht="15" customHeight="1" s="86">
      <c r="A31" s="88" t="n"/>
      <c r="B31" s="88" t="n"/>
      <c r="C31" s="88" t="n"/>
      <c r="D31" s="88" t="n"/>
      <c r="E31" s="88" t="n"/>
      <c r="F31" s="88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5" t="n"/>
      <c r="U31" s="85" t="n"/>
      <c r="V31" s="85" t="n"/>
      <c r="W31" s="85" t="n"/>
      <c r="X31" s="85" t="n"/>
      <c r="Y31" s="85" t="n"/>
      <c r="Z31" s="85" t="n"/>
    </row>
    <row r="32" ht="15" customHeight="1" s="86">
      <c r="A32" s="88" t="n"/>
      <c r="B32" s="88" t="n"/>
      <c r="C32" s="88" t="n"/>
      <c r="D32" s="88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5" t="n"/>
      <c r="U32" s="85" t="n"/>
      <c r="V32" s="85" t="n"/>
      <c r="W32" s="85" t="n"/>
      <c r="X32" s="85" t="n"/>
      <c r="Y32" s="85" t="n"/>
      <c r="Z32" s="85" t="n"/>
    </row>
    <row r="33" ht="15" customHeight="1" s="86">
      <c r="A33" s="88" t="n"/>
      <c r="B33" s="88" t="n"/>
      <c r="C33" s="88" t="n"/>
      <c r="D33" s="88" t="n"/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5" t="n"/>
      <c r="U33" s="85" t="n"/>
      <c r="V33" s="85" t="n"/>
      <c r="W33" s="85" t="n"/>
      <c r="X33" s="85" t="n"/>
      <c r="Y33" s="85" t="n"/>
      <c r="Z33" s="85" t="n"/>
    </row>
    <row r="34" ht="15" customHeight="1" s="86">
      <c r="A34" s="88" t="n"/>
      <c r="B34" s="88" t="n"/>
      <c r="C34" s="88" t="n"/>
      <c r="D34" s="88" t="n"/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5" t="n"/>
      <c r="U34" s="85" t="n"/>
      <c r="V34" s="85" t="n"/>
      <c r="W34" s="85" t="n"/>
      <c r="X34" s="85" t="n"/>
      <c r="Y34" s="85" t="n"/>
      <c r="Z34" s="85" t="n"/>
    </row>
    <row r="35" ht="15" customHeight="1" s="86">
      <c r="A35" s="88" t="n"/>
      <c r="B35" s="88" t="n"/>
      <c r="C35" s="88" t="n"/>
      <c r="D35" s="88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5" t="n"/>
      <c r="U35" s="85" t="n"/>
      <c r="V35" s="85" t="n"/>
      <c r="W35" s="85" t="n"/>
      <c r="X35" s="85" t="n"/>
      <c r="Y35" s="85" t="n"/>
      <c r="Z35" s="85" t="n"/>
    </row>
    <row r="36" ht="15" customHeight="1" s="86">
      <c r="A36" s="88" t="n"/>
      <c r="B36" s="88" t="n"/>
      <c r="C36" s="88" t="n"/>
      <c r="D36" s="88" t="n"/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5" t="n"/>
      <c r="U36" s="85" t="n"/>
      <c r="V36" s="85" t="n"/>
      <c r="W36" s="85" t="n"/>
      <c r="X36" s="85" t="n"/>
      <c r="Y36" s="85" t="n"/>
      <c r="Z36" s="85" t="n"/>
    </row>
    <row r="37" ht="15" customHeight="1" s="86">
      <c r="A37" s="88" t="n"/>
      <c r="B37" s="88" t="n"/>
      <c r="C37" s="88" t="n"/>
      <c r="D37" s="88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5" t="n"/>
      <c r="U37" s="85" t="n"/>
      <c r="V37" s="85" t="n"/>
      <c r="W37" s="85" t="n"/>
      <c r="X37" s="85" t="n"/>
      <c r="Y37" s="85" t="n"/>
      <c r="Z37" s="85" t="n"/>
    </row>
    <row r="38" ht="15" customHeight="1" s="86">
      <c r="A38" s="88" t="n"/>
      <c r="B38" s="88" t="n"/>
      <c r="C38" s="88" t="n"/>
      <c r="D38" s="88" t="n"/>
      <c r="E38" s="88" t="n"/>
      <c r="F38" s="88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5" t="n"/>
      <c r="U38" s="85" t="n"/>
      <c r="V38" s="85" t="n"/>
      <c r="W38" s="85" t="n"/>
      <c r="X38" s="85" t="n"/>
      <c r="Y38" s="85" t="n"/>
      <c r="Z38" s="85" t="n"/>
    </row>
    <row r="39" ht="15" customHeight="1" s="86">
      <c r="A39" s="88" t="n"/>
      <c r="B39" s="88" t="n"/>
      <c r="C39" s="88" t="n"/>
      <c r="D39" s="88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5" t="n"/>
      <c r="U39" s="85" t="n"/>
      <c r="V39" s="85" t="n"/>
      <c r="W39" s="85" t="n"/>
      <c r="X39" s="85" t="n"/>
      <c r="Y39" s="85" t="n"/>
      <c r="Z39" s="85" t="n"/>
    </row>
    <row r="40" ht="15" customHeight="1" s="86">
      <c r="A40" s="88" t="n"/>
      <c r="B40" s="88" t="n"/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5" t="n"/>
      <c r="U40" s="85" t="n"/>
      <c r="V40" s="85" t="n"/>
      <c r="W40" s="85" t="n"/>
      <c r="X40" s="85" t="n"/>
      <c r="Y40" s="85" t="n"/>
      <c r="Z40" s="85" t="n"/>
    </row>
    <row r="41" ht="15" customHeight="1" s="86">
      <c r="A41" s="88" t="n"/>
      <c r="B41" s="88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5" t="n"/>
      <c r="U41" s="85" t="n"/>
      <c r="V41" s="85" t="n"/>
      <c r="W41" s="85" t="n"/>
      <c r="X41" s="85" t="n"/>
      <c r="Y41" s="85" t="n"/>
      <c r="Z41" s="85" t="n"/>
    </row>
    <row r="42" ht="15" customHeight="1" s="86">
      <c r="A42" s="88" t="n"/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5" t="n"/>
      <c r="U42" s="85" t="n"/>
      <c r="V42" s="85" t="n"/>
      <c r="W42" s="85" t="n"/>
      <c r="X42" s="85" t="n"/>
      <c r="Y42" s="85" t="n"/>
      <c r="Z42" s="85" t="n"/>
    </row>
    <row r="43" ht="15" customHeight="1" s="86">
      <c r="A43" s="88" t="n"/>
      <c r="B43" s="88" t="n"/>
      <c r="C43" s="88" t="n"/>
      <c r="D43" s="88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5" t="n"/>
      <c r="U43" s="85" t="n"/>
      <c r="V43" s="85" t="n"/>
      <c r="W43" s="85" t="n"/>
      <c r="X43" s="85" t="n"/>
      <c r="Y43" s="85" t="n"/>
      <c r="Z43" s="85" t="n"/>
    </row>
    <row r="44" ht="15" customHeight="1" s="86">
      <c r="A44" s="88" t="n"/>
      <c r="B44" s="88" t="n"/>
      <c r="C44" s="88" t="n"/>
      <c r="D44" s="88" t="n"/>
      <c r="E44" s="88" t="n"/>
      <c r="F44" s="88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5" t="n"/>
      <c r="U44" s="85" t="n"/>
      <c r="V44" s="85" t="n"/>
      <c r="W44" s="85" t="n"/>
      <c r="X44" s="85" t="n"/>
      <c r="Y44" s="85" t="n"/>
      <c r="Z44" s="85" t="n"/>
    </row>
    <row r="45" ht="15" customHeight="1" s="86">
      <c r="A45" s="88" t="n"/>
      <c r="B45" s="88" t="n"/>
      <c r="C45" s="88" t="n"/>
      <c r="D45" s="88" t="n"/>
      <c r="E45" s="88" t="n"/>
      <c r="F45" s="88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5" t="n"/>
      <c r="U45" s="85" t="n"/>
      <c r="V45" s="85" t="n"/>
      <c r="W45" s="85" t="n"/>
      <c r="X45" s="85" t="n"/>
      <c r="Y45" s="85" t="n"/>
      <c r="Z45" s="85" t="n"/>
    </row>
    <row r="46" ht="15" customHeight="1" s="86">
      <c r="A46" s="88" t="n"/>
      <c r="B46" s="88" t="n"/>
      <c r="C46" s="88" t="n"/>
      <c r="D46" s="88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5" t="n"/>
      <c r="U46" s="85" t="n"/>
      <c r="V46" s="85" t="n"/>
      <c r="W46" s="85" t="n"/>
      <c r="X46" s="85" t="n"/>
      <c r="Y46" s="85" t="n"/>
      <c r="Z46" s="85" t="n"/>
    </row>
    <row r="47" ht="15" customHeight="1" s="86">
      <c r="A47" s="88" t="n"/>
      <c r="B47" s="88" t="n"/>
      <c r="C47" s="88" t="n"/>
      <c r="D47" s="88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5" t="n"/>
      <c r="U47" s="85" t="n"/>
      <c r="V47" s="85" t="n"/>
      <c r="W47" s="85" t="n"/>
      <c r="X47" s="85" t="n"/>
      <c r="Y47" s="85" t="n"/>
      <c r="Z47" s="85" t="n"/>
    </row>
    <row r="48" ht="15" customHeight="1" s="86">
      <c r="A48" s="88" t="n"/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5" t="n"/>
      <c r="U48" s="85" t="n"/>
      <c r="V48" s="85" t="n"/>
      <c r="W48" s="85" t="n"/>
      <c r="X48" s="85" t="n"/>
      <c r="Y48" s="85" t="n"/>
      <c r="Z48" s="85" t="n"/>
    </row>
    <row r="49" ht="15" customHeight="1" s="86">
      <c r="A49" s="88" t="n"/>
      <c r="B49" s="88" t="n"/>
      <c r="C49" s="88" t="n"/>
      <c r="D49" s="88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5" t="n"/>
      <c r="U49" s="85" t="n"/>
      <c r="V49" s="85" t="n"/>
      <c r="W49" s="85" t="n"/>
      <c r="X49" s="85" t="n"/>
      <c r="Y49" s="85" t="n"/>
      <c r="Z49" s="85" t="n"/>
    </row>
    <row r="50" ht="15" customHeight="1" s="86">
      <c r="A50" s="88" t="n"/>
      <c r="B50" s="88" t="n"/>
      <c r="C50" s="88" t="n"/>
      <c r="D50" s="88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5" t="n"/>
      <c r="U50" s="85" t="n"/>
      <c r="V50" s="85" t="n"/>
      <c r="W50" s="85" t="n"/>
      <c r="X50" s="85" t="n"/>
      <c r="Y50" s="85" t="n"/>
      <c r="Z50" s="85" t="n"/>
    </row>
    <row r="51" ht="15" customHeight="1" s="86">
      <c r="A51" s="88" t="n"/>
      <c r="B51" s="88" t="n"/>
      <c r="C51" s="88" t="n"/>
      <c r="D51" s="88" t="n"/>
      <c r="E51" s="88" t="n"/>
      <c r="F51" s="88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5" t="n"/>
      <c r="U51" s="85" t="n"/>
      <c r="V51" s="85" t="n"/>
      <c r="W51" s="85" t="n"/>
      <c r="X51" s="85" t="n"/>
      <c r="Y51" s="85" t="n"/>
      <c r="Z51" s="85" t="n"/>
    </row>
    <row r="52" ht="15" customHeight="1" s="86">
      <c r="A52" s="88" t="n"/>
      <c r="B52" s="88" t="n"/>
      <c r="C52" s="88" t="n"/>
      <c r="D52" s="88" t="n"/>
      <c r="E52" s="88" t="n"/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5" t="n"/>
      <c r="U52" s="85" t="n"/>
      <c r="V52" s="85" t="n"/>
      <c r="W52" s="85" t="n"/>
      <c r="X52" s="85" t="n"/>
      <c r="Y52" s="85" t="n"/>
      <c r="Z52" s="85" t="n"/>
    </row>
    <row r="53" ht="15" customHeight="1" s="86">
      <c r="A53" s="88" t="n"/>
      <c r="B53" s="88" t="n"/>
      <c r="C53" s="88" t="n"/>
      <c r="D53" s="88" t="n"/>
      <c r="E53" s="88" t="n"/>
      <c r="F53" s="88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5" t="n"/>
      <c r="U53" s="85" t="n"/>
      <c r="V53" s="85" t="n"/>
      <c r="W53" s="85" t="n"/>
      <c r="X53" s="85" t="n"/>
      <c r="Y53" s="85" t="n"/>
      <c r="Z53" s="85" t="n"/>
    </row>
    <row r="54" ht="15" customHeight="1" s="86">
      <c r="A54" s="88" t="n"/>
      <c r="B54" s="88" t="n"/>
      <c r="C54" s="88" t="n"/>
      <c r="D54" s="88" t="n"/>
      <c r="E54" s="88" t="n"/>
      <c r="F54" s="88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5" t="n"/>
      <c r="U54" s="85" t="n"/>
      <c r="V54" s="85" t="n"/>
      <c r="W54" s="85" t="n"/>
      <c r="X54" s="85" t="n"/>
      <c r="Y54" s="85" t="n"/>
      <c r="Z54" s="85" t="n"/>
    </row>
    <row r="55" ht="15" customHeight="1" s="86">
      <c r="A55" s="88" t="n"/>
      <c r="B55" s="88" t="n"/>
      <c r="C55" s="88" t="n"/>
      <c r="D55" s="88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5" t="n"/>
      <c r="U55" s="85" t="n"/>
      <c r="V55" s="85" t="n"/>
      <c r="W55" s="85" t="n"/>
      <c r="X55" s="85" t="n"/>
      <c r="Y55" s="85" t="n"/>
      <c r="Z55" s="85" t="n"/>
    </row>
    <row r="56" ht="15" customHeight="1" s="86">
      <c r="A56" s="88" t="n"/>
      <c r="B56" s="88" t="n"/>
      <c r="C56" s="88" t="n"/>
      <c r="D56" s="88" t="n"/>
      <c r="E56" s="88" t="n"/>
      <c r="F56" s="88" t="n"/>
      <c r="G56" s="88" t="n"/>
      <c r="H56" s="88" t="n"/>
      <c r="I56" s="88" t="n"/>
      <c r="J56" s="88" t="n"/>
      <c r="K56" s="88" t="n"/>
      <c r="L56" s="88" t="n"/>
      <c r="M56" s="88" t="n"/>
      <c r="N56" s="88" t="n"/>
      <c r="O56" s="88" t="n"/>
      <c r="P56" s="88" t="n"/>
      <c r="Q56" s="88" t="n"/>
      <c r="R56" s="88" t="n"/>
      <c r="S56" s="88" t="n"/>
      <c r="T56" s="85" t="n"/>
      <c r="U56" s="85" t="n"/>
      <c r="V56" s="85" t="n"/>
      <c r="W56" s="85" t="n"/>
      <c r="X56" s="85" t="n"/>
      <c r="Y56" s="85" t="n"/>
      <c r="Z56" s="85" t="n"/>
    </row>
    <row r="57" ht="15" customHeight="1" s="86">
      <c r="A57" s="88" t="n"/>
      <c r="B57" s="88" t="n"/>
      <c r="C57" s="88" t="n"/>
      <c r="D57" s="88" t="n"/>
      <c r="E57" s="88" t="n"/>
      <c r="F57" s="88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88" t="n"/>
      <c r="Q57" s="88" t="n"/>
      <c r="R57" s="88" t="n"/>
      <c r="S57" s="88" t="n"/>
      <c r="T57" s="85" t="n"/>
      <c r="U57" s="85" t="n"/>
      <c r="V57" s="85" t="n"/>
      <c r="W57" s="85" t="n"/>
      <c r="X57" s="85" t="n"/>
      <c r="Y57" s="85" t="n"/>
      <c r="Z57" s="85" t="n"/>
    </row>
    <row r="58" ht="15" customHeight="1" s="86">
      <c r="A58" s="88" t="n"/>
      <c r="B58" s="88" t="n"/>
      <c r="C58" s="88" t="n"/>
      <c r="D58" s="88" t="n"/>
      <c r="E58" s="88" t="n"/>
      <c r="F58" s="88" t="n"/>
      <c r="G58" s="88" t="n"/>
      <c r="H58" s="88" t="n"/>
      <c r="I58" s="88" t="n"/>
      <c r="J58" s="88" t="n"/>
      <c r="K58" s="88" t="n"/>
      <c r="L58" s="88" t="n"/>
      <c r="M58" s="88" t="n"/>
      <c r="N58" s="88" t="n"/>
      <c r="O58" s="88" t="n"/>
      <c r="P58" s="88" t="n"/>
      <c r="Q58" s="88" t="n"/>
      <c r="R58" s="88" t="n"/>
      <c r="S58" s="88" t="n"/>
      <c r="T58" s="85" t="n"/>
      <c r="U58" s="85" t="n"/>
      <c r="V58" s="85" t="n"/>
      <c r="W58" s="85" t="n"/>
      <c r="X58" s="85" t="n"/>
      <c r="Y58" s="85" t="n"/>
      <c r="Z58" s="85" t="n"/>
    </row>
    <row r="59" ht="15" customHeight="1" s="86">
      <c r="A59" s="88" t="n"/>
      <c r="B59" s="88" t="n"/>
      <c r="C59" s="88" t="n"/>
      <c r="D59" s="88" t="n"/>
      <c r="E59" s="88" t="n"/>
      <c r="F59" s="88" t="n"/>
      <c r="G59" s="88" t="n"/>
      <c r="H59" s="88" t="n"/>
      <c r="I59" s="88" t="n"/>
      <c r="J59" s="88" t="n"/>
      <c r="K59" s="88" t="n"/>
      <c r="L59" s="88" t="n"/>
      <c r="M59" s="88" t="n"/>
      <c r="N59" s="88" t="n"/>
      <c r="O59" s="88" t="n"/>
      <c r="P59" s="88" t="n"/>
      <c r="Q59" s="88" t="n"/>
      <c r="R59" s="88" t="n"/>
      <c r="S59" s="88" t="n"/>
      <c r="T59" s="85" t="n"/>
      <c r="U59" s="85" t="n"/>
      <c r="V59" s="85" t="n"/>
      <c r="W59" s="85" t="n"/>
      <c r="X59" s="85" t="n"/>
      <c r="Y59" s="85" t="n"/>
      <c r="Z59" s="85" t="n"/>
    </row>
    <row r="60" ht="15" customHeight="1" s="86">
      <c r="A60" s="88" t="n"/>
      <c r="B60" s="88" t="n"/>
      <c r="C60" s="88" t="n"/>
      <c r="D60" s="88" t="n"/>
      <c r="E60" s="88" t="n"/>
      <c r="F60" s="88" t="n"/>
      <c r="G60" s="88" t="n"/>
      <c r="H60" s="88" t="n"/>
      <c r="I60" s="88" t="n"/>
      <c r="J60" s="88" t="n"/>
      <c r="K60" s="88" t="n"/>
      <c r="L60" s="88" t="n"/>
      <c r="M60" s="88" t="n"/>
      <c r="N60" s="88" t="n"/>
      <c r="O60" s="88" t="n"/>
      <c r="P60" s="88" t="n"/>
      <c r="Q60" s="88" t="n"/>
      <c r="R60" s="88" t="n"/>
      <c r="S60" s="88" t="n"/>
      <c r="T60" s="85" t="n"/>
      <c r="U60" s="85" t="n"/>
      <c r="V60" s="85" t="n"/>
      <c r="W60" s="85" t="n"/>
      <c r="X60" s="85" t="n"/>
      <c r="Y60" s="85" t="n"/>
      <c r="Z60" s="85" t="n"/>
    </row>
    <row r="61" ht="15" customHeight="1" s="86">
      <c r="A61" s="88" t="n"/>
      <c r="B61" s="88" t="n"/>
      <c r="C61" s="88" t="n"/>
      <c r="D61" s="88" t="n"/>
      <c r="E61" s="88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5" t="n"/>
      <c r="U61" s="85" t="n"/>
      <c r="V61" s="85" t="n"/>
      <c r="W61" s="85" t="n"/>
      <c r="X61" s="85" t="n"/>
      <c r="Y61" s="85" t="n"/>
      <c r="Z61" s="85" t="n"/>
    </row>
    <row r="62" ht="15" customHeight="1" s="86">
      <c r="A62" s="88" t="n"/>
      <c r="B62" s="88" t="n"/>
      <c r="C62" s="88" t="n"/>
      <c r="D62" s="88" t="n"/>
      <c r="E62" s="88" t="n"/>
      <c r="F62" s="88" t="n"/>
      <c r="G62" s="88" t="n"/>
      <c r="H62" s="88" t="n"/>
      <c r="I62" s="88" t="n"/>
      <c r="J62" s="88" t="n"/>
      <c r="K62" s="88" t="n"/>
      <c r="L62" s="88" t="n"/>
      <c r="M62" s="88" t="n"/>
      <c r="N62" s="88" t="n"/>
      <c r="O62" s="88" t="n"/>
      <c r="P62" s="88" t="n"/>
      <c r="Q62" s="88" t="n"/>
      <c r="R62" s="88" t="n"/>
      <c r="S62" s="88" t="n"/>
      <c r="T62" s="85" t="n"/>
      <c r="U62" s="85" t="n"/>
      <c r="V62" s="85" t="n"/>
      <c r="W62" s="85" t="n"/>
      <c r="X62" s="85" t="n"/>
      <c r="Y62" s="85" t="n"/>
      <c r="Z62" s="85" t="n"/>
    </row>
    <row r="63" ht="15" customHeight="1" s="86">
      <c r="A63" s="88" t="n"/>
      <c r="B63" s="88" t="n"/>
      <c r="C63" s="88" t="n"/>
      <c r="D63" s="88" t="n"/>
      <c r="E63" s="88" t="n"/>
      <c r="F63" s="88" t="n"/>
      <c r="G63" s="88" t="n"/>
      <c r="H63" s="88" t="n"/>
      <c r="I63" s="88" t="n"/>
      <c r="J63" s="88" t="n"/>
      <c r="K63" s="88" t="n"/>
      <c r="L63" s="88" t="n"/>
      <c r="M63" s="88" t="n"/>
      <c r="N63" s="88" t="n"/>
      <c r="O63" s="88" t="n"/>
      <c r="P63" s="88" t="n"/>
      <c r="Q63" s="88" t="n"/>
      <c r="R63" s="88" t="n"/>
      <c r="S63" s="88" t="n"/>
      <c r="T63" s="85" t="n"/>
      <c r="U63" s="85" t="n"/>
      <c r="V63" s="85" t="n"/>
      <c r="W63" s="85" t="n"/>
      <c r="X63" s="85" t="n"/>
      <c r="Y63" s="85" t="n"/>
      <c r="Z63" s="85" t="n"/>
    </row>
    <row r="64" ht="15.75" customHeight="1" s="86">
      <c r="A64" s="88" t="n"/>
      <c r="B64" s="88" t="n"/>
      <c r="C64" s="88" t="n"/>
      <c r="D64" s="88" t="n"/>
      <c r="E64" s="88" t="n"/>
      <c r="F64" s="88" t="n"/>
      <c r="G64" s="88" t="n"/>
      <c r="H64" s="88" t="n"/>
      <c r="I64" s="88" t="n"/>
      <c r="J64" s="88" t="n"/>
      <c r="K64" s="88" t="n"/>
      <c r="L64" s="88" t="n"/>
      <c r="M64" s="88" t="n"/>
      <c r="N64" s="88" t="n"/>
      <c r="O64" s="88" t="n"/>
      <c r="P64" s="88" t="n"/>
      <c r="Q64" s="88" t="n"/>
      <c r="R64" s="88" t="n"/>
      <c r="S64" s="88" t="n"/>
      <c r="T64" s="85" t="n"/>
      <c r="U64" s="85" t="n"/>
      <c r="V64" s="85" t="n"/>
      <c r="W64" s="85" t="n"/>
      <c r="X64" s="85" t="n"/>
      <c r="Y64" s="85" t="n"/>
      <c r="Z64" s="85" t="n"/>
    </row>
    <row r="65" ht="15.75" customHeight="1" s="86">
      <c r="A65" s="88" t="n"/>
      <c r="B65" s="88" t="n"/>
      <c r="C65" s="88" t="n"/>
      <c r="D65" s="88" t="n"/>
      <c r="E65" s="88" t="n"/>
      <c r="F65" s="88" t="n"/>
      <c r="G65" s="88" t="n"/>
      <c r="H65" s="88" t="n"/>
      <c r="I65" s="88" t="n"/>
      <c r="J65" s="88" t="n"/>
      <c r="K65" s="88" t="n"/>
      <c r="L65" s="88" t="n"/>
      <c r="M65" s="88" t="n"/>
      <c r="N65" s="88" t="n"/>
      <c r="O65" s="88" t="n"/>
      <c r="P65" s="88" t="n"/>
      <c r="Q65" s="88" t="n"/>
      <c r="R65" s="88" t="n"/>
      <c r="S65" s="88" t="n"/>
      <c r="T65" s="85" t="n"/>
      <c r="U65" s="85" t="n"/>
      <c r="V65" s="85" t="n"/>
      <c r="W65" s="85" t="n"/>
      <c r="X65" s="85" t="n"/>
      <c r="Y65" s="85" t="n"/>
      <c r="Z65" s="85" t="n"/>
    </row>
    <row r="66" ht="15.75" customHeight="1" s="86">
      <c r="T66" s="85" t="n"/>
      <c r="U66" s="85" t="n"/>
      <c r="V66" s="85" t="n"/>
      <c r="W66" s="85" t="n"/>
      <c r="X66" s="85" t="n"/>
      <c r="Y66" s="85" t="n"/>
      <c r="Z66" s="85" t="n"/>
    </row>
    <row r="67" ht="15.75" customHeight="1" s="86">
      <c r="T67" s="85" t="n"/>
      <c r="U67" s="85" t="n"/>
      <c r="V67" s="85" t="n"/>
      <c r="W67" s="85" t="n"/>
      <c r="X67" s="85" t="n"/>
      <c r="Y67" s="85" t="n"/>
      <c r="Z67" s="85" t="n"/>
    </row>
    <row r="68" ht="15.75" customHeight="1" s="86">
      <c r="T68" s="85" t="n"/>
      <c r="U68" s="85" t="n"/>
      <c r="V68" s="85" t="n"/>
      <c r="W68" s="85" t="n"/>
      <c r="X68" s="85" t="n"/>
      <c r="Y68" s="85" t="n"/>
      <c r="Z68" s="85" t="n"/>
    </row>
    <row r="69" ht="15.75" customHeight="1" s="86">
      <c r="T69" s="85" t="n"/>
      <c r="U69" s="85" t="n"/>
      <c r="V69" s="85" t="n"/>
      <c r="W69" s="85" t="n"/>
      <c r="X69" s="85" t="n"/>
      <c r="Y69" s="85" t="n"/>
      <c r="Z69" s="85" t="n"/>
    </row>
    <row r="70" ht="15.75" customHeight="1" s="86">
      <c r="T70" s="85" t="n"/>
      <c r="U70" s="85" t="n"/>
      <c r="V70" s="85" t="n"/>
      <c r="W70" s="85" t="n"/>
      <c r="X70" s="85" t="n"/>
      <c r="Y70" s="85" t="n"/>
      <c r="Z70" s="85" t="n"/>
    </row>
    <row r="71" ht="15.75" customHeight="1" s="86">
      <c r="T71" s="85" t="n"/>
      <c r="U71" s="85" t="n"/>
      <c r="V71" s="85" t="n"/>
      <c r="W71" s="85" t="n"/>
      <c r="X71" s="85" t="n"/>
      <c r="Y71" s="85" t="n"/>
      <c r="Z71" s="85" t="n"/>
    </row>
    <row r="72" ht="15.75" customHeight="1" s="86">
      <c r="T72" s="85" t="n"/>
      <c r="U72" s="85" t="n"/>
      <c r="V72" s="85" t="n"/>
      <c r="W72" s="85" t="n"/>
      <c r="X72" s="85" t="n"/>
      <c r="Y72" s="85" t="n"/>
      <c r="Z72" s="85" t="n"/>
    </row>
    <row r="73" ht="15.75" customHeight="1" s="86">
      <c r="T73" s="85" t="n"/>
      <c r="U73" s="85" t="n"/>
      <c r="V73" s="85" t="n"/>
      <c r="W73" s="85" t="n"/>
      <c r="X73" s="85" t="n"/>
      <c r="Y73" s="85" t="n"/>
      <c r="Z73" s="85" t="n"/>
    </row>
    <row r="74" ht="15.75" customHeight="1" s="86">
      <c r="T74" s="85" t="n"/>
      <c r="U74" s="85" t="n"/>
      <c r="V74" s="85" t="n"/>
      <c r="W74" s="85" t="n"/>
      <c r="X74" s="85" t="n"/>
      <c r="Y74" s="85" t="n"/>
      <c r="Z74" s="85" t="n"/>
    </row>
    <row r="75" ht="15.75" customHeight="1" s="86">
      <c r="T75" s="85" t="n"/>
      <c r="U75" s="85" t="n"/>
      <c r="V75" s="85" t="n"/>
      <c r="W75" s="85" t="n"/>
      <c r="X75" s="85" t="n"/>
      <c r="Y75" s="85" t="n"/>
      <c r="Z75" s="85" t="n"/>
    </row>
    <row r="76" ht="15.75" customHeight="1" s="86">
      <c r="T76" s="85" t="n"/>
      <c r="U76" s="85" t="n"/>
      <c r="V76" s="85" t="n"/>
      <c r="W76" s="85" t="n"/>
      <c r="X76" s="85" t="n"/>
      <c r="Y76" s="85" t="n"/>
      <c r="Z76" s="85" t="n"/>
    </row>
    <row r="77" ht="15.75" customHeight="1" s="86">
      <c r="T77" s="85" t="n"/>
      <c r="U77" s="85" t="n"/>
      <c r="V77" s="85" t="n"/>
      <c r="W77" s="85" t="n"/>
      <c r="X77" s="85" t="n"/>
      <c r="Y77" s="85" t="n"/>
      <c r="Z77" s="85" t="n"/>
    </row>
    <row r="78" ht="15.75" customHeight="1" s="86">
      <c r="T78" s="85" t="n"/>
      <c r="U78" s="85" t="n"/>
      <c r="V78" s="85" t="n"/>
      <c r="W78" s="85" t="n"/>
      <c r="X78" s="85" t="n"/>
      <c r="Y78" s="85" t="n"/>
      <c r="Z78" s="85" t="n"/>
    </row>
    <row r="79" ht="15.75" customHeight="1" s="86">
      <c r="T79" s="85" t="n"/>
      <c r="U79" s="85" t="n"/>
      <c r="V79" s="85" t="n"/>
      <c r="W79" s="85" t="n"/>
      <c r="X79" s="85" t="n"/>
      <c r="Y79" s="85" t="n"/>
      <c r="Z79" s="85" t="n"/>
    </row>
    <row r="80" ht="15.75" customHeight="1" s="86">
      <c r="T80" s="85" t="n"/>
      <c r="U80" s="85" t="n"/>
      <c r="V80" s="85" t="n"/>
      <c r="W80" s="85" t="n"/>
      <c r="X80" s="85" t="n"/>
      <c r="Y80" s="85" t="n"/>
      <c r="Z80" s="85" t="n"/>
    </row>
    <row r="81" ht="15.75" customHeight="1" s="86">
      <c r="T81" s="85" t="n"/>
      <c r="U81" s="85" t="n"/>
      <c r="V81" s="85" t="n"/>
      <c r="W81" s="85" t="n"/>
      <c r="X81" s="85" t="n"/>
      <c r="Y81" s="85" t="n"/>
      <c r="Z81" s="85" t="n"/>
    </row>
    <row r="82" ht="15.75" customHeight="1" s="86">
      <c r="T82" s="85" t="n"/>
      <c r="U82" s="85" t="n"/>
      <c r="V82" s="85" t="n"/>
      <c r="W82" s="85" t="n"/>
      <c r="X82" s="85" t="n"/>
      <c r="Y82" s="85" t="n"/>
      <c r="Z82" s="85" t="n"/>
    </row>
    <row r="83" ht="15.75" customHeight="1" s="86">
      <c r="T83" s="85" t="n"/>
      <c r="U83" s="85" t="n"/>
      <c r="V83" s="85" t="n"/>
      <c r="W83" s="85" t="n"/>
      <c r="X83" s="85" t="n"/>
      <c r="Y83" s="85" t="n"/>
      <c r="Z83" s="85" t="n"/>
    </row>
    <row r="84" ht="15.75" customHeight="1" s="86">
      <c r="T84" s="85" t="n"/>
      <c r="U84" s="85" t="n"/>
      <c r="V84" s="85" t="n"/>
      <c r="W84" s="85" t="n"/>
      <c r="X84" s="85" t="n"/>
      <c r="Y84" s="85" t="n"/>
      <c r="Z84" s="85" t="n"/>
    </row>
    <row r="85" ht="15.75" customHeight="1" s="86">
      <c r="T85" s="85" t="n"/>
      <c r="U85" s="85" t="n"/>
      <c r="V85" s="85" t="n"/>
      <c r="W85" s="85" t="n"/>
      <c r="X85" s="85" t="n"/>
      <c r="Y85" s="85" t="n"/>
      <c r="Z85" s="85" t="n"/>
    </row>
    <row r="86" ht="15.75" customHeight="1" s="86">
      <c r="T86" s="85" t="n"/>
      <c r="U86" s="85" t="n"/>
      <c r="V86" s="85" t="n"/>
      <c r="W86" s="85" t="n"/>
      <c r="X86" s="85" t="n"/>
      <c r="Y86" s="85" t="n"/>
      <c r="Z86" s="85" t="n"/>
    </row>
    <row r="87" ht="15.75" customHeight="1" s="86">
      <c r="T87" s="85" t="n"/>
      <c r="U87" s="85" t="n"/>
      <c r="V87" s="85" t="n"/>
      <c r="W87" s="85" t="n"/>
      <c r="X87" s="85" t="n"/>
      <c r="Y87" s="85" t="n"/>
      <c r="Z87" s="85" t="n"/>
    </row>
    <row r="88" ht="15.75" customHeight="1" s="86">
      <c r="T88" s="85" t="n"/>
      <c r="U88" s="85" t="n"/>
      <c r="V88" s="85" t="n"/>
      <c r="W88" s="85" t="n"/>
      <c r="X88" s="85" t="n"/>
      <c r="Y88" s="85" t="n"/>
      <c r="Z88" s="85" t="n"/>
    </row>
    <row r="89" ht="15.75" customHeight="1" s="86">
      <c r="T89" s="85" t="n"/>
      <c r="U89" s="85" t="n"/>
      <c r="V89" s="85" t="n"/>
      <c r="W89" s="85" t="n"/>
      <c r="X89" s="85" t="n"/>
      <c r="Y89" s="85" t="n"/>
      <c r="Z89" s="85" t="n"/>
    </row>
    <row r="90" ht="15.75" customHeight="1" s="86">
      <c r="T90" s="85" t="n"/>
      <c r="U90" s="85" t="n"/>
      <c r="V90" s="85" t="n"/>
      <c r="W90" s="85" t="n"/>
      <c r="X90" s="85" t="n"/>
      <c r="Y90" s="85" t="n"/>
      <c r="Z90" s="85" t="n"/>
    </row>
    <row r="91" ht="15.75" customHeight="1" s="86">
      <c r="T91" s="85" t="n"/>
      <c r="U91" s="85" t="n"/>
      <c r="V91" s="85" t="n"/>
      <c r="W91" s="85" t="n"/>
      <c r="X91" s="85" t="n"/>
      <c r="Y91" s="85" t="n"/>
      <c r="Z91" s="85" t="n"/>
    </row>
    <row r="92" ht="15.75" customHeight="1" s="86">
      <c r="T92" s="85" t="n"/>
      <c r="U92" s="85" t="n"/>
      <c r="V92" s="85" t="n"/>
      <c r="W92" s="85" t="n"/>
      <c r="X92" s="85" t="n"/>
      <c r="Y92" s="85" t="n"/>
      <c r="Z92" s="85" t="n"/>
    </row>
    <row r="93" ht="15.75" customHeight="1" s="86">
      <c r="T93" s="85" t="n"/>
      <c r="U93" s="85" t="n"/>
      <c r="V93" s="85" t="n"/>
      <c r="W93" s="85" t="n"/>
      <c r="X93" s="85" t="n"/>
      <c r="Y93" s="85" t="n"/>
      <c r="Z93" s="85" t="n"/>
    </row>
    <row r="94" ht="15.75" customHeight="1" s="86">
      <c r="T94" s="85" t="n"/>
      <c r="U94" s="85" t="n"/>
      <c r="V94" s="85" t="n"/>
      <c r="W94" s="85" t="n"/>
      <c r="X94" s="85" t="n"/>
      <c r="Y94" s="85" t="n"/>
      <c r="Z94" s="85" t="n"/>
    </row>
    <row r="95" ht="15.75" customHeight="1" s="86">
      <c r="T95" s="85" t="n"/>
      <c r="U95" s="85" t="n"/>
      <c r="V95" s="85" t="n"/>
      <c r="W95" s="85" t="n"/>
      <c r="X95" s="85" t="n"/>
      <c r="Y95" s="85" t="n"/>
      <c r="Z95" s="85" t="n"/>
    </row>
    <row r="96" ht="15.75" customHeight="1" s="86">
      <c r="T96" s="85" t="n"/>
      <c r="U96" s="85" t="n"/>
      <c r="V96" s="85" t="n"/>
      <c r="W96" s="85" t="n"/>
      <c r="X96" s="85" t="n"/>
      <c r="Y96" s="85" t="n"/>
      <c r="Z96" s="85" t="n"/>
    </row>
    <row r="97" ht="15.75" customHeight="1" s="86">
      <c r="T97" s="85" t="n"/>
      <c r="U97" s="85" t="n"/>
      <c r="V97" s="85" t="n"/>
      <c r="W97" s="85" t="n"/>
      <c r="X97" s="85" t="n"/>
      <c r="Y97" s="85" t="n"/>
      <c r="Z97" s="85" t="n"/>
    </row>
    <row r="98" ht="15.75" customHeight="1" s="86">
      <c r="T98" s="85" t="n"/>
      <c r="U98" s="85" t="n"/>
      <c r="V98" s="85" t="n"/>
      <c r="W98" s="85" t="n"/>
      <c r="X98" s="85" t="n"/>
      <c r="Y98" s="85" t="n"/>
      <c r="Z98" s="85" t="n"/>
    </row>
    <row r="99" ht="15.75" customHeight="1" s="86">
      <c r="T99" s="85" t="n"/>
      <c r="U99" s="85" t="n"/>
      <c r="V99" s="85" t="n"/>
      <c r="W99" s="85" t="n"/>
      <c r="X99" s="85" t="n"/>
      <c r="Y99" s="85" t="n"/>
      <c r="Z99" s="85" t="n"/>
    </row>
    <row r="100" ht="15.75" customHeight="1" s="86">
      <c r="T100" s="85" t="n"/>
      <c r="U100" s="85" t="n"/>
      <c r="V100" s="85" t="n"/>
      <c r="W100" s="85" t="n"/>
      <c r="X100" s="85" t="n"/>
      <c r="Y100" s="85" t="n"/>
      <c r="Z100" s="85" t="n"/>
    </row>
    <row r="101" ht="15.75" customHeight="1" s="86">
      <c r="T101" s="85" t="n"/>
      <c r="U101" s="85" t="n"/>
      <c r="V101" s="85" t="n"/>
      <c r="W101" s="85" t="n"/>
      <c r="X101" s="85" t="n"/>
      <c r="Y101" s="85" t="n"/>
      <c r="Z101" s="85" t="n"/>
    </row>
    <row r="102" ht="15.75" customHeight="1" s="86">
      <c r="T102" s="85" t="n"/>
      <c r="U102" s="85" t="n"/>
      <c r="V102" s="85" t="n"/>
      <c r="W102" s="85" t="n"/>
      <c r="X102" s="85" t="n"/>
      <c r="Y102" s="85" t="n"/>
      <c r="Z102" s="85" t="n"/>
    </row>
    <row r="103" ht="15.75" customHeight="1" s="86">
      <c r="T103" s="85" t="n"/>
      <c r="U103" s="85" t="n"/>
      <c r="V103" s="85" t="n"/>
      <c r="W103" s="85" t="n"/>
      <c r="X103" s="85" t="n"/>
      <c r="Y103" s="85" t="n"/>
      <c r="Z103" s="85" t="n"/>
    </row>
    <row r="104" ht="15.75" customHeight="1" s="86">
      <c r="T104" s="85" t="n"/>
      <c r="U104" s="85" t="n"/>
      <c r="V104" s="85" t="n"/>
      <c r="W104" s="85" t="n"/>
      <c r="X104" s="85" t="n"/>
      <c r="Y104" s="85" t="n"/>
      <c r="Z104" s="85" t="n"/>
    </row>
    <row r="105" ht="15.75" customHeight="1" s="86">
      <c r="T105" s="85" t="n"/>
      <c r="U105" s="85" t="n"/>
      <c r="V105" s="85" t="n"/>
      <c r="W105" s="85" t="n"/>
      <c r="X105" s="85" t="n"/>
      <c r="Y105" s="85" t="n"/>
      <c r="Z105" s="85" t="n"/>
    </row>
    <row r="106" ht="15.75" customHeight="1" s="86">
      <c r="T106" s="85" t="n"/>
      <c r="U106" s="85" t="n"/>
      <c r="V106" s="85" t="n"/>
      <c r="W106" s="85" t="n"/>
      <c r="X106" s="85" t="n"/>
      <c r="Y106" s="85" t="n"/>
      <c r="Z106" s="85" t="n"/>
    </row>
    <row r="107" ht="15.75" customHeight="1" s="86">
      <c r="T107" s="85" t="n"/>
      <c r="U107" s="85" t="n"/>
      <c r="V107" s="85" t="n"/>
      <c r="W107" s="85" t="n"/>
      <c r="X107" s="85" t="n"/>
      <c r="Y107" s="85" t="n"/>
      <c r="Z107" s="85" t="n"/>
    </row>
    <row r="108" ht="15.75" customHeight="1" s="86">
      <c r="T108" s="85" t="n"/>
      <c r="U108" s="85" t="n"/>
      <c r="V108" s="85" t="n"/>
      <c r="W108" s="85" t="n"/>
      <c r="X108" s="85" t="n"/>
      <c r="Y108" s="85" t="n"/>
      <c r="Z108" s="85" t="n"/>
    </row>
    <row r="109" ht="15.75" customHeight="1" s="86">
      <c r="T109" s="85" t="n"/>
      <c r="U109" s="85" t="n"/>
      <c r="V109" s="85" t="n"/>
      <c r="W109" s="85" t="n"/>
      <c r="X109" s="85" t="n"/>
      <c r="Y109" s="85" t="n"/>
      <c r="Z109" s="85" t="n"/>
    </row>
    <row r="110" ht="15.75" customHeight="1" s="86">
      <c r="T110" s="85" t="n"/>
      <c r="U110" s="85" t="n"/>
      <c r="V110" s="85" t="n"/>
      <c r="W110" s="85" t="n"/>
      <c r="X110" s="85" t="n"/>
      <c r="Y110" s="85" t="n"/>
      <c r="Z110" s="85" t="n"/>
    </row>
    <row r="111" ht="15.75" customHeight="1" s="86">
      <c r="T111" s="85" t="n"/>
      <c r="U111" s="85" t="n"/>
      <c r="V111" s="85" t="n"/>
      <c r="W111" s="85" t="n"/>
      <c r="X111" s="85" t="n"/>
      <c r="Y111" s="85" t="n"/>
      <c r="Z111" s="85" t="n"/>
    </row>
    <row r="112" ht="15.75" customHeight="1" s="86">
      <c r="T112" s="85" t="n"/>
      <c r="U112" s="85" t="n"/>
      <c r="V112" s="85" t="n"/>
      <c r="W112" s="85" t="n"/>
      <c r="X112" s="85" t="n"/>
      <c r="Y112" s="85" t="n"/>
      <c r="Z112" s="85" t="n"/>
    </row>
    <row r="113" ht="15.75" customHeight="1" s="86">
      <c r="T113" s="85" t="n"/>
      <c r="U113" s="85" t="n"/>
      <c r="V113" s="85" t="n"/>
      <c r="W113" s="85" t="n"/>
      <c r="X113" s="85" t="n"/>
      <c r="Y113" s="85" t="n"/>
      <c r="Z113" s="85" t="n"/>
    </row>
    <row r="114" ht="15.75" customHeight="1" s="86">
      <c r="T114" s="85" t="n"/>
      <c r="U114" s="85" t="n"/>
      <c r="V114" s="85" t="n"/>
      <c r="W114" s="85" t="n"/>
      <c r="X114" s="85" t="n"/>
      <c r="Y114" s="85" t="n"/>
      <c r="Z114" s="85" t="n"/>
    </row>
    <row r="115" ht="15.75" customHeight="1" s="86">
      <c r="T115" s="85" t="n"/>
      <c r="U115" s="85" t="n"/>
      <c r="V115" s="85" t="n"/>
      <c r="W115" s="85" t="n"/>
      <c r="X115" s="85" t="n"/>
      <c r="Y115" s="85" t="n"/>
      <c r="Z115" s="85" t="n"/>
    </row>
    <row r="116" ht="15.75" customHeight="1" s="86">
      <c r="T116" s="85" t="n"/>
      <c r="U116" s="85" t="n"/>
      <c r="V116" s="85" t="n"/>
      <c r="W116" s="85" t="n"/>
      <c r="X116" s="85" t="n"/>
      <c r="Y116" s="85" t="n"/>
      <c r="Z116" s="85" t="n"/>
    </row>
    <row r="117" ht="15.75" customHeight="1" s="86">
      <c r="T117" s="85" t="n"/>
      <c r="U117" s="85" t="n"/>
      <c r="V117" s="85" t="n"/>
      <c r="W117" s="85" t="n"/>
      <c r="X117" s="85" t="n"/>
      <c r="Y117" s="85" t="n"/>
      <c r="Z117" s="85" t="n"/>
    </row>
    <row r="118" ht="15.75" customHeight="1" s="86">
      <c r="T118" s="85" t="n"/>
      <c r="U118" s="85" t="n"/>
      <c r="V118" s="85" t="n"/>
      <c r="W118" s="85" t="n"/>
      <c r="X118" s="85" t="n"/>
      <c r="Y118" s="85" t="n"/>
      <c r="Z118" s="85" t="n"/>
    </row>
    <row r="119" ht="15.75" customHeight="1" s="86">
      <c r="T119" s="85" t="n"/>
      <c r="U119" s="85" t="n"/>
      <c r="V119" s="85" t="n"/>
      <c r="W119" s="85" t="n"/>
      <c r="X119" s="85" t="n"/>
      <c r="Y119" s="85" t="n"/>
      <c r="Z119" s="85" t="n"/>
    </row>
    <row r="120" ht="15.75" customHeight="1" s="86">
      <c r="T120" s="85" t="n"/>
      <c r="U120" s="85" t="n"/>
      <c r="V120" s="85" t="n"/>
      <c r="W120" s="85" t="n"/>
      <c r="X120" s="85" t="n"/>
      <c r="Y120" s="85" t="n"/>
      <c r="Z120" s="85" t="n"/>
    </row>
    <row r="121" ht="15.75" customHeight="1" s="86">
      <c r="T121" s="85" t="n"/>
      <c r="U121" s="85" t="n"/>
      <c r="V121" s="85" t="n"/>
      <c r="W121" s="85" t="n"/>
      <c r="X121" s="85" t="n"/>
      <c r="Y121" s="85" t="n"/>
      <c r="Z121" s="85" t="n"/>
    </row>
    <row r="122" ht="15.75" customHeight="1" s="86">
      <c r="T122" s="85" t="n"/>
      <c r="U122" s="85" t="n"/>
      <c r="V122" s="85" t="n"/>
      <c r="W122" s="85" t="n"/>
      <c r="X122" s="85" t="n"/>
      <c r="Y122" s="85" t="n"/>
      <c r="Z122" s="85" t="n"/>
    </row>
    <row r="123" ht="15.75" customHeight="1" s="86">
      <c r="T123" s="85" t="n"/>
      <c r="U123" s="85" t="n"/>
      <c r="V123" s="85" t="n"/>
      <c r="W123" s="85" t="n"/>
      <c r="X123" s="85" t="n"/>
      <c r="Y123" s="85" t="n"/>
      <c r="Z123" s="85" t="n"/>
    </row>
    <row r="124" ht="15.75" customHeight="1" s="86">
      <c r="T124" s="85" t="n"/>
      <c r="U124" s="85" t="n"/>
      <c r="V124" s="85" t="n"/>
      <c r="W124" s="85" t="n"/>
      <c r="X124" s="85" t="n"/>
      <c r="Y124" s="85" t="n"/>
      <c r="Z124" s="85" t="n"/>
    </row>
    <row r="125" ht="15.75" customHeight="1" s="86">
      <c r="T125" s="85" t="n"/>
      <c r="U125" s="85" t="n"/>
      <c r="V125" s="85" t="n"/>
      <c r="W125" s="85" t="n"/>
      <c r="X125" s="85" t="n"/>
      <c r="Y125" s="85" t="n"/>
      <c r="Z125" s="85" t="n"/>
    </row>
    <row r="126" ht="15.75" customHeight="1" s="86">
      <c r="T126" s="85" t="n"/>
      <c r="U126" s="85" t="n"/>
      <c r="V126" s="85" t="n"/>
      <c r="W126" s="85" t="n"/>
      <c r="X126" s="85" t="n"/>
      <c r="Y126" s="85" t="n"/>
      <c r="Z126" s="85" t="n"/>
    </row>
    <row r="127" ht="15.75" customHeight="1" s="86">
      <c r="T127" s="85" t="n"/>
      <c r="U127" s="85" t="n"/>
      <c r="V127" s="85" t="n"/>
      <c r="W127" s="85" t="n"/>
      <c r="X127" s="85" t="n"/>
      <c r="Y127" s="85" t="n"/>
      <c r="Z127" s="85" t="n"/>
    </row>
    <row r="128" ht="15.75" customHeight="1" s="86">
      <c r="T128" s="85" t="n"/>
      <c r="U128" s="85" t="n"/>
      <c r="V128" s="85" t="n"/>
      <c r="W128" s="85" t="n"/>
      <c r="X128" s="85" t="n"/>
      <c r="Y128" s="85" t="n"/>
      <c r="Z128" s="85" t="n"/>
    </row>
    <row r="129" ht="15.75" customHeight="1" s="86">
      <c r="T129" s="85" t="n"/>
      <c r="U129" s="85" t="n"/>
      <c r="V129" s="85" t="n"/>
      <c r="W129" s="85" t="n"/>
      <c r="X129" s="85" t="n"/>
      <c r="Y129" s="85" t="n"/>
      <c r="Z129" s="85" t="n"/>
    </row>
    <row r="130" ht="15.75" customHeight="1" s="86">
      <c r="T130" s="85" t="n"/>
      <c r="U130" s="85" t="n"/>
      <c r="V130" s="85" t="n"/>
      <c r="W130" s="85" t="n"/>
      <c r="X130" s="85" t="n"/>
      <c r="Y130" s="85" t="n"/>
      <c r="Z130" s="85" t="n"/>
    </row>
    <row r="131" ht="15.75" customHeight="1" s="86">
      <c r="T131" s="85" t="n"/>
      <c r="U131" s="85" t="n"/>
      <c r="V131" s="85" t="n"/>
      <c r="W131" s="85" t="n"/>
      <c r="X131" s="85" t="n"/>
      <c r="Y131" s="85" t="n"/>
      <c r="Z131" s="85" t="n"/>
    </row>
    <row r="132" ht="15.75" customHeight="1" s="86">
      <c r="T132" s="85" t="n"/>
      <c r="U132" s="85" t="n"/>
      <c r="V132" s="85" t="n"/>
      <c r="W132" s="85" t="n"/>
      <c r="X132" s="85" t="n"/>
      <c r="Y132" s="85" t="n"/>
      <c r="Z132" s="85" t="n"/>
    </row>
    <row r="133" ht="15.75" customHeight="1" s="86">
      <c r="T133" s="85" t="n"/>
      <c r="U133" s="85" t="n"/>
      <c r="V133" s="85" t="n"/>
      <c r="W133" s="85" t="n"/>
      <c r="X133" s="85" t="n"/>
      <c r="Y133" s="85" t="n"/>
      <c r="Z133" s="85" t="n"/>
    </row>
    <row r="134" ht="15.75" customHeight="1" s="86">
      <c r="T134" s="85" t="n"/>
      <c r="U134" s="85" t="n"/>
      <c r="V134" s="85" t="n"/>
      <c r="W134" s="85" t="n"/>
      <c r="X134" s="85" t="n"/>
      <c r="Y134" s="85" t="n"/>
      <c r="Z134" s="85" t="n"/>
    </row>
    <row r="135" ht="15.75" customHeight="1" s="86">
      <c r="T135" s="85" t="n"/>
      <c r="U135" s="85" t="n"/>
      <c r="V135" s="85" t="n"/>
      <c r="W135" s="85" t="n"/>
      <c r="X135" s="85" t="n"/>
      <c r="Y135" s="85" t="n"/>
      <c r="Z135" s="85" t="n"/>
    </row>
    <row r="136" ht="15.75" customHeight="1" s="86">
      <c r="T136" s="85" t="n"/>
      <c r="U136" s="85" t="n"/>
      <c r="V136" s="85" t="n"/>
      <c r="W136" s="85" t="n"/>
      <c r="X136" s="85" t="n"/>
      <c r="Y136" s="85" t="n"/>
      <c r="Z136" s="85" t="n"/>
    </row>
    <row r="137" ht="15.75" customHeight="1" s="86">
      <c r="T137" s="85" t="n"/>
      <c r="U137" s="85" t="n"/>
      <c r="V137" s="85" t="n"/>
      <c r="W137" s="85" t="n"/>
      <c r="X137" s="85" t="n"/>
      <c r="Y137" s="85" t="n"/>
      <c r="Z137" s="85" t="n"/>
    </row>
    <row r="138" ht="15.75" customHeight="1" s="86">
      <c r="T138" s="85" t="n"/>
      <c r="U138" s="85" t="n"/>
      <c r="V138" s="85" t="n"/>
      <c r="W138" s="85" t="n"/>
      <c r="X138" s="85" t="n"/>
      <c r="Y138" s="85" t="n"/>
      <c r="Z138" s="85" t="n"/>
    </row>
    <row r="139" ht="15.75" customHeight="1" s="86">
      <c r="T139" s="85" t="n"/>
      <c r="U139" s="85" t="n"/>
      <c r="V139" s="85" t="n"/>
      <c r="W139" s="85" t="n"/>
      <c r="X139" s="85" t="n"/>
      <c r="Y139" s="85" t="n"/>
      <c r="Z139" s="85" t="n"/>
    </row>
    <row r="140" ht="15.75" customHeight="1" s="86">
      <c r="T140" s="85" t="n"/>
      <c r="U140" s="85" t="n"/>
      <c r="V140" s="85" t="n"/>
      <c r="W140" s="85" t="n"/>
      <c r="X140" s="85" t="n"/>
      <c r="Y140" s="85" t="n"/>
      <c r="Z140" s="85" t="n"/>
    </row>
    <row r="141" ht="15.75" customHeight="1" s="86">
      <c r="T141" s="85" t="n"/>
      <c r="U141" s="85" t="n"/>
      <c r="V141" s="85" t="n"/>
      <c r="W141" s="85" t="n"/>
      <c r="X141" s="85" t="n"/>
      <c r="Y141" s="85" t="n"/>
      <c r="Z141" s="85" t="n"/>
    </row>
    <row r="142" ht="15.75" customHeight="1" s="86">
      <c r="T142" s="85" t="n"/>
      <c r="U142" s="85" t="n"/>
      <c r="V142" s="85" t="n"/>
      <c r="W142" s="85" t="n"/>
      <c r="X142" s="85" t="n"/>
      <c r="Y142" s="85" t="n"/>
      <c r="Z142" s="85" t="n"/>
    </row>
    <row r="143" ht="15.75" customHeight="1" s="86">
      <c r="T143" s="85" t="n"/>
      <c r="U143" s="85" t="n"/>
      <c r="V143" s="85" t="n"/>
      <c r="W143" s="85" t="n"/>
      <c r="X143" s="85" t="n"/>
      <c r="Y143" s="85" t="n"/>
      <c r="Z143" s="85" t="n"/>
    </row>
    <row r="144" ht="15.75" customHeight="1" s="86">
      <c r="T144" s="85" t="n"/>
      <c r="U144" s="85" t="n"/>
      <c r="V144" s="85" t="n"/>
      <c r="W144" s="85" t="n"/>
      <c r="X144" s="85" t="n"/>
      <c r="Y144" s="85" t="n"/>
      <c r="Z144" s="85" t="n"/>
    </row>
    <row r="145" ht="15.75" customHeight="1" s="86">
      <c r="T145" s="85" t="n"/>
      <c r="U145" s="85" t="n"/>
      <c r="V145" s="85" t="n"/>
      <c r="W145" s="85" t="n"/>
      <c r="X145" s="85" t="n"/>
      <c r="Y145" s="85" t="n"/>
      <c r="Z145" s="85" t="n"/>
    </row>
    <row r="146" ht="15.75" customHeight="1" s="86">
      <c r="T146" s="85" t="n"/>
      <c r="U146" s="85" t="n"/>
      <c r="V146" s="85" t="n"/>
      <c r="W146" s="85" t="n"/>
      <c r="X146" s="85" t="n"/>
      <c r="Y146" s="85" t="n"/>
      <c r="Z146" s="85" t="n"/>
    </row>
    <row r="147" ht="15.75" customHeight="1" s="86">
      <c r="T147" s="85" t="n"/>
      <c r="U147" s="85" t="n"/>
      <c r="V147" s="85" t="n"/>
      <c r="W147" s="85" t="n"/>
      <c r="X147" s="85" t="n"/>
      <c r="Y147" s="85" t="n"/>
      <c r="Z147" s="85" t="n"/>
    </row>
    <row r="148" ht="15.75" customHeight="1" s="86">
      <c r="T148" s="85" t="n"/>
      <c r="U148" s="85" t="n"/>
      <c r="V148" s="85" t="n"/>
      <c r="W148" s="85" t="n"/>
      <c r="X148" s="85" t="n"/>
      <c r="Y148" s="85" t="n"/>
      <c r="Z148" s="85" t="n"/>
    </row>
    <row r="149" ht="15.75" customHeight="1" s="86">
      <c r="T149" s="85" t="n"/>
      <c r="U149" s="85" t="n"/>
      <c r="V149" s="85" t="n"/>
      <c r="W149" s="85" t="n"/>
      <c r="X149" s="85" t="n"/>
      <c r="Y149" s="85" t="n"/>
      <c r="Z149" s="85" t="n"/>
    </row>
    <row r="150" ht="15.75" customHeight="1" s="86">
      <c r="T150" s="85" t="n"/>
      <c r="U150" s="85" t="n"/>
      <c r="V150" s="85" t="n"/>
      <c r="W150" s="85" t="n"/>
      <c r="X150" s="85" t="n"/>
      <c r="Y150" s="85" t="n"/>
      <c r="Z150" s="85" t="n"/>
    </row>
    <row r="151" ht="15.75" customHeight="1" s="86">
      <c r="T151" s="85" t="n"/>
      <c r="U151" s="85" t="n"/>
      <c r="V151" s="85" t="n"/>
      <c r="W151" s="85" t="n"/>
      <c r="X151" s="85" t="n"/>
      <c r="Y151" s="85" t="n"/>
      <c r="Z151" s="85" t="n"/>
    </row>
    <row r="152" ht="15.75" customHeight="1" s="86">
      <c r="T152" s="85" t="n"/>
      <c r="U152" s="85" t="n"/>
      <c r="V152" s="85" t="n"/>
      <c r="W152" s="85" t="n"/>
      <c r="X152" s="85" t="n"/>
      <c r="Y152" s="85" t="n"/>
      <c r="Z152" s="85" t="n"/>
    </row>
    <row r="153" ht="15.75" customHeight="1" s="86">
      <c r="T153" s="85" t="n"/>
      <c r="U153" s="85" t="n"/>
      <c r="V153" s="85" t="n"/>
      <c r="W153" s="85" t="n"/>
      <c r="X153" s="85" t="n"/>
      <c r="Y153" s="85" t="n"/>
      <c r="Z153" s="85" t="n"/>
    </row>
    <row r="154" ht="15.75" customHeight="1" s="86">
      <c r="T154" s="85" t="n"/>
      <c r="U154" s="85" t="n"/>
      <c r="V154" s="85" t="n"/>
      <c r="W154" s="85" t="n"/>
      <c r="X154" s="85" t="n"/>
      <c r="Y154" s="85" t="n"/>
      <c r="Z154" s="85" t="n"/>
    </row>
    <row r="155" ht="15.75" customHeight="1" s="86">
      <c r="T155" s="85" t="n"/>
      <c r="U155" s="85" t="n"/>
      <c r="V155" s="85" t="n"/>
      <c r="W155" s="85" t="n"/>
      <c r="X155" s="85" t="n"/>
      <c r="Y155" s="85" t="n"/>
      <c r="Z155" s="85" t="n"/>
    </row>
    <row r="156" ht="15.75" customHeight="1" s="86">
      <c r="T156" s="85" t="n"/>
      <c r="U156" s="85" t="n"/>
      <c r="V156" s="85" t="n"/>
      <c r="W156" s="85" t="n"/>
      <c r="X156" s="85" t="n"/>
      <c r="Y156" s="85" t="n"/>
      <c r="Z156" s="85" t="n"/>
    </row>
    <row r="157" ht="15.75" customHeight="1" s="86">
      <c r="T157" s="85" t="n"/>
      <c r="U157" s="85" t="n"/>
      <c r="V157" s="85" t="n"/>
      <c r="W157" s="85" t="n"/>
      <c r="X157" s="85" t="n"/>
      <c r="Y157" s="85" t="n"/>
      <c r="Z157" s="85" t="n"/>
    </row>
    <row r="158" ht="15.75" customHeight="1" s="86">
      <c r="T158" s="85" t="n"/>
      <c r="U158" s="85" t="n"/>
      <c r="V158" s="85" t="n"/>
      <c r="W158" s="85" t="n"/>
      <c r="X158" s="85" t="n"/>
      <c r="Y158" s="85" t="n"/>
      <c r="Z158" s="85" t="n"/>
    </row>
    <row r="159" ht="15.75" customHeight="1" s="86">
      <c r="T159" s="85" t="n"/>
      <c r="U159" s="85" t="n"/>
      <c r="V159" s="85" t="n"/>
      <c r="W159" s="85" t="n"/>
      <c r="X159" s="85" t="n"/>
      <c r="Y159" s="85" t="n"/>
      <c r="Z159" s="85" t="n"/>
    </row>
    <row r="160" ht="15.75" customHeight="1" s="86">
      <c r="T160" s="85" t="n"/>
      <c r="U160" s="85" t="n"/>
      <c r="V160" s="85" t="n"/>
      <c r="W160" s="85" t="n"/>
      <c r="X160" s="85" t="n"/>
      <c r="Y160" s="85" t="n"/>
      <c r="Z160" s="85" t="n"/>
    </row>
    <row r="161" ht="15.75" customHeight="1" s="86">
      <c r="T161" s="85" t="n"/>
      <c r="U161" s="85" t="n"/>
      <c r="V161" s="85" t="n"/>
      <c r="W161" s="85" t="n"/>
      <c r="X161" s="85" t="n"/>
      <c r="Y161" s="85" t="n"/>
      <c r="Z161" s="85" t="n"/>
    </row>
    <row r="162" ht="15.75" customHeight="1" s="86">
      <c r="T162" s="85" t="n"/>
      <c r="U162" s="85" t="n"/>
      <c r="V162" s="85" t="n"/>
      <c r="W162" s="85" t="n"/>
      <c r="X162" s="85" t="n"/>
      <c r="Y162" s="85" t="n"/>
      <c r="Z162" s="85" t="n"/>
    </row>
    <row r="163" ht="15.75" customHeight="1" s="86">
      <c r="T163" s="85" t="n"/>
      <c r="U163" s="85" t="n"/>
      <c r="V163" s="85" t="n"/>
      <c r="W163" s="85" t="n"/>
      <c r="X163" s="85" t="n"/>
      <c r="Y163" s="85" t="n"/>
      <c r="Z163" s="85" t="n"/>
    </row>
    <row r="164" ht="15.75" customHeight="1" s="86">
      <c r="T164" s="85" t="n"/>
      <c r="U164" s="85" t="n"/>
      <c r="V164" s="85" t="n"/>
      <c r="W164" s="85" t="n"/>
      <c r="X164" s="85" t="n"/>
      <c r="Y164" s="85" t="n"/>
      <c r="Z164" s="85" t="n"/>
    </row>
    <row r="165" ht="15.75" customHeight="1" s="86">
      <c r="T165" s="85" t="n"/>
      <c r="U165" s="85" t="n"/>
      <c r="V165" s="85" t="n"/>
      <c r="W165" s="85" t="n"/>
      <c r="X165" s="85" t="n"/>
      <c r="Y165" s="85" t="n"/>
      <c r="Z165" s="85" t="n"/>
    </row>
    <row r="166" ht="15.75" customHeight="1" s="86">
      <c r="T166" s="85" t="n"/>
      <c r="U166" s="85" t="n"/>
      <c r="V166" s="85" t="n"/>
      <c r="W166" s="85" t="n"/>
      <c r="X166" s="85" t="n"/>
      <c r="Y166" s="85" t="n"/>
      <c r="Z166" s="85" t="n"/>
    </row>
    <row r="167" ht="15.75" customHeight="1" s="86">
      <c r="T167" s="85" t="n"/>
      <c r="U167" s="85" t="n"/>
      <c r="V167" s="85" t="n"/>
      <c r="W167" s="85" t="n"/>
      <c r="X167" s="85" t="n"/>
      <c r="Y167" s="85" t="n"/>
      <c r="Z167" s="85" t="n"/>
    </row>
    <row r="168" ht="15.75" customHeight="1" s="86">
      <c r="T168" s="85" t="n"/>
      <c r="U168" s="85" t="n"/>
      <c r="V168" s="85" t="n"/>
      <c r="W168" s="85" t="n"/>
      <c r="X168" s="85" t="n"/>
      <c r="Y168" s="85" t="n"/>
      <c r="Z168" s="85" t="n"/>
    </row>
    <row r="169" ht="15.75" customHeight="1" s="86">
      <c r="T169" s="85" t="n"/>
      <c r="U169" s="85" t="n"/>
      <c r="V169" s="85" t="n"/>
      <c r="W169" s="85" t="n"/>
      <c r="X169" s="85" t="n"/>
      <c r="Y169" s="85" t="n"/>
      <c r="Z169" s="85" t="n"/>
    </row>
    <row r="170" ht="15.75" customHeight="1" s="86">
      <c r="T170" s="85" t="n"/>
      <c r="U170" s="85" t="n"/>
      <c r="V170" s="85" t="n"/>
      <c r="W170" s="85" t="n"/>
      <c r="X170" s="85" t="n"/>
      <c r="Y170" s="85" t="n"/>
      <c r="Z170" s="85" t="n"/>
    </row>
    <row r="171" ht="15.75" customHeight="1" s="86">
      <c r="T171" s="85" t="n"/>
      <c r="U171" s="85" t="n"/>
      <c r="V171" s="85" t="n"/>
      <c r="W171" s="85" t="n"/>
      <c r="X171" s="85" t="n"/>
      <c r="Y171" s="85" t="n"/>
      <c r="Z171" s="85" t="n"/>
    </row>
    <row r="172" ht="15.75" customHeight="1" s="86">
      <c r="T172" s="85" t="n"/>
      <c r="U172" s="85" t="n"/>
      <c r="V172" s="85" t="n"/>
      <c r="W172" s="85" t="n"/>
      <c r="X172" s="85" t="n"/>
      <c r="Y172" s="85" t="n"/>
      <c r="Z172" s="85" t="n"/>
    </row>
    <row r="173" ht="15.75" customHeight="1" s="86">
      <c r="T173" s="85" t="n"/>
      <c r="U173" s="85" t="n"/>
      <c r="V173" s="85" t="n"/>
      <c r="W173" s="85" t="n"/>
      <c r="X173" s="85" t="n"/>
      <c r="Y173" s="85" t="n"/>
      <c r="Z173" s="85" t="n"/>
    </row>
    <row r="174" ht="15.75" customHeight="1" s="86">
      <c r="T174" s="85" t="n"/>
      <c r="U174" s="85" t="n"/>
      <c r="V174" s="85" t="n"/>
      <c r="W174" s="85" t="n"/>
      <c r="X174" s="85" t="n"/>
      <c r="Y174" s="85" t="n"/>
      <c r="Z174" s="85" t="n"/>
    </row>
    <row r="175" ht="15.75" customHeight="1" s="86">
      <c r="T175" s="85" t="n"/>
      <c r="U175" s="85" t="n"/>
      <c r="V175" s="85" t="n"/>
      <c r="W175" s="85" t="n"/>
      <c r="X175" s="85" t="n"/>
      <c r="Y175" s="85" t="n"/>
      <c r="Z175" s="85" t="n"/>
    </row>
    <row r="176" ht="15.75" customHeight="1" s="86">
      <c r="T176" s="85" t="n"/>
      <c r="U176" s="85" t="n"/>
      <c r="V176" s="85" t="n"/>
      <c r="W176" s="85" t="n"/>
      <c r="X176" s="85" t="n"/>
      <c r="Y176" s="85" t="n"/>
      <c r="Z176" s="85" t="n"/>
    </row>
    <row r="177" ht="15.75" customHeight="1" s="86">
      <c r="T177" s="85" t="n"/>
      <c r="U177" s="85" t="n"/>
      <c r="V177" s="85" t="n"/>
      <c r="W177" s="85" t="n"/>
      <c r="X177" s="85" t="n"/>
      <c r="Y177" s="85" t="n"/>
      <c r="Z177" s="85" t="n"/>
    </row>
    <row r="178" ht="15.75" customHeight="1" s="86">
      <c r="T178" s="85" t="n"/>
      <c r="U178" s="85" t="n"/>
      <c r="V178" s="85" t="n"/>
      <c r="W178" s="85" t="n"/>
      <c r="X178" s="85" t="n"/>
      <c r="Y178" s="85" t="n"/>
      <c r="Z178" s="85" t="n"/>
    </row>
    <row r="179" ht="15.75" customHeight="1" s="86">
      <c r="T179" s="85" t="n"/>
      <c r="U179" s="85" t="n"/>
      <c r="V179" s="85" t="n"/>
      <c r="W179" s="85" t="n"/>
      <c r="X179" s="85" t="n"/>
      <c r="Y179" s="85" t="n"/>
      <c r="Z179" s="85" t="n"/>
    </row>
    <row r="180" ht="15.75" customHeight="1" s="86">
      <c r="T180" s="85" t="n"/>
      <c r="U180" s="85" t="n"/>
      <c r="V180" s="85" t="n"/>
      <c r="W180" s="85" t="n"/>
      <c r="X180" s="85" t="n"/>
      <c r="Y180" s="85" t="n"/>
      <c r="Z180" s="85" t="n"/>
    </row>
    <row r="181" ht="15.75" customHeight="1" s="86">
      <c r="T181" s="85" t="n"/>
      <c r="U181" s="85" t="n"/>
      <c r="V181" s="85" t="n"/>
      <c r="W181" s="85" t="n"/>
      <c r="X181" s="85" t="n"/>
      <c r="Y181" s="85" t="n"/>
      <c r="Z181" s="85" t="n"/>
    </row>
    <row r="182" ht="15.75" customHeight="1" s="86">
      <c r="T182" s="85" t="n"/>
      <c r="U182" s="85" t="n"/>
      <c r="V182" s="85" t="n"/>
      <c r="W182" s="85" t="n"/>
      <c r="X182" s="85" t="n"/>
      <c r="Y182" s="85" t="n"/>
      <c r="Z182" s="85" t="n"/>
    </row>
    <row r="183" ht="15.75" customHeight="1" s="86">
      <c r="T183" s="85" t="n"/>
      <c r="U183" s="85" t="n"/>
      <c r="V183" s="85" t="n"/>
      <c r="W183" s="85" t="n"/>
      <c r="X183" s="85" t="n"/>
      <c r="Y183" s="85" t="n"/>
      <c r="Z183" s="85" t="n"/>
    </row>
    <row r="184" ht="15.75" customHeight="1" s="86">
      <c r="T184" s="85" t="n"/>
      <c r="U184" s="85" t="n"/>
      <c r="V184" s="85" t="n"/>
      <c r="W184" s="85" t="n"/>
      <c r="X184" s="85" t="n"/>
      <c r="Y184" s="85" t="n"/>
      <c r="Z184" s="85" t="n"/>
    </row>
    <row r="185" ht="15.75" customHeight="1" s="86">
      <c r="T185" s="85" t="n"/>
      <c r="U185" s="85" t="n"/>
      <c r="V185" s="85" t="n"/>
      <c r="W185" s="85" t="n"/>
      <c r="X185" s="85" t="n"/>
      <c r="Y185" s="85" t="n"/>
      <c r="Z185" s="85" t="n"/>
    </row>
    <row r="186" ht="15.75" customHeight="1" s="86">
      <c r="T186" s="85" t="n"/>
      <c r="U186" s="85" t="n"/>
      <c r="V186" s="85" t="n"/>
      <c r="W186" s="85" t="n"/>
      <c r="X186" s="85" t="n"/>
      <c r="Y186" s="85" t="n"/>
      <c r="Z186" s="85" t="n"/>
    </row>
    <row r="187" ht="15.75" customHeight="1" s="86">
      <c r="T187" s="85" t="n"/>
      <c r="U187" s="85" t="n"/>
      <c r="V187" s="85" t="n"/>
      <c r="W187" s="85" t="n"/>
      <c r="X187" s="85" t="n"/>
      <c r="Y187" s="85" t="n"/>
      <c r="Z187" s="85" t="n"/>
    </row>
    <row r="188" ht="15.75" customHeight="1" s="86">
      <c r="T188" s="85" t="n"/>
      <c r="U188" s="85" t="n"/>
      <c r="V188" s="85" t="n"/>
      <c r="W188" s="85" t="n"/>
      <c r="X188" s="85" t="n"/>
      <c r="Y188" s="85" t="n"/>
      <c r="Z188" s="85" t="n"/>
    </row>
    <row r="189" ht="15.75" customHeight="1" s="86">
      <c r="T189" s="85" t="n"/>
      <c r="U189" s="85" t="n"/>
      <c r="V189" s="85" t="n"/>
      <c r="W189" s="85" t="n"/>
      <c r="X189" s="85" t="n"/>
      <c r="Y189" s="85" t="n"/>
      <c r="Z189" s="85" t="n"/>
    </row>
    <row r="190" ht="15.75" customHeight="1" s="86">
      <c r="T190" s="85" t="n"/>
      <c r="U190" s="85" t="n"/>
      <c r="V190" s="85" t="n"/>
      <c r="W190" s="85" t="n"/>
      <c r="X190" s="85" t="n"/>
      <c r="Y190" s="85" t="n"/>
      <c r="Z190" s="85" t="n"/>
    </row>
    <row r="191" ht="15.75" customHeight="1" s="86">
      <c r="T191" s="85" t="n"/>
      <c r="U191" s="85" t="n"/>
      <c r="V191" s="85" t="n"/>
      <c r="W191" s="85" t="n"/>
      <c r="X191" s="85" t="n"/>
      <c r="Y191" s="85" t="n"/>
      <c r="Z191" s="85" t="n"/>
    </row>
    <row r="192" ht="15.75" customHeight="1" s="86">
      <c r="T192" s="85" t="n"/>
      <c r="U192" s="85" t="n"/>
      <c r="V192" s="85" t="n"/>
      <c r="W192" s="85" t="n"/>
      <c r="X192" s="85" t="n"/>
      <c r="Y192" s="85" t="n"/>
      <c r="Z192" s="85" t="n"/>
    </row>
    <row r="193" ht="15.75" customHeight="1" s="86">
      <c r="T193" s="85" t="n"/>
      <c r="U193" s="85" t="n"/>
      <c r="V193" s="85" t="n"/>
      <c r="W193" s="85" t="n"/>
      <c r="X193" s="85" t="n"/>
      <c r="Y193" s="85" t="n"/>
      <c r="Z193" s="85" t="n"/>
    </row>
    <row r="194" ht="15.75" customHeight="1" s="86">
      <c r="T194" s="85" t="n"/>
      <c r="U194" s="85" t="n"/>
      <c r="V194" s="85" t="n"/>
      <c r="W194" s="85" t="n"/>
      <c r="X194" s="85" t="n"/>
      <c r="Y194" s="85" t="n"/>
      <c r="Z194" s="85" t="n"/>
    </row>
    <row r="195" ht="15.75" customHeight="1" s="86">
      <c r="T195" s="85" t="n"/>
      <c r="U195" s="85" t="n"/>
      <c r="V195" s="85" t="n"/>
      <c r="W195" s="85" t="n"/>
      <c r="X195" s="85" t="n"/>
      <c r="Y195" s="85" t="n"/>
      <c r="Z195" s="85" t="n"/>
    </row>
    <row r="196" ht="15.75" customHeight="1" s="86">
      <c r="T196" s="85" t="n"/>
      <c r="U196" s="85" t="n"/>
      <c r="V196" s="85" t="n"/>
      <c r="W196" s="85" t="n"/>
      <c r="X196" s="85" t="n"/>
      <c r="Y196" s="85" t="n"/>
      <c r="Z196" s="85" t="n"/>
    </row>
    <row r="197" ht="15.75" customHeight="1" s="86">
      <c r="T197" s="85" t="n"/>
      <c r="U197" s="85" t="n"/>
      <c r="V197" s="85" t="n"/>
      <c r="W197" s="85" t="n"/>
      <c r="X197" s="85" t="n"/>
      <c r="Y197" s="85" t="n"/>
      <c r="Z197" s="85" t="n"/>
    </row>
    <row r="198" ht="15.75" customHeight="1" s="86">
      <c r="T198" s="85" t="n"/>
      <c r="U198" s="85" t="n"/>
      <c r="V198" s="85" t="n"/>
      <c r="W198" s="85" t="n"/>
      <c r="X198" s="85" t="n"/>
      <c r="Y198" s="85" t="n"/>
      <c r="Z198" s="85" t="n"/>
    </row>
    <row r="199" ht="15.75" customHeight="1" s="86">
      <c r="T199" s="85" t="n"/>
      <c r="U199" s="85" t="n"/>
      <c r="V199" s="85" t="n"/>
      <c r="W199" s="85" t="n"/>
      <c r="X199" s="85" t="n"/>
      <c r="Y199" s="85" t="n"/>
      <c r="Z199" s="85" t="n"/>
    </row>
    <row r="200" ht="15.75" customHeight="1" s="86">
      <c r="T200" s="85" t="n"/>
      <c r="U200" s="85" t="n"/>
      <c r="V200" s="85" t="n"/>
      <c r="W200" s="85" t="n"/>
      <c r="X200" s="85" t="n"/>
      <c r="Y200" s="85" t="n"/>
      <c r="Z200" s="85" t="n"/>
    </row>
    <row r="201" ht="15.75" customHeight="1" s="86">
      <c r="T201" s="85" t="n"/>
      <c r="U201" s="85" t="n"/>
      <c r="V201" s="85" t="n"/>
      <c r="W201" s="85" t="n"/>
      <c r="X201" s="85" t="n"/>
      <c r="Y201" s="85" t="n"/>
      <c r="Z201" s="85" t="n"/>
    </row>
    <row r="202" ht="15.75" customHeight="1" s="86">
      <c r="T202" s="85" t="n"/>
      <c r="U202" s="85" t="n"/>
      <c r="V202" s="85" t="n"/>
      <c r="W202" s="85" t="n"/>
      <c r="X202" s="85" t="n"/>
      <c r="Y202" s="85" t="n"/>
      <c r="Z202" s="85" t="n"/>
    </row>
    <row r="203" ht="15.75" customHeight="1" s="86">
      <c r="T203" s="85" t="n"/>
      <c r="U203" s="85" t="n"/>
      <c r="V203" s="85" t="n"/>
      <c r="W203" s="85" t="n"/>
      <c r="X203" s="85" t="n"/>
      <c r="Y203" s="85" t="n"/>
      <c r="Z203" s="85" t="n"/>
    </row>
    <row r="204" ht="15.75" customHeight="1" s="86">
      <c r="T204" s="85" t="n"/>
      <c r="U204" s="85" t="n"/>
      <c r="V204" s="85" t="n"/>
      <c r="W204" s="85" t="n"/>
      <c r="X204" s="85" t="n"/>
      <c r="Y204" s="85" t="n"/>
      <c r="Z204" s="85" t="n"/>
    </row>
    <row r="205" ht="15.75" customHeight="1" s="86">
      <c r="T205" s="85" t="n"/>
      <c r="U205" s="85" t="n"/>
      <c r="V205" s="85" t="n"/>
      <c r="W205" s="85" t="n"/>
      <c r="X205" s="85" t="n"/>
      <c r="Y205" s="85" t="n"/>
      <c r="Z205" s="85" t="n"/>
    </row>
    <row r="206" ht="15.75" customHeight="1" s="86">
      <c r="T206" s="85" t="n"/>
      <c r="U206" s="85" t="n"/>
      <c r="V206" s="85" t="n"/>
      <c r="W206" s="85" t="n"/>
      <c r="X206" s="85" t="n"/>
      <c r="Y206" s="85" t="n"/>
      <c r="Z206" s="85" t="n"/>
    </row>
    <row r="207" ht="15.75" customHeight="1" s="86">
      <c r="T207" s="85" t="n"/>
      <c r="U207" s="85" t="n"/>
      <c r="V207" s="85" t="n"/>
      <c r="W207" s="85" t="n"/>
      <c r="X207" s="85" t="n"/>
      <c r="Y207" s="85" t="n"/>
      <c r="Z207" s="85" t="n"/>
    </row>
    <row r="208" ht="15.75" customHeight="1" s="86">
      <c r="T208" s="85" t="n"/>
      <c r="U208" s="85" t="n"/>
      <c r="V208" s="85" t="n"/>
      <c r="W208" s="85" t="n"/>
      <c r="X208" s="85" t="n"/>
      <c r="Y208" s="85" t="n"/>
      <c r="Z208" s="85" t="n"/>
    </row>
    <row r="209" ht="15.75" customHeight="1" s="86">
      <c r="T209" s="85" t="n"/>
      <c r="U209" s="85" t="n"/>
      <c r="V209" s="85" t="n"/>
      <c r="W209" s="85" t="n"/>
      <c r="X209" s="85" t="n"/>
      <c r="Y209" s="85" t="n"/>
      <c r="Z209" s="85" t="n"/>
    </row>
    <row r="210" ht="15.75" customHeight="1" s="86">
      <c r="T210" s="85" t="n"/>
      <c r="U210" s="85" t="n"/>
      <c r="V210" s="85" t="n"/>
      <c r="W210" s="85" t="n"/>
      <c r="X210" s="85" t="n"/>
      <c r="Y210" s="85" t="n"/>
      <c r="Z210" s="85" t="n"/>
    </row>
    <row r="211" ht="15.75" customHeight="1" s="86">
      <c r="T211" s="85" t="n"/>
      <c r="U211" s="85" t="n"/>
      <c r="V211" s="85" t="n"/>
      <c r="W211" s="85" t="n"/>
      <c r="X211" s="85" t="n"/>
      <c r="Y211" s="85" t="n"/>
      <c r="Z211" s="85" t="n"/>
    </row>
    <row r="212" ht="15.75" customHeight="1" s="86">
      <c r="T212" s="85" t="n"/>
      <c r="U212" s="85" t="n"/>
      <c r="V212" s="85" t="n"/>
      <c r="W212" s="85" t="n"/>
      <c r="X212" s="85" t="n"/>
      <c r="Y212" s="85" t="n"/>
      <c r="Z212" s="85" t="n"/>
    </row>
    <row r="213" ht="15.75" customHeight="1" s="86">
      <c r="T213" s="85" t="n"/>
      <c r="U213" s="85" t="n"/>
      <c r="V213" s="85" t="n"/>
      <c r="W213" s="85" t="n"/>
      <c r="X213" s="85" t="n"/>
      <c r="Y213" s="85" t="n"/>
      <c r="Z213" s="85" t="n"/>
    </row>
    <row r="214" ht="15.75" customHeight="1" s="86">
      <c r="T214" s="85" t="n"/>
      <c r="U214" s="85" t="n"/>
      <c r="V214" s="85" t="n"/>
      <c r="W214" s="85" t="n"/>
      <c r="X214" s="85" t="n"/>
      <c r="Y214" s="85" t="n"/>
      <c r="Z214" s="85" t="n"/>
    </row>
    <row r="215" ht="15.75" customHeight="1" s="86">
      <c r="T215" s="85" t="n"/>
      <c r="U215" s="85" t="n"/>
      <c r="V215" s="85" t="n"/>
      <c r="W215" s="85" t="n"/>
      <c r="X215" s="85" t="n"/>
      <c r="Y215" s="85" t="n"/>
      <c r="Z215" s="85" t="n"/>
    </row>
    <row r="216" ht="15.75" customHeight="1" s="86">
      <c r="T216" s="85" t="n"/>
      <c r="U216" s="85" t="n"/>
      <c r="V216" s="85" t="n"/>
      <c r="W216" s="85" t="n"/>
      <c r="X216" s="85" t="n"/>
      <c r="Y216" s="85" t="n"/>
      <c r="Z216" s="85" t="n"/>
    </row>
    <row r="217" ht="15.75" customHeight="1" s="86">
      <c r="T217" s="85" t="n"/>
      <c r="U217" s="85" t="n"/>
      <c r="V217" s="85" t="n"/>
      <c r="W217" s="85" t="n"/>
      <c r="X217" s="85" t="n"/>
      <c r="Y217" s="85" t="n"/>
      <c r="Z217" s="85" t="n"/>
    </row>
    <row r="218" ht="15.75" customHeight="1" s="86">
      <c r="T218" s="85" t="n"/>
      <c r="U218" s="85" t="n"/>
      <c r="V218" s="85" t="n"/>
      <c r="W218" s="85" t="n"/>
      <c r="X218" s="85" t="n"/>
      <c r="Y218" s="85" t="n"/>
      <c r="Z218" s="85" t="n"/>
    </row>
    <row r="219" ht="15.75" customHeight="1" s="86">
      <c r="T219" s="85" t="n"/>
      <c r="U219" s="85" t="n"/>
      <c r="V219" s="85" t="n"/>
      <c r="W219" s="85" t="n"/>
      <c r="X219" s="85" t="n"/>
      <c r="Y219" s="85" t="n"/>
      <c r="Z219" s="85" t="n"/>
    </row>
    <row r="220" ht="15.75" customHeight="1" s="86">
      <c r="T220" s="85" t="n"/>
      <c r="U220" s="85" t="n"/>
      <c r="V220" s="85" t="n"/>
      <c r="W220" s="85" t="n"/>
      <c r="X220" s="85" t="n"/>
      <c r="Y220" s="85" t="n"/>
      <c r="Z220" s="85" t="n"/>
    </row>
    <row r="221" ht="15.75" customHeight="1" s="86">
      <c r="T221" s="85" t="n"/>
      <c r="U221" s="85" t="n"/>
      <c r="V221" s="85" t="n"/>
      <c r="W221" s="85" t="n"/>
      <c r="X221" s="85" t="n"/>
      <c r="Y221" s="85" t="n"/>
      <c r="Z221" s="85" t="n"/>
    </row>
    <row r="222" ht="15.75" customHeight="1" s="86">
      <c r="T222" s="85" t="n"/>
      <c r="U222" s="85" t="n"/>
      <c r="V222" s="85" t="n"/>
      <c r="W222" s="85" t="n"/>
      <c r="X222" s="85" t="n"/>
      <c r="Y222" s="85" t="n"/>
      <c r="Z222" s="85" t="n"/>
    </row>
    <row r="223" ht="15.75" customHeight="1" s="86">
      <c r="T223" s="85" t="n"/>
      <c r="U223" s="85" t="n"/>
      <c r="V223" s="85" t="n"/>
      <c r="W223" s="85" t="n"/>
      <c r="X223" s="85" t="n"/>
      <c r="Y223" s="85" t="n"/>
      <c r="Z223" s="85" t="n"/>
    </row>
    <row r="224" ht="15.75" customHeight="1" s="86">
      <c r="T224" s="85" t="n"/>
      <c r="U224" s="85" t="n"/>
      <c r="V224" s="85" t="n"/>
      <c r="W224" s="85" t="n"/>
      <c r="X224" s="85" t="n"/>
      <c r="Y224" s="85" t="n"/>
      <c r="Z224" s="85" t="n"/>
    </row>
    <row r="225" ht="15.75" customHeight="1" s="86">
      <c r="T225" s="85" t="n"/>
      <c r="U225" s="85" t="n"/>
      <c r="V225" s="85" t="n"/>
      <c r="W225" s="85" t="n"/>
      <c r="X225" s="85" t="n"/>
      <c r="Y225" s="85" t="n"/>
      <c r="Z225" s="85" t="n"/>
    </row>
    <row r="226" ht="15.75" customHeight="1" s="86">
      <c r="T226" s="85" t="n"/>
      <c r="U226" s="85" t="n"/>
      <c r="V226" s="85" t="n"/>
      <c r="W226" s="85" t="n"/>
      <c r="X226" s="85" t="n"/>
      <c r="Y226" s="85" t="n"/>
      <c r="Z226" s="85" t="n"/>
    </row>
    <row r="227" ht="15.75" customHeight="1" s="86">
      <c r="T227" s="85" t="n"/>
      <c r="U227" s="85" t="n"/>
      <c r="V227" s="85" t="n"/>
      <c r="W227" s="85" t="n"/>
      <c r="X227" s="85" t="n"/>
      <c r="Y227" s="85" t="n"/>
      <c r="Z227" s="85" t="n"/>
    </row>
    <row r="228" ht="15.75" customHeight="1" s="86">
      <c r="T228" s="85" t="n"/>
      <c r="U228" s="85" t="n"/>
      <c r="V228" s="85" t="n"/>
      <c r="W228" s="85" t="n"/>
      <c r="X228" s="85" t="n"/>
      <c r="Y228" s="85" t="n"/>
      <c r="Z228" s="85" t="n"/>
    </row>
    <row r="229" ht="15.75" customHeight="1" s="86">
      <c r="T229" s="85" t="n"/>
      <c r="U229" s="85" t="n"/>
      <c r="V229" s="85" t="n"/>
      <c r="W229" s="85" t="n"/>
      <c r="X229" s="85" t="n"/>
      <c r="Y229" s="85" t="n"/>
      <c r="Z229" s="85" t="n"/>
    </row>
    <row r="230" ht="15.75" customHeight="1" s="86">
      <c r="T230" s="85" t="n"/>
      <c r="U230" s="85" t="n"/>
      <c r="V230" s="85" t="n"/>
      <c r="W230" s="85" t="n"/>
      <c r="X230" s="85" t="n"/>
      <c r="Y230" s="85" t="n"/>
      <c r="Z230" s="85" t="n"/>
    </row>
    <row r="231" ht="15.75" customHeight="1" s="86">
      <c r="T231" s="85" t="n"/>
      <c r="U231" s="85" t="n"/>
      <c r="V231" s="85" t="n"/>
      <c r="W231" s="85" t="n"/>
      <c r="X231" s="85" t="n"/>
      <c r="Y231" s="85" t="n"/>
      <c r="Z231" s="85" t="n"/>
    </row>
    <row r="232" ht="15.75" customHeight="1" s="86">
      <c r="T232" s="85" t="n"/>
      <c r="U232" s="85" t="n"/>
      <c r="V232" s="85" t="n"/>
      <c r="W232" s="85" t="n"/>
      <c r="X232" s="85" t="n"/>
      <c r="Y232" s="85" t="n"/>
      <c r="Z232" s="85" t="n"/>
    </row>
    <row r="233" ht="15.75" customHeight="1" s="86">
      <c r="T233" s="85" t="n"/>
      <c r="U233" s="85" t="n"/>
      <c r="V233" s="85" t="n"/>
      <c r="W233" s="85" t="n"/>
      <c r="X233" s="85" t="n"/>
      <c r="Y233" s="85" t="n"/>
      <c r="Z233" s="85" t="n"/>
    </row>
    <row r="234" ht="15.75" customHeight="1" s="86">
      <c r="T234" s="85" t="n"/>
      <c r="U234" s="85" t="n"/>
      <c r="V234" s="85" t="n"/>
      <c r="W234" s="85" t="n"/>
      <c r="X234" s="85" t="n"/>
      <c r="Y234" s="85" t="n"/>
      <c r="Z234" s="85" t="n"/>
    </row>
    <row r="235" ht="15.75" customHeight="1" s="86">
      <c r="T235" s="85" t="n"/>
      <c r="U235" s="85" t="n"/>
      <c r="V235" s="85" t="n"/>
      <c r="W235" s="85" t="n"/>
      <c r="X235" s="85" t="n"/>
      <c r="Y235" s="85" t="n"/>
      <c r="Z235" s="85" t="n"/>
    </row>
    <row r="236" ht="15.75" customHeight="1" s="86">
      <c r="T236" s="85" t="n"/>
      <c r="U236" s="85" t="n"/>
      <c r="V236" s="85" t="n"/>
      <c r="W236" s="85" t="n"/>
      <c r="X236" s="85" t="n"/>
      <c r="Y236" s="85" t="n"/>
      <c r="Z236" s="85" t="n"/>
    </row>
    <row r="237" ht="15.75" customHeight="1" s="86">
      <c r="T237" s="85" t="n"/>
      <c r="U237" s="85" t="n"/>
      <c r="V237" s="85" t="n"/>
      <c r="W237" s="85" t="n"/>
      <c r="X237" s="85" t="n"/>
      <c r="Y237" s="85" t="n"/>
      <c r="Z237" s="85" t="n"/>
    </row>
    <row r="238" ht="15.75" customHeight="1" s="86">
      <c r="T238" s="85" t="n"/>
      <c r="U238" s="85" t="n"/>
      <c r="V238" s="85" t="n"/>
      <c r="W238" s="85" t="n"/>
      <c r="X238" s="85" t="n"/>
      <c r="Y238" s="85" t="n"/>
      <c r="Z238" s="85" t="n"/>
    </row>
    <row r="239" ht="15.75" customHeight="1" s="86">
      <c r="T239" s="85" t="n"/>
      <c r="U239" s="85" t="n"/>
      <c r="V239" s="85" t="n"/>
      <c r="W239" s="85" t="n"/>
      <c r="X239" s="85" t="n"/>
      <c r="Y239" s="85" t="n"/>
      <c r="Z239" s="85" t="n"/>
    </row>
    <row r="240" ht="15.75" customHeight="1" s="86">
      <c r="T240" s="85" t="n"/>
      <c r="U240" s="85" t="n"/>
      <c r="V240" s="85" t="n"/>
      <c r="W240" s="85" t="n"/>
      <c r="X240" s="85" t="n"/>
      <c r="Y240" s="85" t="n"/>
      <c r="Z240" s="85" t="n"/>
    </row>
    <row r="241" ht="15.75" customHeight="1" s="86">
      <c r="T241" s="85" t="n"/>
      <c r="U241" s="85" t="n"/>
      <c r="V241" s="85" t="n"/>
      <c r="W241" s="85" t="n"/>
      <c r="X241" s="85" t="n"/>
      <c r="Y241" s="85" t="n"/>
      <c r="Z241" s="85" t="n"/>
    </row>
    <row r="242" ht="15.75" customHeight="1" s="86">
      <c r="T242" s="85" t="n"/>
      <c r="U242" s="85" t="n"/>
      <c r="V242" s="85" t="n"/>
      <c r="W242" s="85" t="n"/>
      <c r="X242" s="85" t="n"/>
      <c r="Y242" s="85" t="n"/>
      <c r="Z242" s="85" t="n"/>
    </row>
    <row r="243" ht="15.75" customHeight="1" s="86">
      <c r="T243" s="85" t="n"/>
      <c r="U243" s="85" t="n"/>
      <c r="V243" s="85" t="n"/>
      <c r="W243" s="85" t="n"/>
      <c r="X243" s="85" t="n"/>
      <c r="Y243" s="85" t="n"/>
      <c r="Z243" s="85" t="n"/>
    </row>
    <row r="244" ht="15.75" customHeight="1" s="86">
      <c r="T244" s="85" t="n"/>
      <c r="U244" s="85" t="n"/>
      <c r="V244" s="85" t="n"/>
      <c r="W244" s="85" t="n"/>
      <c r="X244" s="85" t="n"/>
      <c r="Y244" s="85" t="n"/>
      <c r="Z244" s="85" t="n"/>
    </row>
    <row r="245" ht="15.75" customHeight="1" s="86">
      <c r="T245" s="85" t="n"/>
      <c r="U245" s="85" t="n"/>
      <c r="V245" s="85" t="n"/>
      <c r="W245" s="85" t="n"/>
      <c r="X245" s="85" t="n"/>
      <c r="Y245" s="85" t="n"/>
      <c r="Z245" s="85" t="n"/>
    </row>
    <row r="246" ht="15.75" customHeight="1" s="86">
      <c r="T246" s="85" t="n"/>
      <c r="U246" s="85" t="n"/>
      <c r="V246" s="85" t="n"/>
      <c r="W246" s="85" t="n"/>
      <c r="X246" s="85" t="n"/>
      <c r="Y246" s="85" t="n"/>
      <c r="Z246" s="85" t="n"/>
    </row>
    <row r="247" ht="15.75" customHeight="1" s="86">
      <c r="T247" s="85" t="n"/>
      <c r="U247" s="85" t="n"/>
      <c r="V247" s="85" t="n"/>
      <c r="W247" s="85" t="n"/>
      <c r="X247" s="85" t="n"/>
      <c r="Y247" s="85" t="n"/>
      <c r="Z247" s="85" t="n"/>
    </row>
    <row r="248" ht="15.75" customHeight="1" s="86">
      <c r="T248" s="85" t="n"/>
      <c r="U248" s="85" t="n"/>
      <c r="V248" s="85" t="n"/>
      <c r="W248" s="85" t="n"/>
      <c r="X248" s="85" t="n"/>
      <c r="Y248" s="85" t="n"/>
      <c r="Z248" s="85" t="n"/>
    </row>
    <row r="249" ht="15.75" customHeight="1" s="86">
      <c r="T249" s="85" t="n"/>
      <c r="U249" s="85" t="n"/>
      <c r="V249" s="85" t="n"/>
      <c r="W249" s="85" t="n"/>
      <c r="X249" s="85" t="n"/>
      <c r="Y249" s="85" t="n"/>
      <c r="Z249" s="85" t="n"/>
    </row>
    <row r="250" ht="15.75" customHeight="1" s="86">
      <c r="T250" s="85" t="n"/>
      <c r="U250" s="85" t="n"/>
      <c r="V250" s="85" t="n"/>
      <c r="W250" s="85" t="n"/>
      <c r="X250" s="85" t="n"/>
      <c r="Y250" s="85" t="n"/>
      <c r="Z250" s="85" t="n"/>
    </row>
    <row r="251" ht="15.75" customHeight="1" s="86">
      <c r="T251" s="85" t="n"/>
      <c r="U251" s="85" t="n"/>
      <c r="V251" s="85" t="n"/>
      <c r="W251" s="85" t="n"/>
      <c r="X251" s="85" t="n"/>
      <c r="Y251" s="85" t="n"/>
      <c r="Z251" s="85" t="n"/>
    </row>
    <row r="252" ht="15.75" customHeight="1" s="86">
      <c r="T252" s="85" t="n"/>
      <c r="U252" s="85" t="n"/>
      <c r="V252" s="85" t="n"/>
      <c r="W252" s="85" t="n"/>
      <c r="X252" s="85" t="n"/>
      <c r="Y252" s="85" t="n"/>
      <c r="Z252" s="85" t="n"/>
    </row>
    <row r="253" ht="15.75" customHeight="1" s="86">
      <c r="T253" s="85" t="n"/>
      <c r="U253" s="85" t="n"/>
      <c r="V253" s="85" t="n"/>
      <c r="W253" s="85" t="n"/>
      <c r="X253" s="85" t="n"/>
      <c r="Y253" s="85" t="n"/>
      <c r="Z253" s="85" t="n"/>
    </row>
    <row r="254" ht="15.75" customHeight="1" s="86">
      <c r="T254" s="85" t="n"/>
      <c r="U254" s="85" t="n"/>
      <c r="V254" s="85" t="n"/>
      <c r="W254" s="85" t="n"/>
      <c r="X254" s="85" t="n"/>
      <c r="Y254" s="85" t="n"/>
      <c r="Z254" s="85" t="n"/>
    </row>
    <row r="255" ht="15.75" customHeight="1" s="86">
      <c r="T255" s="85" t="n"/>
      <c r="U255" s="85" t="n"/>
      <c r="V255" s="85" t="n"/>
      <c r="W255" s="85" t="n"/>
      <c r="X255" s="85" t="n"/>
      <c r="Y255" s="85" t="n"/>
      <c r="Z255" s="85" t="n"/>
    </row>
    <row r="256" ht="15.75" customHeight="1" s="86">
      <c r="T256" s="85" t="n"/>
      <c r="U256" s="85" t="n"/>
      <c r="V256" s="85" t="n"/>
      <c r="W256" s="85" t="n"/>
      <c r="X256" s="85" t="n"/>
      <c r="Y256" s="85" t="n"/>
      <c r="Z256" s="85" t="n"/>
    </row>
    <row r="257" ht="15.75" customHeight="1" s="86">
      <c r="T257" s="85" t="n"/>
      <c r="U257" s="85" t="n"/>
      <c r="V257" s="85" t="n"/>
      <c r="W257" s="85" t="n"/>
      <c r="X257" s="85" t="n"/>
      <c r="Y257" s="85" t="n"/>
      <c r="Z257" s="85" t="n"/>
    </row>
    <row r="258" ht="15.75" customHeight="1" s="86">
      <c r="T258" s="85" t="n"/>
      <c r="U258" s="85" t="n"/>
      <c r="V258" s="85" t="n"/>
      <c r="W258" s="85" t="n"/>
      <c r="X258" s="85" t="n"/>
      <c r="Y258" s="85" t="n"/>
      <c r="Z258" s="85" t="n"/>
    </row>
    <row r="259" ht="15.75" customHeight="1" s="86">
      <c r="T259" s="85" t="n"/>
      <c r="U259" s="85" t="n"/>
      <c r="V259" s="85" t="n"/>
      <c r="W259" s="85" t="n"/>
      <c r="X259" s="85" t="n"/>
      <c r="Y259" s="85" t="n"/>
      <c r="Z259" s="85" t="n"/>
    </row>
    <row r="260" ht="15.75" customHeight="1" s="86">
      <c r="T260" s="85" t="n"/>
      <c r="U260" s="85" t="n"/>
      <c r="V260" s="85" t="n"/>
      <c r="W260" s="85" t="n"/>
      <c r="X260" s="85" t="n"/>
      <c r="Y260" s="85" t="n"/>
      <c r="Z260" s="85" t="n"/>
    </row>
    <row r="261" ht="15.75" customHeight="1" s="86">
      <c r="T261" s="85" t="n"/>
      <c r="U261" s="85" t="n"/>
      <c r="V261" s="85" t="n"/>
      <c r="W261" s="85" t="n"/>
      <c r="X261" s="85" t="n"/>
      <c r="Y261" s="85" t="n"/>
      <c r="Z261" s="85" t="n"/>
    </row>
    <row r="262" ht="15.75" customHeight="1" s="86">
      <c r="T262" s="85" t="n"/>
      <c r="U262" s="85" t="n"/>
      <c r="V262" s="85" t="n"/>
      <c r="W262" s="85" t="n"/>
      <c r="X262" s="85" t="n"/>
      <c r="Y262" s="85" t="n"/>
      <c r="Z262" s="85" t="n"/>
    </row>
    <row r="263" ht="15.75" customHeight="1" s="86">
      <c r="T263" s="85" t="n"/>
      <c r="U263" s="85" t="n"/>
      <c r="V263" s="85" t="n"/>
      <c r="W263" s="85" t="n"/>
      <c r="X263" s="85" t="n"/>
      <c r="Y263" s="85" t="n"/>
      <c r="Z263" s="85" t="n"/>
    </row>
    <row r="264" ht="15.75" customHeight="1" s="86">
      <c r="T264" s="85" t="n"/>
      <c r="U264" s="85" t="n"/>
      <c r="V264" s="85" t="n"/>
      <c r="W264" s="85" t="n"/>
      <c r="X264" s="85" t="n"/>
      <c r="Y264" s="85" t="n"/>
      <c r="Z264" s="85" t="n"/>
    </row>
    <row r="265" ht="15.75" customHeight="1" s="86">
      <c r="T265" s="85" t="n"/>
      <c r="U265" s="85" t="n"/>
      <c r="V265" s="85" t="n"/>
      <c r="W265" s="85" t="n"/>
      <c r="X265" s="85" t="n"/>
      <c r="Y265" s="85" t="n"/>
      <c r="Z265" s="85" t="n"/>
    </row>
    <row r="266" ht="15.75" customHeight="1" s="86">
      <c r="T266" s="85" t="n"/>
      <c r="U266" s="85" t="n"/>
      <c r="V266" s="85" t="n"/>
      <c r="W266" s="85" t="n"/>
      <c r="X266" s="85" t="n"/>
      <c r="Y266" s="85" t="n"/>
      <c r="Z266" s="85" t="n"/>
    </row>
    <row r="267" ht="15.75" customHeight="1" s="86">
      <c r="T267" s="85" t="n"/>
      <c r="U267" s="85" t="n"/>
      <c r="V267" s="85" t="n"/>
      <c r="W267" s="85" t="n"/>
      <c r="X267" s="85" t="n"/>
      <c r="Y267" s="85" t="n"/>
      <c r="Z267" s="85" t="n"/>
    </row>
    <row r="268" ht="15.75" customHeight="1" s="86">
      <c r="T268" s="85" t="n"/>
      <c r="U268" s="85" t="n"/>
      <c r="V268" s="85" t="n"/>
      <c r="W268" s="85" t="n"/>
      <c r="X268" s="85" t="n"/>
      <c r="Y268" s="85" t="n"/>
      <c r="Z268" s="85" t="n"/>
    </row>
    <row r="269" ht="15.75" customHeight="1" s="86">
      <c r="T269" s="85" t="n"/>
      <c r="U269" s="85" t="n"/>
      <c r="V269" s="85" t="n"/>
      <c r="W269" s="85" t="n"/>
      <c r="X269" s="85" t="n"/>
      <c r="Y269" s="85" t="n"/>
      <c r="Z269" s="85" t="n"/>
    </row>
    <row r="270" ht="15.75" customHeight="1" s="86">
      <c r="T270" s="85" t="n"/>
      <c r="U270" s="85" t="n"/>
      <c r="V270" s="85" t="n"/>
      <c r="W270" s="85" t="n"/>
      <c r="X270" s="85" t="n"/>
      <c r="Y270" s="85" t="n"/>
      <c r="Z270" s="85" t="n"/>
    </row>
    <row r="271" ht="15.75" customHeight="1" s="86">
      <c r="T271" s="85" t="n"/>
      <c r="U271" s="85" t="n"/>
      <c r="V271" s="85" t="n"/>
      <c r="W271" s="85" t="n"/>
      <c r="X271" s="85" t="n"/>
      <c r="Y271" s="85" t="n"/>
      <c r="Z271" s="85" t="n"/>
    </row>
    <row r="272" ht="15.75" customHeight="1" s="86">
      <c r="T272" s="85" t="n"/>
      <c r="U272" s="85" t="n"/>
      <c r="V272" s="85" t="n"/>
      <c r="W272" s="85" t="n"/>
      <c r="X272" s="85" t="n"/>
      <c r="Y272" s="85" t="n"/>
      <c r="Z272" s="85" t="n"/>
    </row>
    <row r="273" ht="15.75" customHeight="1" s="86">
      <c r="T273" s="85" t="n"/>
      <c r="U273" s="85" t="n"/>
      <c r="V273" s="85" t="n"/>
      <c r="W273" s="85" t="n"/>
      <c r="X273" s="85" t="n"/>
      <c r="Y273" s="85" t="n"/>
      <c r="Z273" s="85" t="n"/>
    </row>
    <row r="274" ht="15.75" customHeight="1" s="86">
      <c r="T274" s="85" t="n"/>
      <c r="U274" s="85" t="n"/>
      <c r="V274" s="85" t="n"/>
      <c r="W274" s="85" t="n"/>
      <c r="X274" s="85" t="n"/>
      <c r="Y274" s="85" t="n"/>
      <c r="Z274" s="85" t="n"/>
    </row>
    <row r="275" ht="15.75" customHeight="1" s="86">
      <c r="T275" s="85" t="n"/>
      <c r="U275" s="85" t="n"/>
      <c r="V275" s="85" t="n"/>
      <c r="W275" s="85" t="n"/>
      <c r="X275" s="85" t="n"/>
      <c r="Y275" s="85" t="n"/>
      <c r="Z275" s="85" t="n"/>
    </row>
    <row r="276" ht="15.75" customHeight="1" s="86">
      <c r="T276" s="85" t="n"/>
      <c r="U276" s="85" t="n"/>
      <c r="V276" s="85" t="n"/>
      <c r="W276" s="85" t="n"/>
      <c r="X276" s="85" t="n"/>
      <c r="Y276" s="85" t="n"/>
      <c r="Z276" s="85" t="n"/>
    </row>
    <row r="277" ht="15.75" customHeight="1" s="86">
      <c r="T277" s="85" t="n"/>
      <c r="U277" s="85" t="n"/>
      <c r="V277" s="85" t="n"/>
      <c r="W277" s="85" t="n"/>
      <c r="X277" s="85" t="n"/>
      <c r="Y277" s="85" t="n"/>
      <c r="Z277" s="85" t="n"/>
    </row>
    <row r="278" ht="15.75" customHeight="1" s="86">
      <c r="T278" s="85" t="n"/>
      <c r="U278" s="85" t="n"/>
      <c r="V278" s="85" t="n"/>
      <c r="W278" s="85" t="n"/>
      <c r="X278" s="85" t="n"/>
      <c r="Y278" s="85" t="n"/>
      <c r="Z278" s="85" t="n"/>
    </row>
    <row r="279" ht="15.75" customHeight="1" s="86">
      <c r="T279" s="85" t="n"/>
      <c r="U279" s="85" t="n"/>
      <c r="V279" s="85" t="n"/>
      <c r="W279" s="85" t="n"/>
      <c r="X279" s="85" t="n"/>
      <c r="Y279" s="85" t="n"/>
      <c r="Z279" s="85" t="n"/>
    </row>
    <row r="280" ht="15.75" customHeight="1" s="86">
      <c r="T280" s="85" t="n"/>
      <c r="U280" s="85" t="n"/>
      <c r="V280" s="85" t="n"/>
      <c r="W280" s="85" t="n"/>
      <c r="X280" s="85" t="n"/>
      <c r="Y280" s="85" t="n"/>
      <c r="Z280" s="85" t="n"/>
    </row>
    <row r="281" ht="15.75" customHeight="1" s="86">
      <c r="T281" s="85" t="n"/>
      <c r="U281" s="85" t="n"/>
      <c r="V281" s="85" t="n"/>
      <c r="W281" s="85" t="n"/>
      <c r="X281" s="85" t="n"/>
      <c r="Y281" s="85" t="n"/>
      <c r="Z281" s="85" t="n"/>
    </row>
    <row r="282" ht="15.75" customHeight="1" s="86">
      <c r="T282" s="85" t="n"/>
      <c r="U282" s="85" t="n"/>
      <c r="V282" s="85" t="n"/>
      <c r="W282" s="85" t="n"/>
      <c r="X282" s="85" t="n"/>
      <c r="Y282" s="85" t="n"/>
      <c r="Z282" s="85" t="n"/>
    </row>
    <row r="283" ht="15.75" customHeight="1" s="86">
      <c r="T283" s="85" t="n"/>
      <c r="U283" s="85" t="n"/>
      <c r="V283" s="85" t="n"/>
      <c r="W283" s="85" t="n"/>
      <c r="X283" s="85" t="n"/>
      <c r="Y283" s="85" t="n"/>
      <c r="Z283" s="85" t="n"/>
    </row>
    <row r="284" ht="15.75" customHeight="1" s="86">
      <c r="T284" s="85" t="n"/>
      <c r="U284" s="85" t="n"/>
      <c r="V284" s="85" t="n"/>
      <c r="W284" s="85" t="n"/>
      <c r="X284" s="85" t="n"/>
      <c r="Y284" s="85" t="n"/>
      <c r="Z284" s="85" t="n"/>
    </row>
    <row r="285" ht="15.75" customHeight="1" s="86">
      <c r="T285" s="85" t="n"/>
      <c r="U285" s="85" t="n"/>
      <c r="V285" s="85" t="n"/>
      <c r="W285" s="85" t="n"/>
      <c r="X285" s="85" t="n"/>
      <c r="Y285" s="85" t="n"/>
      <c r="Z285" s="85" t="n"/>
    </row>
    <row r="286" ht="15.75" customHeight="1" s="86">
      <c r="T286" s="85" t="n"/>
      <c r="U286" s="85" t="n"/>
      <c r="V286" s="85" t="n"/>
      <c r="W286" s="85" t="n"/>
      <c r="X286" s="85" t="n"/>
      <c r="Y286" s="85" t="n"/>
      <c r="Z286" s="85" t="n"/>
    </row>
    <row r="287" ht="15.75" customHeight="1" s="86">
      <c r="T287" s="85" t="n"/>
      <c r="U287" s="85" t="n"/>
      <c r="V287" s="85" t="n"/>
      <c r="W287" s="85" t="n"/>
      <c r="X287" s="85" t="n"/>
      <c r="Y287" s="85" t="n"/>
      <c r="Z287" s="85" t="n"/>
    </row>
    <row r="288" ht="15.75" customHeight="1" s="86">
      <c r="T288" s="85" t="n"/>
      <c r="U288" s="85" t="n"/>
      <c r="V288" s="85" t="n"/>
      <c r="W288" s="85" t="n"/>
      <c r="X288" s="85" t="n"/>
      <c r="Y288" s="85" t="n"/>
      <c r="Z288" s="85" t="n"/>
    </row>
    <row r="289" ht="15.75" customHeight="1" s="86">
      <c r="T289" s="85" t="n"/>
      <c r="U289" s="85" t="n"/>
      <c r="V289" s="85" t="n"/>
      <c r="W289" s="85" t="n"/>
      <c r="X289" s="85" t="n"/>
      <c r="Y289" s="85" t="n"/>
      <c r="Z289" s="85" t="n"/>
    </row>
    <row r="290" ht="15.75" customHeight="1" s="86">
      <c r="T290" s="85" t="n"/>
      <c r="U290" s="85" t="n"/>
      <c r="V290" s="85" t="n"/>
      <c r="W290" s="85" t="n"/>
      <c r="X290" s="85" t="n"/>
      <c r="Y290" s="85" t="n"/>
      <c r="Z290" s="85" t="n"/>
    </row>
    <row r="291" ht="15.75" customHeight="1" s="86">
      <c r="T291" s="85" t="n"/>
      <c r="U291" s="85" t="n"/>
      <c r="V291" s="85" t="n"/>
      <c r="W291" s="85" t="n"/>
      <c r="X291" s="85" t="n"/>
      <c r="Y291" s="85" t="n"/>
      <c r="Z291" s="85" t="n"/>
    </row>
    <row r="292" ht="15.75" customHeight="1" s="86">
      <c r="T292" s="85" t="n"/>
      <c r="U292" s="85" t="n"/>
      <c r="V292" s="85" t="n"/>
      <c r="W292" s="85" t="n"/>
      <c r="X292" s="85" t="n"/>
      <c r="Y292" s="85" t="n"/>
      <c r="Z292" s="85" t="n"/>
    </row>
    <row r="293" ht="15.75" customHeight="1" s="86">
      <c r="T293" s="85" t="n"/>
      <c r="U293" s="85" t="n"/>
      <c r="V293" s="85" t="n"/>
      <c r="W293" s="85" t="n"/>
      <c r="X293" s="85" t="n"/>
      <c r="Y293" s="85" t="n"/>
      <c r="Z293" s="85" t="n"/>
    </row>
    <row r="294" ht="15.75" customHeight="1" s="86">
      <c r="T294" s="85" t="n"/>
      <c r="U294" s="85" t="n"/>
      <c r="V294" s="85" t="n"/>
      <c r="W294" s="85" t="n"/>
      <c r="X294" s="85" t="n"/>
      <c r="Y294" s="85" t="n"/>
      <c r="Z294" s="85" t="n"/>
    </row>
    <row r="295" ht="15.75" customHeight="1" s="86">
      <c r="T295" s="85" t="n"/>
      <c r="U295" s="85" t="n"/>
      <c r="V295" s="85" t="n"/>
      <c r="W295" s="85" t="n"/>
      <c r="X295" s="85" t="n"/>
      <c r="Y295" s="85" t="n"/>
      <c r="Z295" s="85" t="n"/>
    </row>
    <row r="296" ht="15.75" customHeight="1" s="86">
      <c r="T296" s="85" t="n"/>
      <c r="U296" s="85" t="n"/>
      <c r="V296" s="85" t="n"/>
      <c r="W296" s="85" t="n"/>
      <c r="X296" s="85" t="n"/>
      <c r="Y296" s="85" t="n"/>
      <c r="Z296" s="85" t="n"/>
    </row>
    <row r="297" ht="15.75" customHeight="1" s="86">
      <c r="T297" s="85" t="n"/>
      <c r="U297" s="85" t="n"/>
      <c r="V297" s="85" t="n"/>
      <c r="W297" s="85" t="n"/>
      <c r="X297" s="85" t="n"/>
      <c r="Y297" s="85" t="n"/>
      <c r="Z297" s="85" t="n"/>
    </row>
    <row r="298" ht="15.75" customHeight="1" s="86">
      <c r="T298" s="85" t="n"/>
      <c r="U298" s="85" t="n"/>
      <c r="V298" s="85" t="n"/>
      <c r="W298" s="85" t="n"/>
      <c r="X298" s="85" t="n"/>
      <c r="Y298" s="85" t="n"/>
      <c r="Z298" s="85" t="n"/>
    </row>
    <row r="299" ht="15.75" customHeight="1" s="86">
      <c r="T299" s="85" t="n"/>
      <c r="U299" s="85" t="n"/>
      <c r="V299" s="85" t="n"/>
      <c r="W299" s="85" t="n"/>
      <c r="X299" s="85" t="n"/>
      <c r="Y299" s="85" t="n"/>
      <c r="Z299" s="85" t="n"/>
    </row>
    <row r="300" ht="15.75" customHeight="1" s="86">
      <c r="T300" s="85" t="n"/>
      <c r="U300" s="85" t="n"/>
      <c r="V300" s="85" t="n"/>
      <c r="W300" s="85" t="n"/>
      <c r="X300" s="85" t="n"/>
      <c r="Y300" s="85" t="n"/>
      <c r="Z300" s="85" t="n"/>
    </row>
    <row r="301" ht="15.75" customHeight="1" s="86">
      <c r="T301" s="85" t="n"/>
      <c r="U301" s="85" t="n"/>
      <c r="V301" s="85" t="n"/>
      <c r="W301" s="85" t="n"/>
      <c r="X301" s="85" t="n"/>
      <c r="Y301" s="85" t="n"/>
      <c r="Z301" s="85" t="n"/>
    </row>
    <row r="302" ht="15.75" customHeight="1" s="86">
      <c r="T302" s="85" t="n"/>
      <c r="U302" s="85" t="n"/>
      <c r="V302" s="85" t="n"/>
      <c r="W302" s="85" t="n"/>
      <c r="X302" s="85" t="n"/>
      <c r="Y302" s="85" t="n"/>
      <c r="Z302" s="85" t="n"/>
    </row>
    <row r="303" ht="15.75" customHeight="1" s="86">
      <c r="T303" s="85" t="n"/>
      <c r="U303" s="85" t="n"/>
      <c r="V303" s="85" t="n"/>
      <c r="W303" s="85" t="n"/>
      <c r="X303" s="85" t="n"/>
      <c r="Y303" s="85" t="n"/>
      <c r="Z303" s="85" t="n"/>
    </row>
    <row r="304" ht="15.75" customHeight="1" s="86">
      <c r="T304" s="85" t="n"/>
      <c r="U304" s="85" t="n"/>
      <c r="V304" s="85" t="n"/>
      <c r="W304" s="85" t="n"/>
      <c r="X304" s="85" t="n"/>
      <c r="Y304" s="85" t="n"/>
      <c r="Z304" s="85" t="n"/>
    </row>
    <row r="305" ht="15.75" customHeight="1" s="86">
      <c r="T305" s="85" t="n"/>
      <c r="U305" s="85" t="n"/>
      <c r="V305" s="85" t="n"/>
      <c r="W305" s="85" t="n"/>
      <c r="X305" s="85" t="n"/>
      <c r="Y305" s="85" t="n"/>
      <c r="Z305" s="85" t="n"/>
    </row>
    <row r="306" ht="15.75" customHeight="1" s="86">
      <c r="T306" s="85" t="n"/>
      <c r="U306" s="85" t="n"/>
      <c r="V306" s="85" t="n"/>
      <c r="W306" s="85" t="n"/>
      <c r="X306" s="85" t="n"/>
      <c r="Y306" s="85" t="n"/>
      <c r="Z306" s="85" t="n"/>
    </row>
    <row r="307" ht="15.75" customHeight="1" s="86">
      <c r="T307" s="85" t="n"/>
      <c r="U307" s="85" t="n"/>
      <c r="V307" s="85" t="n"/>
      <c r="W307" s="85" t="n"/>
      <c r="X307" s="85" t="n"/>
      <c r="Y307" s="85" t="n"/>
      <c r="Z307" s="85" t="n"/>
    </row>
    <row r="308" ht="15.75" customHeight="1" s="86">
      <c r="T308" s="85" t="n"/>
      <c r="U308" s="85" t="n"/>
      <c r="V308" s="85" t="n"/>
      <c r="W308" s="85" t="n"/>
      <c r="X308" s="85" t="n"/>
      <c r="Y308" s="85" t="n"/>
      <c r="Z308" s="85" t="n"/>
    </row>
    <row r="309" ht="15.75" customHeight="1" s="86">
      <c r="T309" s="85" t="n"/>
      <c r="U309" s="85" t="n"/>
      <c r="V309" s="85" t="n"/>
      <c r="W309" s="85" t="n"/>
      <c r="X309" s="85" t="n"/>
      <c r="Y309" s="85" t="n"/>
      <c r="Z309" s="85" t="n"/>
    </row>
    <row r="310" ht="15.75" customHeight="1" s="86">
      <c r="T310" s="85" t="n"/>
      <c r="U310" s="85" t="n"/>
      <c r="V310" s="85" t="n"/>
      <c r="W310" s="85" t="n"/>
      <c r="X310" s="85" t="n"/>
      <c r="Y310" s="85" t="n"/>
      <c r="Z310" s="85" t="n"/>
    </row>
    <row r="311" ht="15.75" customHeight="1" s="86">
      <c r="T311" s="85" t="n"/>
      <c r="U311" s="85" t="n"/>
      <c r="V311" s="85" t="n"/>
      <c r="W311" s="85" t="n"/>
      <c r="X311" s="85" t="n"/>
      <c r="Y311" s="85" t="n"/>
      <c r="Z311" s="85" t="n"/>
    </row>
    <row r="312" ht="15.75" customHeight="1" s="86">
      <c r="T312" s="85" t="n"/>
      <c r="U312" s="85" t="n"/>
      <c r="V312" s="85" t="n"/>
      <c r="W312" s="85" t="n"/>
      <c r="X312" s="85" t="n"/>
      <c r="Y312" s="85" t="n"/>
      <c r="Z312" s="85" t="n"/>
    </row>
    <row r="313" ht="15.75" customHeight="1" s="86">
      <c r="T313" s="85" t="n"/>
      <c r="U313" s="85" t="n"/>
      <c r="V313" s="85" t="n"/>
      <c r="W313" s="85" t="n"/>
      <c r="X313" s="85" t="n"/>
      <c r="Y313" s="85" t="n"/>
      <c r="Z313" s="85" t="n"/>
    </row>
    <row r="314" ht="15.75" customHeight="1" s="86">
      <c r="T314" s="85" t="n"/>
      <c r="U314" s="85" t="n"/>
      <c r="V314" s="85" t="n"/>
      <c r="W314" s="85" t="n"/>
      <c r="X314" s="85" t="n"/>
      <c r="Y314" s="85" t="n"/>
      <c r="Z314" s="85" t="n"/>
    </row>
    <row r="315" ht="15.75" customHeight="1" s="86">
      <c r="T315" s="85" t="n"/>
      <c r="U315" s="85" t="n"/>
      <c r="V315" s="85" t="n"/>
      <c r="W315" s="85" t="n"/>
      <c r="X315" s="85" t="n"/>
      <c r="Y315" s="85" t="n"/>
      <c r="Z315" s="85" t="n"/>
    </row>
    <row r="316" ht="15.75" customHeight="1" s="86">
      <c r="T316" s="85" t="n"/>
      <c r="U316" s="85" t="n"/>
      <c r="V316" s="85" t="n"/>
      <c r="W316" s="85" t="n"/>
      <c r="X316" s="85" t="n"/>
      <c r="Y316" s="85" t="n"/>
      <c r="Z316" s="85" t="n"/>
    </row>
    <row r="317" ht="15.75" customHeight="1" s="86">
      <c r="T317" s="85" t="n"/>
      <c r="U317" s="85" t="n"/>
      <c r="V317" s="85" t="n"/>
      <c r="W317" s="85" t="n"/>
      <c r="X317" s="85" t="n"/>
      <c r="Y317" s="85" t="n"/>
      <c r="Z317" s="85" t="n"/>
    </row>
    <row r="318" ht="15.75" customHeight="1" s="86">
      <c r="T318" s="85" t="n"/>
      <c r="U318" s="85" t="n"/>
      <c r="V318" s="85" t="n"/>
      <c r="W318" s="85" t="n"/>
      <c r="X318" s="85" t="n"/>
      <c r="Y318" s="85" t="n"/>
      <c r="Z318" s="85" t="n"/>
    </row>
    <row r="319" ht="15.75" customHeight="1" s="86">
      <c r="T319" s="85" t="n"/>
      <c r="U319" s="85" t="n"/>
      <c r="V319" s="85" t="n"/>
      <c r="W319" s="85" t="n"/>
      <c r="X319" s="85" t="n"/>
      <c r="Y319" s="85" t="n"/>
      <c r="Z319" s="85" t="n"/>
    </row>
    <row r="320" ht="15.75" customHeight="1" s="86">
      <c r="T320" s="85" t="n"/>
      <c r="U320" s="85" t="n"/>
      <c r="V320" s="85" t="n"/>
      <c r="W320" s="85" t="n"/>
      <c r="X320" s="85" t="n"/>
      <c r="Y320" s="85" t="n"/>
      <c r="Z320" s="85" t="n"/>
    </row>
    <row r="321" ht="15.75" customHeight="1" s="86">
      <c r="T321" s="85" t="n"/>
      <c r="U321" s="85" t="n"/>
      <c r="V321" s="85" t="n"/>
      <c r="W321" s="85" t="n"/>
      <c r="X321" s="85" t="n"/>
      <c r="Y321" s="85" t="n"/>
      <c r="Z321" s="85" t="n"/>
    </row>
    <row r="322" ht="15.75" customHeight="1" s="86">
      <c r="T322" s="85" t="n"/>
      <c r="U322" s="85" t="n"/>
      <c r="V322" s="85" t="n"/>
      <c r="W322" s="85" t="n"/>
      <c r="X322" s="85" t="n"/>
      <c r="Y322" s="85" t="n"/>
      <c r="Z322" s="85" t="n"/>
    </row>
    <row r="323" ht="15.75" customHeight="1" s="86">
      <c r="T323" s="85" t="n"/>
      <c r="U323" s="85" t="n"/>
      <c r="V323" s="85" t="n"/>
      <c r="W323" s="85" t="n"/>
      <c r="X323" s="85" t="n"/>
      <c r="Y323" s="85" t="n"/>
      <c r="Z323" s="85" t="n"/>
    </row>
    <row r="324" ht="15.75" customHeight="1" s="86">
      <c r="T324" s="85" t="n"/>
      <c r="U324" s="85" t="n"/>
      <c r="V324" s="85" t="n"/>
      <c r="W324" s="85" t="n"/>
      <c r="X324" s="85" t="n"/>
      <c r="Y324" s="85" t="n"/>
      <c r="Z324" s="85" t="n"/>
    </row>
    <row r="325" ht="15.75" customHeight="1" s="86">
      <c r="T325" s="85" t="n"/>
      <c r="U325" s="85" t="n"/>
      <c r="V325" s="85" t="n"/>
      <c r="W325" s="85" t="n"/>
      <c r="X325" s="85" t="n"/>
      <c r="Y325" s="85" t="n"/>
      <c r="Z325" s="85" t="n"/>
    </row>
    <row r="326" ht="15.75" customHeight="1" s="86">
      <c r="T326" s="85" t="n"/>
      <c r="U326" s="85" t="n"/>
      <c r="V326" s="85" t="n"/>
      <c r="W326" s="85" t="n"/>
      <c r="X326" s="85" t="n"/>
      <c r="Y326" s="85" t="n"/>
      <c r="Z326" s="85" t="n"/>
    </row>
    <row r="327" ht="15.75" customHeight="1" s="86">
      <c r="T327" s="85" t="n"/>
      <c r="U327" s="85" t="n"/>
      <c r="V327" s="85" t="n"/>
      <c r="W327" s="85" t="n"/>
      <c r="X327" s="85" t="n"/>
      <c r="Y327" s="85" t="n"/>
      <c r="Z327" s="85" t="n"/>
    </row>
    <row r="328" ht="15.75" customHeight="1" s="86">
      <c r="T328" s="85" t="n"/>
      <c r="U328" s="85" t="n"/>
      <c r="V328" s="85" t="n"/>
      <c r="W328" s="85" t="n"/>
      <c r="X328" s="85" t="n"/>
      <c r="Y328" s="85" t="n"/>
      <c r="Z328" s="85" t="n"/>
    </row>
    <row r="329" ht="15.75" customHeight="1" s="86">
      <c r="T329" s="85" t="n"/>
      <c r="U329" s="85" t="n"/>
      <c r="V329" s="85" t="n"/>
      <c r="W329" s="85" t="n"/>
      <c r="X329" s="85" t="n"/>
      <c r="Y329" s="85" t="n"/>
      <c r="Z329" s="85" t="n"/>
    </row>
    <row r="330" ht="15.75" customHeight="1" s="86">
      <c r="T330" s="85" t="n"/>
      <c r="U330" s="85" t="n"/>
      <c r="V330" s="85" t="n"/>
      <c r="W330" s="85" t="n"/>
      <c r="X330" s="85" t="n"/>
      <c r="Y330" s="85" t="n"/>
      <c r="Z330" s="85" t="n"/>
    </row>
    <row r="331" ht="15.75" customHeight="1" s="86">
      <c r="T331" s="85" t="n"/>
      <c r="U331" s="85" t="n"/>
      <c r="V331" s="85" t="n"/>
      <c r="W331" s="85" t="n"/>
      <c r="X331" s="85" t="n"/>
      <c r="Y331" s="85" t="n"/>
      <c r="Z331" s="85" t="n"/>
    </row>
    <row r="332" ht="15.75" customHeight="1" s="86">
      <c r="T332" s="85" t="n"/>
      <c r="U332" s="85" t="n"/>
      <c r="V332" s="85" t="n"/>
      <c r="W332" s="85" t="n"/>
      <c r="X332" s="85" t="n"/>
      <c r="Y332" s="85" t="n"/>
      <c r="Z332" s="85" t="n"/>
    </row>
    <row r="333" ht="15.75" customHeight="1" s="86">
      <c r="T333" s="85" t="n"/>
      <c r="U333" s="85" t="n"/>
      <c r="V333" s="85" t="n"/>
      <c r="W333" s="85" t="n"/>
      <c r="X333" s="85" t="n"/>
      <c r="Y333" s="85" t="n"/>
      <c r="Z333" s="85" t="n"/>
    </row>
    <row r="334" ht="15.75" customHeight="1" s="86">
      <c r="T334" s="85" t="n"/>
      <c r="U334" s="85" t="n"/>
      <c r="V334" s="85" t="n"/>
      <c r="W334" s="85" t="n"/>
      <c r="X334" s="85" t="n"/>
      <c r="Y334" s="85" t="n"/>
      <c r="Z334" s="85" t="n"/>
    </row>
    <row r="335" ht="15.75" customHeight="1" s="86">
      <c r="T335" s="85" t="n"/>
      <c r="U335" s="85" t="n"/>
      <c r="V335" s="85" t="n"/>
      <c r="W335" s="85" t="n"/>
      <c r="X335" s="85" t="n"/>
      <c r="Y335" s="85" t="n"/>
      <c r="Z335" s="85" t="n"/>
    </row>
    <row r="336" ht="15.75" customHeight="1" s="86">
      <c r="T336" s="85" t="n"/>
      <c r="U336" s="85" t="n"/>
      <c r="V336" s="85" t="n"/>
      <c r="W336" s="85" t="n"/>
      <c r="X336" s="85" t="n"/>
      <c r="Y336" s="85" t="n"/>
      <c r="Z336" s="85" t="n"/>
    </row>
    <row r="337" ht="15.75" customHeight="1" s="86">
      <c r="T337" s="85" t="n"/>
      <c r="U337" s="85" t="n"/>
      <c r="V337" s="85" t="n"/>
      <c r="W337" s="85" t="n"/>
      <c r="X337" s="85" t="n"/>
      <c r="Y337" s="85" t="n"/>
      <c r="Z337" s="85" t="n"/>
    </row>
    <row r="338" ht="15.75" customHeight="1" s="86">
      <c r="T338" s="85" t="n"/>
      <c r="U338" s="85" t="n"/>
      <c r="V338" s="85" t="n"/>
      <c r="W338" s="85" t="n"/>
      <c r="X338" s="85" t="n"/>
      <c r="Y338" s="85" t="n"/>
      <c r="Z338" s="85" t="n"/>
    </row>
    <row r="339" ht="15.75" customHeight="1" s="86">
      <c r="T339" s="85" t="n"/>
      <c r="U339" s="85" t="n"/>
      <c r="V339" s="85" t="n"/>
      <c r="W339" s="85" t="n"/>
      <c r="X339" s="85" t="n"/>
      <c r="Y339" s="85" t="n"/>
      <c r="Z339" s="85" t="n"/>
    </row>
    <row r="340" ht="15.75" customHeight="1" s="86">
      <c r="T340" s="85" t="n"/>
      <c r="U340" s="85" t="n"/>
      <c r="V340" s="85" t="n"/>
      <c r="W340" s="85" t="n"/>
      <c r="X340" s="85" t="n"/>
      <c r="Y340" s="85" t="n"/>
      <c r="Z340" s="85" t="n"/>
    </row>
    <row r="341" ht="15.75" customHeight="1" s="86">
      <c r="T341" s="85" t="n"/>
      <c r="U341" s="85" t="n"/>
      <c r="V341" s="85" t="n"/>
      <c r="W341" s="85" t="n"/>
      <c r="X341" s="85" t="n"/>
      <c r="Y341" s="85" t="n"/>
      <c r="Z341" s="85" t="n"/>
    </row>
    <row r="342" ht="15.75" customHeight="1" s="86">
      <c r="T342" s="85" t="n"/>
      <c r="U342" s="85" t="n"/>
      <c r="V342" s="85" t="n"/>
      <c r="W342" s="85" t="n"/>
      <c r="X342" s="85" t="n"/>
      <c r="Y342" s="85" t="n"/>
      <c r="Z342" s="85" t="n"/>
    </row>
    <row r="343" ht="15.75" customHeight="1" s="86">
      <c r="T343" s="85" t="n"/>
      <c r="U343" s="85" t="n"/>
      <c r="V343" s="85" t="n"/>
      <c r="W343" s="85" t="n"/>
      <c r="X343" s="85" t="n"/>
      <c r="Y343" s="85" t="n"/>
      <c r="Z343" s="85" t="n"/>
    </row>
    <row r="344" ht="15.75" customHeight="1" s="86">
      <c r="T344" s="85" t="n"/>
      <c r="U344" s="85" t="n"/>
      <c r="V344" s="85" t="n"/>
      <c r="W344" s="85" t="n"/>
      <c r="X344" s="85" t="n"/>
      <c r="Y344" s="85" t="n"/>
      <c r="Z344" s="85" t="n"/>
    </row>
    <row r="345" ht="15.75" customHeight="1" s="86">
      <c r="T345" s="85" t="n"/>
      <c r="U345" s="85" t="n"/>
      <c r="V345" s="85" t="n"/>
      <c r="W345" s="85" t="n"/>
      <c r="X345" s="85" t="n"/>
      <c r="Y345" s="85" t="n"/>
      <c r="Z345" s="85" t="n"/>
    </row>
    <row r="346" ht="15.75" customHeight="1" s="86">
      <c r="T346" s="85" t="n"/>
      <c r="U346" s="85" t="n"/>
      <c r="V346" s="85" t="n"/>
      <c r="W346" s="85" t="n"/>
      <c r="X346" s="85" t="n"/>
      <c r="Y346" s="85" t="n"/>
      <c r="Z346" s="85" t="n"/>
    </row>
    <row r="347" ht="15.75" customHeight="1" s="86">
      <c r="T347" s="85" t="n"/>
      <c r="U347" s="85" t="n"/>
      <c r="V347" s="85" t="n"/>
      <c r="W347" s="85" t="n"/>
      <c r="X347" s="85" t="n"/>
      <c r="Y347" s="85" t="n"/>
      <c r="Z347" s="85" t="n"/>
    </row>
    <row r="348" ht="15.75" customHeight="1" s="86">
      <c r="T348" s="85" t="n"/>
      <c r="U348" s="85" t="n"/>
      <c r="V348" s="85" t="n"/>
      <c r="W348" s="85" t="n"/>
      <c r="X348" s="85" t="n"/>
      <c r="Y348" s="85" t="n"/>
      <c r="Z348" s="85" t="n"/>
    </row>
    <row r="349" ht="15.75" customHeight="1" s="86">
      <c r="T349" s="85" t="n"/>
      <c r="U349" s="85" t="n"/>
      <c r="V349" s="85" t="n"/>
      <c r="W349" s="85" t="n"/>
      <c r="X349" s="85" t="n"/>
      <c r="Y349" s="85" t="n"/>
      <c r="Z349" s="85" t="n"/>
    </row>
    <row r="350" ht="15.75" customHeight="1" s="86">
      <c r="T350" s="85" t="n"/>
      <c r="U350" s="85" t="n"/>
      <c r="V350" s="85" t="n"/>
      <c r="W350" s="85" t="n"/>
      <c r="X350" s="85" t="n"/>
      <c r="Y350" s="85" t="n"/>
      <c r="Z350" s="85" t="n"/>
    </row>
    <row r="351" ht="15.75" customHeight="1" s="86">
      <c r="T351" s="85" t="n"/>
      <c r="U351" s="85" t="n"/>
      <c r="V351" s="85" t="n"/>
      <c r="W351" s="85" t="n"/>
      <c r="X351" s="85" t="n"/>
      <c r="Y351" s="85" t="n"/>
      <c r="Z351" s="85" t="n"/>
    </row>
    <row r="352" ht="15.75" customHeight="1" s="86">
      <c r="T352" s="85" t="n"/>
      <c r="U352" s="85" t="n"/>
      <c r="V352" s="85" t="n"/>
      <c r="W352" s="85" t="n"/>
      <c r="X352" s="85" t="n"/>
      <c r="Y352" s="85" t="n"/>
      <c r="Z352" s="85" t="n"/>
    </row>
    <row r="353" ht="15.75" customHeight="1" s="86">
      <c r="T353" s="85" t="n"/>
      <c r="U353" s="85" t="n"/>
      <c r="V353" s="85" t="n"/>
      <c r="W353" s="85" t="n"/>
      <c r="X353" s="85" t="n"/>
      <c r="Y353" s="85" t="n"/>
      <c r="Z353" s="85" t="n"/>
    </row>
    <row r="354" ht="15.75" customHeight="1" s="86">
      <c r="T354" s="85" t="n"/>
      <c r="U354" s="85" t="n"/>
      <c r="V354" s="85" t="n"/>
      <c r="W354" s="85" t="n"/>
      <c r="X354" s="85" t="n"/>
      <c r="Y354" s="85" t="n"/>
      <c r="Z354" s="85" t="n"/>
    </row>
    <row r="355" ht="15.75" customHeight="1" s="86">
      <c r="T355" s="85" t="n"/>
      <c r="U355" s="85" t="n"/>
      <c r="V355" s="85" t="n"/>
      <c r="W355" s="85" t="n"/>
      <c r="X355" s="85" t="n"/>
      <c r="Y355" s="85" t="n"/>
      <c r="Z355" s="85" t="n"/>
    </row>
    <row r="356" ht="15.75" customHeight="1" s="86">
      <c r="T356" s="85" t="n"/>
      <c r="U356" s="85" t="n"/>
      <c r="V356" s="85" t="n"/>
      <c r="W356" s="85" t="n"/>
      <c r="X356" s="85" t="n"/>
      <c r="Y356" s="85" t="n"/>
      <c r="Z356" s="85" t="n"/>
    </row>
    <row r="357" ht="15.75" customHeight="1" s="86">
      <c r="T357" s="85" t="n"/>
      <c r="U357" s="85" t="n"/>
      <c r="V357" s="85" t="n"/>
      <c r="W357" s="85" t="n"/>
      <c r="X357" s="85" t="n"/>
      <c r="Y357" s="85" t="n"/>
      <c r="Z357" s="85" t="n"/>
    </row>
    <row r="358" ht="15.75" customHeight="1" s="86">
      <c r="T358" s="85" t="n"/>
      <c r="U358" s="85" t="n"/>
      <c r="V358" s="85" t="n"/>
      <c r="W358" s="85" t="n"/>
      <c r="X358" s="85" t="n"/>
      <c r="Y358" s="85" t="n"/>
      <c r="Z358" s="85" t="n"/>
    </row>
    <row r="359" ht="15.75" customHeight="1" s="86">
      <c r="T359" s="85" t="n"/>
      <c r="U359" s="85" t="n"/>
      <c r="V359" s="85" t="n"/>
      <c r="W359" s="85" t="n"/>
      <c r="X359" s="85" t="n"/>
      <c r="Y359" s="85" t="n"/>
      <c r="Z359" s="85" t="n"/>
    </row>
    <row r="360" ht="15.75" customHeight="1" s="86">
      <c r="T360" s="85" t="n"/>
      <c r="U360" s="85" t="n"/>
      <c r="V360" s="85" t="n"/>
      <c r="W360" s="85" t="n"/>
      <c r="X360" s="85" t="n"/>
      <c r="Y360" s="85" t="n"/>
      <c r="Z360" s="85" t="n"/>
    </row>
    <row r="361" ht="15.75" customHeight="1" s="86">
      <c r="T361" s="85" t="n"/>
      <c r="U361" s="85" t="n"/>
      <c r="V361" s="85" t="n"/>
      <c r="W361" s="85" t="n"/>
      <c r="X361" s="85" t="n"/>
      <c r="Y361" s="85" t="n"/>
      <c r="Z361" s="85" t="n"/>
    </row>
    <row r="362" ht="15.75" customHeight="1" s="86">
      <c r="T362" s="85" t="n"/>
      <c r="U362" s="85" t="n"/>
      <c r="V362" s="85" t="n"/>
      <c r="W362" s="85" t="n"/>
      <c r="X362" s="85" t="n"/>
      <c r="Y362" s="85" t="n"/>
      <c r="Z362" s="85" t="n"/>
    </row>
    <row r="363" ht="15.75" customHeight="1" s="86">
      <c r="T363" s="85" t="n"/>
      <c r="U363" s="85" t="n"/>
      <c r="V363" s="85" t="n"/>
      <c r="W363" s="85" t="n"/>
      <c r="X363" s="85" t="n"/>
      <c r="Y363" s="85" t="n"/>
      <c r="Z363" s="85" t="n"/>
    </row>
    <row r="364" ht="15.75" customHeight="1" s="86">
      <c r="T364" s="85" t="n"/>
      <c r="U364" s="85" t="n"/>
      <c r="V364" s="85" t="n"/>
      <c r="W364" s="85" t="n"/>
      <c r="X364" s="85" t="n"/>
      <c r="Y364" s="85" t="n"/>
      <c r="Z364" s="85" t="n"/>
    </row>
    <row r="365" ht="15.75" customHeight="1" s="86">
      <c r="T365" s="85" t="n"/>
      <c r="U365" s="85" t="n"/>
      <c r="V365" s="85" t="n"/>
      <c r="W365" s="85" t="n"/>
      <c r="X365" s="85" t="n"/>
      <c r="Y365" s="85" t="n"/>
      <c r="Z365" s="85" t="n"/>
    </row>
    <row r="366" ht="15.75" customHeight="1" s="86">
      <c r="T366" s="85" t="n"/>
      <c r="U366" s="85" t="n"/>
      <c r="V366" s="85" t="n"/>
      <c r="W366" s="85" t="n"/>
      <c r="X366" s="85" t="n"/>
      <c r="Y366" s="85" t="n"/>
      <c r="Z366" s="85" t="n"/>
    </row>
    <row r="367" ht="15.75" customHeight="1" s="86">
      <c r="T367" s="85" t="n"/>
      <c r="U367" s="85" t="n"/>
      <c r="V367" s="85" t="n"/>
      <c r="W367" s="85" t="n"/>
      <c r="X367" s="85" t="n"/>
      <c r="Y367" s="85" t="n"/>
      <c r="Z367" s="85" t="n"/>
    </row>
    <row r="368" ht="15.75" customHeight="1" s="86">
      <c r="T368" s="85" t="n"/>
      <c r="U368" s="85" t="n"/>
      <c r="V368" s="85" t="n"/>
      <c r="W368" s="85" t="n"/>
      <c r="X368" s="85" t="n"/>
      <c r="Y368" s="85" t="n"/>
      <c r="Z368" s="85" t="n"/>
    </row>
    <row r="369" ht="15.75" customHeight="1" s="86">
      <c r="T369" s="85" t="n"/>
      <c r="U369" s="85" t="n"/>
      <c r="V369" s="85" t="n"/>
      <c r="W369" s="85" t="n"/>
      <c r="X369" s="85" t="n"/>
      <c r="Y369" s="85" t="n"/>
      <c r="Z369" s="85" t="n"/>
    </row>
    <row r="370" ht="15.75" customHeight="1" s="86">
      <c r="T370" s="85" t="n"/>
      <c r="U370" s="85" t="n"/>
      <c r="V370" s="85" t="n"/>
      <c r="W370" s="85" t="n"/>
      <c r="X370" s="85" t="n"/>
      <c r="Y370" s="85" t="n"/>
      <c r="Z370" s="85" t="n"/>
    </row>
    <row r="371" ht="15.75" customHeight="1" s="86">
      <c r="T371" s="85" t="n"/>
      <c r="U371" s="85" t="n"/>
      <c r="V371" s="85" t="n"/>
      <c r="W371" s="85" t="n"/>
      <c r="X371" s="85" t="n"/>
      <c r="Y371" s="85" t="n"/>
      <c r="Z371" s="85" t="n"/>
    </row>
    <row r="372" ht="15.75" customHeight="1" s="86">
      <c r="T372" s="85" t="n"/>
      <c r="U372" s="85" t="n"/>
      <c r="V372" s="85" t="n"/>
      <c r="W372" s="85" t="n"/>
      <c r="X372" s="85" t="n"/>
      <c r="Y372" s="85" t="n"/>
      <c r="Z372" s="85" t="n"/>
    </row>
    <row r="373" ht="15.75" customHeight="1" s="86">
      <c r="T373" s="85" t="n"/>
      <c r="U373" s="85" t="n"/>
      <c r="V373" s="85" t="n"/>
      <c r="W373" s="85" t="n"/>
      <c r="X373" s="85" t="n"/>
      <c r="Y373" s="85" t="n"/>
      <c r="Z373" s="85" t="n"/>
    </row>
    <row r="374" ht="15.75" customHeight="1" s="86">
      <c r="T374" s="85" t="n"/>
      <c r="U374" s="85" t="n"/>
      <c r="V374" s="85" t="n"/>
      <c r="W374" s="85" t="n"/>
      <c r="X374" s="85" t="n"/>
      <c r="Y374" s="85" t="n"/>
      <c r="Z374" s="85" t="n"/>
    </row>
    <row r="375" ht="15.75" customHeight="1" s="86">
      <c r="T375" s="85" t="n"/>
      <c r="U375" s="85" t="n"/>
      <c r="V375" s="85" t="n"/>
      <c r="W375" s="85" t="n"/>
      <c r="X375" s="85" t="n"/>
      <c r="Y375" s="85" t="n"/>
      <c r="Z375" s="85" t="n"/>
    </row>
    <row r="376" ht="15.75" customHeight="1" s="86">
      <c r="T376" s="85" t="n"/>
      <c r="U376" s="85" t="n"/>
      <c r="V376" s="85" t="n"/>
      <c r="W376" s="85" t="n"/>
      <c r="X376" s="85" t="n"/>
      <c r="Y376" s="85" t="n"/>
      <c r="Z376" s="85" t="n"/>
    </row>
    <row r="377" ht="15.75" customHeight="1" s="86">
      <c r="T377" s="85" t="n"/>
      <c r="U377" s="85" t="n"/>
      <c r="V377" s="85" t="n"/>
      <c r="W377" s="85" t="n"/>
      <c r="X377" s="85" t="n"/>
      <c r="Y377" s="85" t="n"/>
      <c r="Z377" s="85" t="n"/>
    </row>
    <row r="378" ht="15.75" customHeight="1" s="86">
      <c r="T378" s="85" t="n"/>
      <c r="U378" s="85" t="n"/>
      <c r="V378" s="85" t="n"/>
      <c r="W378" s="85" t="n"/>
      <c r="X378" s="85" t="n"/>
      <c r="Y378" s="85" t="n"/>
      <c r="Z378" s="85" t="n"/>
    </row>
    <row r="379" ht="15.75" customHeight="1" s="86">
      <c r="T379" s="85" t="n"/>
      <c r="U379" s="85" t="n"/>
      <c r="V379" s="85" t="n"/>
      <c r="W379" s="85" t="n"/>
      <c r="X379" s="85" t="n"/>
      <c r="Y379" s="85" t="n"/>
      <c r="Z379" s="85" t="n"/>
    </row>
    <row r="380" ht="15.75" customHeight="1" s="86">
      <c r="T380" s="85" t="n"/>
      <c r="U380" s="85" t="n"/>
      <c r="V380" s="85" t="n"/>
      <c r="W380" s="85" t="n"/>
      <c r="X380" s="85" t="n"/>
      <c r="Y380" s="85" t="n"/>
      <c r="Z380" s="85" t="n"/>
    </row>
    <row r="381" ht="15.75" customHeight="1" s="86">
      <c r="T381" s="85" t="n"/>
      <c r="U381" s="85" t="n"/>
      <c r="V381" s="85" t="n"/>
      <c r="W381" s="85" t="n"/>
      <c r="X381" s="85" t="n"/>
      <c r="Y381" s="85" t="n"/>
      <c r="Z381" s="85" t="n"/>
    </row>
    <row r="382" ht="15.75" customHeight="1" s="86">
      <c r="T382" s="85" t="n"/>
      <c r="U382" s="85" t="n"/>
      <c r="V382" s="85" t="n"/>
      <c r="W382" s="85" t="n"/>
      <c r="X382" s="85" t="n"/>
      <c r="Y382" s="85" t="n"/>
      <c r="Z382" s="85" t="n"/>
    </row>
    <row r="383" ht="15.75" customHeight="1" s="86">
      <c r="T383" s="85" t="n"/>
      <c r="U383" s="85" t="n"/>
      <c r="V383" s="85" t="n"/>
      <c r="W383" s="85" t="n"/>
      <c r="X383" s="85" t="n"/>
      <c r="Y383" s="85" t="n"/>
      <c r="Z383" s="85" t="n"/>
    </row>
    <row r="384" ht="15.75" customHeight="1" s="86">
      <c r="T384" s="85" t="n"/>
      <c r="U384" s="85" t="n"/>
      <c r="V384" s="85" t="n"/>
      <c r="W384" s="85" t="n"/>
      <c r="X384" s="85" t="n"/>
      <c r="Y384" s="85" t="n"/>
      <c r="Z384" s="85" t="n"/>
    </row>
    <row r="385" ht="15.75" customHeight="1" s="86">
      <c r="T385" s="85" t="n"/>
      <c r="U385" s="85" t="n"/>
      <c r="V385" s="85" t="n"/>
      <c r="W385" s="85" t="n"/>
      <c r="X385" s="85" t="n"/>
      <c r="Y385" s="85" t="n"/>
      <c r="Z385" s="85" t="n"/>
    </row>
    <row r="386" ht="15.75" customHeight="1" s="86">
      <c r="T386" s="85" t="n"/>
      <c r="U386" s="85" t="n"/>
      <c r="V386" s="85" t="n"/>
      <c r="W386" s="85" t="n"/>
      <c r="X386" s="85" t="n"/>
      <c r="Y386" s="85" t="n"/>
      <c r="Z386" s="85" t="n"/>
    </row>
    <row r="387" ht="15.75" customHeight="1" s="86">
      <c r="T387" s="85" t="n"/>
      <c r="U387" s="85" t="n"/>
      <c r="V387" s="85" t="n"/>
      <c r="W387" s="85" t="n"/>
      <c r="X387" s="85" t="n"/>
      <c r="Y387" s="85" t="n"/>
      <c r="Z387" s="85" t="n"/>
    </row>
    <row r="388" ht="15.75" customHeight="1" s="86">
      <c r="T388" s="85" t="n"/>
      <c r="U388" s="85" t="n"/>
      <c r="V388" s="85" t="n"/>
      <c r="W388" s="85" t="n"/>
      <c r="X388" s="85" t="n"/>
      <c r="Y388" s="85" t="n"/>
      <c r="Z388" s="85" t="n"/>
    </row>
    <row r="389" ht="15.75" customHeight="1" s="86">
      <c r="T389" s="85" t="n"/>
      <c r="U389" s="85" t="n"/>
      <c r="V389" s="85" t="n"/>
      <c r="W389" s="85" t="n"/>
      <c r="X389" s="85" t="n"/>
      <c r="Y389" s="85" t="n"/>
      <c r="Z389" s="85" t="n"/>
    </row>
    <row r="390" ht="15.75" customHeight="1" s="86">
      <c r="T390" s="85" t="n"/>
      <c r="U390" s="85" t="n"/>
      <c r="V390" s="85" t="n"/>
      <c r="W390" s="85" t="n"/>
      <c r="X390" s="85" t="n"/>
      <c r="Y390" s="85" t="n"/>
      <c r="Z390" s="85" t="n"/>
    </row>
    <row r="391" ht="15.75" customHeight="1" s="86">
      <c r="T391" s="85" t="n"/>
      <c r="U391" s="85" t="n"/>
      <c r="V391" s="85" t="n"/>
      <c r="W391" s="85" t="n"/>
      <c r="X391" s="85" t="n"/>
      <c r="Y391" s="85" t="n"/>
      <c r="Z391" s="85" t="n"/>
    </row>
    <row r="392" ht="15.75" customHeight="1" s="86">
      <c r="T392" s="85" t="n"/>
      <c r="U392" s="85" t="n"/>
      <c r="V392" s="85" t="n"/>
      <c r="W392" s="85" t="n"/>
      <c r="X392" s="85" t="n"/>
      <c r="Y392" s="85" t="n"/>
      <c r="Z392" s="85" t="n"/>
    </row>
    <row r="393" ht="15.75" customHeight="1" s="86">
      <c r="T393" s="85" t="n"/>
      <c r="U393" s="85" t="n"/>
      <c r="V393" s="85" t="n"/>
      <c r="W393" s="85" t="n"/>
      <c r="X393" s="85" t="n"/>
      <c r="Y393" s="85" t="n"/>
      <c r="Z393" s="85" t="n"/>
    </row>
    <row r="394" ht="15.75" customHeight="1" s="86">
      <c r="T394" s="85" t="n"/>
      <c r="U394" s="85" t="n"/>
      <c r="V394" s="85" t="n"/>
      <c r="W394" s="85" t="n"/>
      <c r="X394" s="85" t="n"/>
      <c r="Y394" s="85" t="n"/>
      <c r="Z394" s="85" t="n"/>
    </row>
    <row r="395" ht="15.75" customHeight="1" s="86">
      <c r="T395" s="85" t="n"/>
      <c r="U395" s="85" t="n"/>
      <c r="V395" s="85" t="n"/>
      <c r="W395" s="85" t="n"/>
      <c r="X395" s="85" t="n"/>
      <c r="Y395" s="85" t="n"/>
      <c r="Z395" s="85" t="n"/>
    </row>
    <row r="396" ht="15.75" customHeight="1" s="86">
      <c r="T396" s="85" t="n"/>
      <c r="U396" s="85" t="n"/>
      <c r="V396" s="85" t="n"/>
      <c r="W396" s="85" t="n"/>
      <c r="X396" s="85" t="n"/>
      <c r="Y396" s="85" t="n"/>
      <c r="Z396" s="85" t="n"/>
    </row>
    <row r="397" ht="15.75" customHeight="1" s="86">
      <c r="T397" s="85" t="n"/>
      <c r="U397" s="85" t="n"/>
      <c r="V397" s="85" t="n"/>
      <c r="W397" s="85" t="n"/>
      <c r="X397" s="85" t="n"/>
      <c r="Y397" s="85" t="n"/>
      <c r="Z397" s="85" t="n"/>
    </row>
    <row r="398" ht="15.75" customHeight="1" s="86">
      <c r="T398" s="85" t="n"/>
      <c r="U398" s="85" t="n"/>
      <c r="V398" s="85" t="n"/>
      <c r="W398" s="85" t="n"/>
      <c r="X398" s="85" t="n"/>
      <c r="Y398" s="85" t="n"/>
      <c r="Z398" s="85" t="n"/>
    </row>
    <row r="399" ht="15.75" customHeight="1" s="86">
      <c r="T399" s="85" t="n"/>
      <c r="U399" s="85" t="n"/>
      <c r="V399" s="85" t="n"/>
      <c r="W399" s="85" t="n"/>
      <c r="X399" s="85" t="n"/>
      <c r="Y399" s="85" t="n"/>
      <c r="Z399" s="85" t="n"/>
    </row>
    <row r="400" ht="15.75" customHeight="1" s="86">
      <c r="T400" s="85" t="n"/>
      <c r="U400" s="85" t="n"/>
      <c r="V400" s="85" t="n"/>
      <c r="W400" s="85" t="n"/>
      <c r="X400" s="85" t="n"/>
      <c r="Y400" s="85" t="n"/>
      <c r="Z400" s="85" t="n"/>
    </row>
    <row r="401" ht="15.75" customHeight="1" s="86">
      <c r="T401" s="85" t="n"/>
      <c r="U401" s="85" t="n"/>
      <c r="V401" s="85" t="n"/>
      <c r="W401" s="85" t="n"/>
      <c r="X401" s="85" t="n"/>
      <c r="Y401" s="85" t="n"/>
      <c r="Z401" s="85" t="n"/>
    </row>
    <row r="402" ht="15.75" customHeight="1" s="86">
      <c r="T402" s="85" t="n"/>
      <c r="U402" s="85" t="n"/>
      <c r="V402" s="85" t="n"/>
      <c r="W402" s="85" t="n"/>
      <c r="X402" s="85" t="n"/>
      <c r="Y402" s="85" t="n"/>
      <c r="Z402" s="85" t="n"/>
    </row>
    <row r="403" ht="15.75" customHeight="1" s="86">
      <c r="T403" s="85" t="n"/>
      <c r="U403" s="85" t="n"/>
      <c r="V403" s="85" t="n"/>
      <c r="W403" s="85" t="n"/>
      <c r="X403" s="85" t="n"/>
      <c r="Y403" s="85" t="n"/>
      <c r="Z403" s="85" t="n"/>
    </row>
    <row r="404" ht="15.75" customHeight="1" s="86">
      <c r="T404" s="85" t="n"/>
      <c r="U404" s="85" t="n"/>
      <c r="V404" s="85" t="n"/>
      <c r="W404" s="85" t="n"/>
      <c r="X404" s="85" t="n"/>
      <c r="Y404" s="85" t="n"/>
      <c r="Z404" s="85" t="n"/>
    </row>
    <row r="405" ht="15.75" customHeight="1" s="86">
      <c r="T405" s="85" t="n"/>
      <c r="U405" s="85" t="n"/>
      <c r="V405" s="85" t="n"/>
      <c r="W405" s="85" t="n"/>
      <c r="X405" s="85" t="n"/>
      <c r="Y405" s="85" t="n"/>
      <c r="Z405" s="85" t="n"/>
    </row>
    <row r="406" ht="15.75" customHeight="1" s="86">
      <c r="T406" s="85" t="n"/>
      <c r="U406" s="85" t="n"/>
      <c r="V406" s="85" t="n"/>
      <c r="W406" s="85" t="n"/>
      <c r="X406" s="85" t="n"/>
      <c r="Y406" s="85" t="n"/>
      <c r="Z406" s="85" t="n"/>
    </row>
    <row r="407" ht="15.75" customHeight="1" s="86">
      <c r="T407" s="85" t="n"/>
      <c r="U407" s="85" t="n"/>
      <c r="V407" s="85" t="n"/>
      <c r="W407" s="85" t="n"/>
      <c r="X407" s="85" t="n"/>
      <c r="Y407" s="85" t="n"/>
      <c r="Z407" s="85" t="n"/>
    </row>
    <row r="408" ht="15.75" customHeight="1" s="86">
      <c r="T408" s="85" t="n"/>
      <c r="U408" s="85" t="n"/>
      <c r="V408" s="85" t="n"/>
      <c r="W408" s="85" t="n"/>
      <c r="X408" s="85" t="n"/>
      <c r="Y408" s="85" t="n"/>
      <c r="Z408" s="85" t="n"/>
    </row>
    <row r="409" ht="15.75" customHeight="1" s="86">
      <c r="T409" s="85" t="n"/>
      <c r="U409" s="85" t="n"/>
      <c r="V409" s="85" t="n"/>
      <c r="W409" s="85" t="n"/>
      <c r="X409" s="85" t="n"/>
      <c r="Y409" s="85" t="n"/>
      <c r="Z409" s="85" t="n"/>
    </row>
    <row r="410" ht="15.75" customHeight="1" s="86">
      <c r="T410" s="85" t="n"/>
      <c r="U410" s="85" t="n"/>
      <c r="V410" s="85" t="n"/>
      <c r="W410" s="85" t="n"/>
      <c r="X410" s="85" t="n"/>
      <c r="Y410" s="85" t="n"/>
      <c r="Z410" s="85" t="n"/>
    </row>
    <row r="411" ht="15.75" customHeight="1" s="86">
      <c r="T411" s="85" t="n"/>
      <c r="U411" s="85" t="n"/>
      <c r="V411" s="85" t="n"/>
      <c r="W411" s="85" t="n"/>
      <c r="X411" s="85" t="n"/>
      <c r="Y411" s="85" t="n"/>
      <c r="Z411" s="85" t="n"/>
    </row>
    <row r="412" ht="15.75" customHeight="1" s="86">
      <c r="T412" s="85" t="n"/>
      <c r="U412" s="85" t="n"/>
      <c r="V412" s="85" t="n"/>
      <c r="W412" s="85" t="n"/>
      <c r="X412" s="85" t="n"/>
      <c r="Y412" s="85" t="n"/>
      <c r="Z412" s="85" t="n"/>
    </row>
    <row r="413" ht="15.75" customHeight="1" s="86">
      <c r="T413" s="85" t="n"/>
      <c r="U413" s="85" t="n"/>
      <c r="V413" s="85" t="n"/>
      <c r="W413" s="85" t="n"/>
      <c r="X413" s="85" t="n"/>
      <c r="Y413" s="85" t="n"/>
      <c r="Z413" s="85" t="n"/>
    </row>
    <row r="414" ht="15.75" customHeight="1" s="86">
      <c r="T414" s="85" t="n"/>
      <c r="U414" s="85" t="n"/>
      <c r="V414" s="85" t="n"/>
      <c r="W414" s="85" t="n"/>
      <c r="X414" s="85" t="n"/>
      <c r="Y414" s="85" t="n"/>
      <c r="Z414" s="85" t="n"/>
    </row>
    <row r="415" ht="15.75" customHeight="1" s="86">
      <c r="T415" s="85" t="n"/>
      <c r="U415" s="85" t="n"/>
      <c r="V415" s="85" t="n"/>
      <c r="W415" s="85" t="n"/>
      <c r="X415" s="85" t="n"/>
      <c r="Y415" s="85" t="n"/>
      <c r="Z415" s="85" t="n"/>
    </row>
    <row r="416" ht="15.75" customHeight="1" s="86">
      <c r="T416" s="85" t="n"/>
      <c r="U416" s="85" t="n"/>
      <c r="V416" s="85" t="n"/>
      <c r="W416" s="85" t="n"/>
      <c r="X416" s="85" t="n"/>
      <c r="Y416" s="85" t="n"/>
      <c r="Z416" s="85" t="n"/>
    </row>
    <row r="417" ht="15.75" customHeight="1" s="86">
      <c r="T417" s="85" t="n"/>
      <c r="U417" s="85" t="n"/>
      <c r="V417" s="85" t="n"/>
      <c r="W417" s="85" t="n"/>
      <c r="X417" s="85" t="n"/>
      <c r="Y417" s="85" t="n"/>
      <c r="Z417" s="85" t="n"/>
    </row>
    <row r="418" ht="15.75" customHeight="1" s="86">
      <c r="T418" s="85" t="n"/>
      <c r="U418" s="85" t="n"/>
      <c r="V418" s="85" t="n"/>
      <c r="W418" s="85" t="n"/>
      <c r="X418" s="85" t="n"/>
      <c r="Y418" s="85" t="n"/>
      <c r="Z418" s="85" t="n"/>
    </row>
    <row r="419" ht="15.75" customHeight="1" s="86">
      <c r="T419" s="85" t="n"/>
      <c r="U419" s="85" t="n"/>
      <c r="V419" s="85" t="n"/>
      <c r="W419" s="85" t="n"/>
      <c r="X419" s="85" t="n"/>
      <c r="Y419" s="85" t="n"/>
      <c r="Z419" s="85" t="n"/>
    </row>
    <row r="420" ht="15.75" customHeight="1" s="86">
      <c r="T420" s="85" t="n"/>
      <c r="U420" s="85" t="n"/>
      <c r="V420" s="85" t="n"/>
      <c r="W420" s="85" t="n"/>
      <c r="X420" s="85" t="n"/>
      <c r="Y420" s="85" t="n"/>
      <c r="Z420" s="85" t="n"/>
    </row>
    <row r="421" ht="15.75" customHeight="1" s="86">
      <c r="T421" s="85" t="n"/>
      <c r="U421" s="85" t="n"/>
      <c r="V421" s="85" t="n"/>
      <c r="W421" s="85" t="n"/>
      <c r="X421" s="85" t="n"/>
      <c r="Y421" s="85" t="n"/>
      <c r="Z421" s="85" t="n"/>
    </row>
    <row r="422" ht="15.75" customHeight="1" s="86">
      <c r="T422" s="85" t="n"/>
      <c r="U422" s="85" t="n"/>
      <c r="V422" s="85" t="n"/>
      <c r="W422" s="85" t="n"/>
      <c r="X422" s="85" t="n"/>
      <c r="Y422" s="85" t="n"/>
      <c r="Z422" s="85" t="n"/>
    </row>
    <row r="423" ht="15.75" customHeight="1" s="86">
      <c r="T423" s="85" t="n"/>
      <c r="U423" s="85" t="n"/>
      <c r="V423" s="85" t="n"/>
      <c r="W423" s="85" t="n"/>
      <c r="X423" s="85" t="n"/>
      <c r="Y423" s="85" t="n"/>
      <c r="Z423" s="85" t="n"/>
    </row>
    <row r="424" ht="15.75" customHeight="1" s="86">
      <c r="T424" s="85" t="n"/>
      <c r="U424" s="85" t="n"/>
      <c r="V424" s="85" t="n"/>
      <c r="W424" s="85" t="n"/>
      <c r="X424" s="85" t="n"/>
      <c r="Y424" s="85" t="n"/>
      <c r="Z424" s="85" t="n"/>
    </row>
    <row r="425" ht="15.75" customHeight="1" s="86">
      <c r="T425" s="85" t="n"/>
      <c r="U425" s="85" t="n"/>
      <c r="V425" s="85" t="n"/>
      <c r="W425" s="85" t="n"/>
      <c r="X425" s="85" t="n"/>
      <c r="Y425" s="85" t="n"/>
      <c r="Z425" s="85" t="n"/>
    </row>
    <row r="426" ht="15.75" customHeight="1" s="86">
      <c r="T426" s="85" t="n"/>
      <c r="U426" s="85" t="n"/>
      <c r="V426" s="85" t="n"/>
      <c r="W426" s="85" t="n"/>
      <c r="X426" s="85" t="n"/>
      <c r="Y426" s="85" t="n"/>
      <c r="Z426" s="85" t="n"/>
    </row>
    <row r="427" ht="15.75" customHeight="1" s="86">
      <c r="T427" s="85" t="n"/>
      <c r="U427" s="85" t="n"/>
      <c r="V427" s="85" t="n"/>
      <c r="W427" s="85" t="n"/>
      <c r="X427" s="85" t="n"/>
      <c r="Y427" s="85" t="n"/>
      <c r="Z427" s="85" t="n"/>
    </row>
    <row r="428" ht="15.75" customHeight="1" s="86">
      <c r="T428" s="85" t="n"/>
      <c r="U428" s="85" t="n"/>
      <c r="V428" s="85" t="n"/>
      <c r="W428" s="85" t="n"/>
      <c r="X428" s="85" t="n"/>
      <c r="Y428" s="85" t="n"/>
      <c r="Z428" s="85" t="n"/>
    </row>
    <row r="429" ht="15.75" customHeight="1" s="86">
      <c r="T429" s="85" t="n"/>
      <c r="U429" s="85" t="n"/>
      <c r="V429" s="85" t="n"/>
      <c r="W429" s="85" t="n"/>
      <c r="X429" s="85" t="n"/>
      <c r="Y429" s="85" t="n"/>
      <c r="Z429" s="85" t="n"/>
    </row>
    <row r="430" ht="15.75" customHeight="1" s="86">
      <c r="T430" s="85" t="n"/>
      <c r="U430" s="85" t="n"/>
      <c r="V430" s="85" t="n"/>
      <c r="W430" s="85" t="n"/>
      <c r="X430" s="85" t="n"/>
      <c r="Y430" s="85" t="n"/>
      <c r="Z430" s="85" t="n"/>
    </row>
    <row r="431" ht="15.75" customHeight="1" s="86">
      <c r="T431" s="85" t="n"/>
      <c r="U431" s="85" t="n"/>
      <c r="V431" s="85" t="n"/>
      <c r="W431" s="85" t="n"/>
      <c r="X431" s="85" t="n"/>
      <c r="Y431" s="85" t="n"/>
      <c r="Z431" s="85" t="n"/>
    </row>
    <row r="432" ht="15.75" customHeight="1" s="86">
      <c r="T432" s="85" t="n"/>
      <c r="U432" s="85" t="n"/>
      <c r="V432" s="85" t="n"/>
      <c r="W432" s="85" t="n"/>
      <c r="X432" s="85" t="n"/>
      <c r="Y432" s="85" t="n"/>
      <c r="Z432" s="85" t="n"/>
    </row>
    <row r="433" ht="15.75" customHeight="1" s="86">
      <c r="T433" s="85" t="n"/>
      <c r="U433" s="85" t="n"/>
      <c r="V433" s="85" t="n"/>
      <c r="W433" s="85" t="n"/>
      <c r="X433" s="85" t="n"/>
      <c r="Y433" s="85" t="n"/>
      <c r="Z433" s="85" t="n"/>
    </row>
    <row r="434" ht="15.75" customHeight="1" s="86">
      <c r="T434" s="85" t="n"/>
      <c r="U434" s="85" t="n"/>
      <c r="V434" s="85" t="n"/>
      <c r="W434" s="85" t="n"/>
      <c r="X434" s="85" t="n"/>
      <c r="Y434" s="85" t="n"/>
      <c r="Z434" s="85" t="n"/>
    </row>
    <row r="435" ht="15.75" customHeight="1" s="86">
      <c r="T435" s="85" t="n"/>
      <c r="U435" s="85" t="n"/>
      <c r="V435" s="85" t="n"/>
      <c r="W435" s="85" t="n"/>
      <c r="X435" s="85" t="n"/>
      <c r="Y435" s="85" t="n"/>
      <c r="Z435" s="85" t="n"/>
    </row>
    <row r="436" ht="15.75" customHeight="1" s="86">
      <c r="T436" s="85" t="n"/>
      <c r="U436" s="85" t="n"/>
      <c r="V436" s="85" t="n"/>
      <c r="W436" s="85" t="n"/>
      <c r="X436" s="85" t="n"/>
      <c r="Y436" s="85" t="n"/>
      <c r="Z436" s="85" t="n"/>
    </row>
    <row r="437" ht="15.75" customHeight="1" s="86">
      <c r="T437" s="85" t="n"/>
      <c r="U437" s="85" t="n"/>
      <c r="V437" s="85" t="n"/>
      <c r="W437" s="85" t="n"/>
      <c r="X437" s="85" t="n"/>
      <c r="Y437" s="85" t="n"/>
      <c r="Z437" s="85" t="n"/>
    </row>
    <row r="438" ht="15.75" customHeight="1" s="86">
      <c r="T438" s="85" t="n"/>
      <c r="U438" s="85" t="n"/>
      <c r="V438" s="85" t="n"/>
      <c r="W438" s="85" t="n"/>
      <c r="X438" s="85" t="n"/>
      <c r="Y438" s="85" t="n"/>
      <c r="Z438" s="85" t="n"/>
    </row>
    <row r="439" ht="15.75" customHeight="1" s="86">
      <c r="T439" s="85" t="n"/>
      <c r="U439" s="85" t="n"/>
      <c r="V439" s="85" t="n"/>
      <c r="W439" s="85" t="n"/>
      <c r="X439" s="85" t="n"/>
      <c r="Y439" s="85" t="n"/>
      <c r="Z439" s="85" t="n"/>
    </row>
    <row r="440" ht="15.75" customHeight="1" s="86">
      <c r="T440" s="85" t="n"/>
      <c r="U440" s="85" t="n"/>
      <c r="V440" s="85" t="n"/>
      <c r="W440" s="85" t="n"/>
      <c r="X440" s="85" t="n"/>
      <c r="Y440" s="85" t="n"/>
      <c r="Z440" s="85" t="n"/>
    </row>
    <row r="441" ht="15.75" customHeight="1" s="86">
      <c r="T441" s="85" t="n"/>
      <c r="U441" s="85" t="n"/>
      <c r="V441" s="85" t="n"/>
      <c r="W441" s="85" t="n"/>
      <c r="X441" s="85" t="n"/>
      <c r="Y441" s="85" t="n"/>
      <c r="Z441" s="85" t="n"/>
    </row>
    <row r="442" ht="15.75" customHeight="1" s="86">
      <c r="T442" s="85" t="n"/>
      <c r="U442" s="85" t="n"/>
      <c r="V442" s="85" t="n"/>
      <c r="W442" s="85" t="n"/>
      <c r="X442" s="85" t="n"/>
      <c r="Y442" s="85" t="n"/>
      <c r="Z442" s="85" t="n"/>
    </row>
    <row r="443" ht="15.75" customHeight="1" s="86">
      <c r="T443" s="85" t="n"/>
      <c r="U443" s="85" t="n"/>
      <c r="V443" s="85" t="n"/>
      <c r="W443" s="85" t="n"/>
      <c r="X443" s="85" t="n"/>
      <c r="Y443" s="85" t="n"/>
      <c r="Z443" s="85" t="n"/>
    </row>
    <row r="444" ht="15.75" customHeight="1" s="86">
      <c r="T444" s="85" t="n"/>
      <c r="U444" s="85" t="n"/>
      <c r="V444" s="85" t="n"/>
      <c r="W444" s="85" t="n"/>
      <c r="X444" s="85" t="n"/>
      <c r="Y444" s="85" t="n"/>
      <c r="Z444" s="85" t="n"/>
    </row>
    <row r="445" ht="15.75" customHeight="1" s="86">
      <c r="T445" s="85" t="n"/>
      <c r="U445" s="85" t="n"/>
      <c r="V445" s="85" t="n"/>
      <c r="W445" s="85" t="n"/>
      <c r="X445" s="85" t="n"/>
      <c r="Y445" s="85" t="n"/>
      <c r="Z445" s="85" t="n"/>
    </row>
    <row r="446" ht="15.75" customHeight="1" s="86">
      <c r="T446" s="85" t="n"/>
      <c r="U446" s="85" t="n"/>
      <c r="V446" s="85" t="n"/>
      <c r="W446" s="85" t="n"/>
      <c r="X446" s="85" t="n"/>
      <c r="Y446" s="85" t="n"/>
      <c r="Z446" s="85" t="n"/>
    </row>
    <row r="447" ht="15.75" customHeight="1" s="86">
      <c r="T447" s="85" t="n"/>
      <c r="U447" s="85" t="n"/>
      <c r="V447" s="85" t="n"/>
      <c r="W447" s="85" t="n"/>
      <c r="X447" s="85" t="n"/>
      <c r="Y447" s="85" t="n"/>
      <c r="Z447" s="85" t="n"/>
    </row>
    <row r="448" ht="15.75" customHeight="1" s="86">
      <c r="T448" s="85" t="n"/>
      <c r="U448" s="85" t="n"/>
      <c r="V448" s="85" t="n"/>
      <c r="W448" s="85" t="n"/>
      <c r="X448" s="85" t="n"/>
      <c r="Y448" s="85" t="n"/>
      <c r="Z448" s="85" t="n"/>
    </row>
    <row r="449" ht="15.75" customHeight="1" s="86">
      <c r="T449" s="85" t="n"/>
      <c r="U449" s="85" t="n"/>
      <c r="V449" s="85" t="n"/>
      <c r="W449" s="85" t="n"/>
      <c r="X449" s="85" t="n"/>
      <c r="Y449" s="85" t="n"/>
      <c r="Z449" s="85" t="n"/>
    </row>
    <row r="450" ht="15.75" customHeight="1" s="86">
      <c r="T450" s="85" t="n"/>
      <c r="U450" s="85" t="n"/>
      <c r="V450" s="85" t="n"/>
      <c r="W450" s="85" t="n"/>
      <c r="X450" s="85" t="n"/>
      <c r="Y450" s="85" t="n"/>
      <c r="Z450" s="85" t="n"/>
    </row>
    <row r="451" ht="15.75" customHeight="1" s="86">
      <c r="T451" s="85" t="n"/>
      <c r="U451" s="85" t="n"/>
      <c r="V451" s="85" t="n"/>
      <c r="W451" s="85" t="n"/>
      <c r="X451" s="85" t="n"/>
      <c r="Y451" s="85" t="n"/>
      <c r="Z451" s="85" t="n"/>
    </row>
    <row r="452" ht="15.75" customHeight="1" s="86">
      <c r="T452" s="85" t="n"/>
      <c r="U452" s="85" t="n"/>
      <c r="V452" s="85" t="n"/>
      <c r="W452" s="85" t="n"/>
      <c r="X452" s="85" t="n"/>
      <c r="Y452" s="85" t="n"/>
      <c r="Z452" s="85" t="n"/>
    </row>
    <row r="453" ht="15.75" customHeight="1" s="86">
      <c r="T453" s="85" t="n"/>
      <c r="U453" s="85" t="n"/>
      <c r="V453" s="85" t="n"/>
      <c r="W453" s="85" t="n"/>
      <c r="X453" s="85" t="n"/>
      <c r="Y453" s="85" t="n"/>
      <c r="Z453" s="85" t="n"/>
    </row>
    <row r="454" ht="15.75" customHeight="1" s="86">
      <c r="T454" s="85" t="n"/>
      <c r="U454" s="85" t="n"/>
      <c r="V454" s="85" t="n"/>
      <c r="W454" s="85" t="n"/>
      <c r="X454" s="85" t="n"/>
      <c r="Y454" s="85" t="n"/>
      <c r="Z454" s="85" t="n"/>
    </row>
    <row r="455" ht="15.75" customHeight="1" s="86">
      <c r="T455" s="85" t="n"/>
      <c r="U455" s="85" t="n"/>
      <c r="V455" s="85" t="n"/>
      <c r="W455" s="85" t="n"/>
      <c r="X455" s="85" t="n"/>
      <c r="Y455" s="85" t="n"/>
      <c r="Z455" s="85" t="n"/>
    </row>
    <row r="456" ht="15.75" customHeight="1" s="86">
      <c r="T456" s="85" t="n"/>
      <c r="U456" s="85" t="n"/>
      <c r="V456" s="85" t="n"/>
      <c r="W456" s="85" t="n"/>
      <c r="X456" s="85" t="n"/>
      <c r="Y456" s="85" t="n"/>
      <c r="Z456" s="85" t="n"/>
    </row>
    <row r="457" ht="15.75" customHeight="1" s="86">
      <c r="T457" s="85" t="n"/>
      <c r="U457" s="85" t="n"/>
      <c r="V457" s="85" t="n"/>
      <c r="W457" s="85" t="n"/>
      <c r="X457" s="85" t="n"/>
      <c r="Y457" s="85" t="n"/>
      <c r="Z457" s="85" t="n"/>
    </row>
    <row r="458" ht="15.75" customHeight="1" s="86">
      <c r="T458" s="85" t="n"/>
      <c r="U458" s="85" t="n"/>
      <c r="V458" s="85" t="n"/>
      <c r="W458" s="85" t="n"/>
      <c r="X458" s="85" t="n"/>
      <c r="Y458" s="85" t="n"/>
      <c r="Z458" s="85" t="n"/>
    </row>
    <row r="459" ht="15.75" customHeight="1" s="86">
      <c r="T459" s="85" t="n"/>
      <c r="U459" s="85" t="n"/>
      <c r="V459" s="85" t="n"/>
      <c r="W459" s="85" t="n"/>
      <c r="X459" s="85" t="n"/>
      <c r="Y459" s="85" t="n"/>
      <c r="Z459" s="85" t="n"/>
    </row>
    <row r="460" ht="15.75" customHeight="1" s="86">
      <c r="T460" s="85" t="n"/>
      <c r="U460" s="85" t="n"/>
      <c r="V460" s="85" t="n"/>
      <c r="W460" s="85" t="n"/>
      <c r="X460" s="85" t="n"/>
      <c r="Y460" s="85" t="n"/>
      <c r="Z460" s="85" t="n"/>
    </row>
    <row r="461" ht="15.75" customHeight="1" s="86">
      <c r="T461" s="85" t="n"/>
      <c r="U461" s="85" t="n"/>
      <c r="V461" s="85" t="n"/>
      <c r="W461" s="85" t="n"/>
      <c r="X461" s="85" t="n"/>
      <c r="Y461" s="85" t="n"/>
      <c r="Z461" s="85" t="n"/>
    </row>
    <row r="462" ht="15.75" customHeight="1" s="86">
      <c r="T462" s="85" t="n"/>
      <c r="U462" s="85" t="n"/>
      <c r="V462" s="85" t="n"/>
      <c r="W462" s="85" t="n"/>
      <c r="X462" s="85" t="n"/>
      <c r="Y462" s="85" t="n"/>
      <c r="Z462" s="85" t="n"/>
    </row>
    <row r="463" ht="15.75" customHeight="1" s="86">
      <c r="T463" s="85" t="n"/>
      <c r="U463" s="85" t="n"/>
      <c r="V463" s="85" t="n"/>
      <c r="W463" s="85" t="n"/>
      <c r="X463" s="85" t="n"/>
      <c r="Y463" s="85" t="n"/>
      <c r="Z463" s="85" t="n"/>
    </row>
    <row r="464" ht="15.75" customHeight="1" s="86">
      <c r="T464" s="85" t="n"/>
      <c r="U464" s="85" t="n"/>
      <c r="V464" s="85" t="n"/>
      <c r="W464" s="85" t="n"/>
      <c r="X464" s="85" t="n"/>
      <c r="Y464" s="85" t="n"/>
      <c r="Z464" s="85" t="n"/>
    </row>
    <row r="465" ht="15.75" customHeight="1" s="86">
      <c r="T465" s="85" t="n"/>
      <c r="U465" s="85" t="n"/>
      <c r="V465" s="85" t="n"/>
      <c r="W465" s="85" t="n"/>
      <c r="X465" s="85" t="n"/>
      <c r="Y465" s="85" t="n"/>
      <c r="Z465" s="85" t="n"/>
    </row>
    <row r="466" ht="15.75" customHeight="1" s="86">
      <c r="T466" s="85" t="n"/>
      <c r="U466" s="85" t="n"/>
      <c r="V466" s="85" t="n"/>
      <c r="W466" s="85" t="n"/>
      <c r="X466" s="85" t="n"/>
      <c r="Y466" s="85" t="n"/>
      <c r="Z466" s="85" t="n"/>
    </row>
    <row r="467" ht="15.75" customHeight="1" s="86">
      <c r="T467" s="85" t="n"/>
      <c r="U467" s="85" t="n"/>
      <c r="V467" s="85" t="n"/>
      <c r="W467" s="85" t="n"/>
      <c r="X467" s="85" t="n"/>
      <c r="Y467" s="85" t="n"/>
      <c r="Z467" s="85" t="n"/>
    </row>
    <row r="468" ht="15.75" customHeight="1" s="86">
      <c r="T468" s="85" t="n"/>
      <c r="U468" s="85" t="n"/>
      <c r="V468" s="85" t="n"/>
      <c r="W468" s="85" t="n"/>
      <c r="X468" s="85" t="n"/>
      <c r="Y468" s="85" t="n"/>
      <c r="Z468" s="85" t="n"/>
    </row>
    <row r="469" ht="15.75" customHeight="1" s="86">
      <c r="T469" s="85" t="n"/>
      <c r="U469" s="85" t="n"/>
      <c r="V469" s="85" t="n"/>
      <c r="W469" s="85" t="n"/>
      <c r="X469" s="85" t="n"/>
      <c r="Y469" s="85" t="n"/>
      <c r="Z469" s="85" t="n"/>
    </row>
    <row r="470" ht="15.75" customHeight="1" s="86">
      <c r="T470" s="85" t="n"/>
      <c r="U470" s="85" t="n"/>
      <c r="V470" s="85" t="n"/>
      <c r="W470" s="85" t="n"/>
      <c r="X470" s="85" t="n"/>
      <c r="Y470" s="85" t="n"/>
      <c r="Z470" s="85" t="n"/>
    </row>
    <row r="471" ht="15.75" customHeight="1" s="86">
      <c r="T471" s="85" t="n"/>
      <c r="U471" s="85" t="n"/>
      <c r="V471" s="85" t="n"/>
      <c r="W471" s="85" t="n"/>
      <c r="X471" s="85" t="n"/>
      <c r="Y471" s="85" t="n"/>
      <c r="Z471" s="85" t="n"/>
    </row>
    <row r="472" ht="15.75" customHeight="1" s="86">
      <c r="T472" s="85" t="n"/>
      <c r="U472" s="85" t="n"/>
      <c r="V472" s="85" t="n"/>
      <c r="W472" s="85" t="n"/>
      <c r="X472" s="85" t="n"/>
      <c r="Y472" s="85" t="n"/>
      <c r="Z472" s="85" t="n"/>
    </row>
    <row r="473" ht="15.75" customHeight="1" s="86">
      <c r="T473" s="85" t="n"/>
      <c r="U473" s="85" t="n"/>
      <c r="V473" s="85" t="n"/>
      <c r="W473" s="85" t="n"/>
      <c r="X473" s="85" t="n"/>
      <c r="Y473" s="85" t="n"/>
      <c r="Z473" s="85" t="n"/>
    </row>
    <row r="474" ht="15.75" customHeight="1" s="86">
      <c r="T474" s="85" t="n"/>
      <c r="U474" s="85" t="n"/>
      <c r="V474" s="85" t="n"/>
      <c r="W474" s="85" t="n"/>
      <c r="X474" s="85" t="n"/>
      <c r="Y474" s="85" t="n"/>
      <c r="Z474" s="85" t="n"/>
    </row>
    <row r="475" ht="15.75" customHeight="1" s="86">
      <c r="T475" s="85" t="n"/>
      <c r="U475" s="85" t="n"/>
      <c r="V475" s="85" t="n"/>
      <c r="W475" s="85" t="n"/>
      <c r="X475" s="85" t="n"/>
      <c r="Y475" s="85" t="n"/>
      <c r="Z475" s="85" t="n"/>
    </row>
    <row r="476" ht="15.75" customHeight="1" s="86">
      <c r="T476" s="85" t="n"/>
      <c r="U476" s="85" t="n"/>
      <c r="V476" s="85" t="n"/>
      <c r="W476" s="85" t="n"/>
      <c r="X476" s="85" t="n"/>
      <c r="Y476" s="85" t="n"/>
      <c r="Z476" s="85" t="n"/>
    </row>
    <row r="477" ht="15.75" customHeight="1" s="86">
      <c r="T477" s="85" t="n"/>
      <c r="U477" s="85" t="n"/>
      <c r="V477" s="85" t="n"/>
      <c r="W477" s="85" t="n"/>
      <c r="X477" s="85" t="n"/>
      <c r="Y477" s="85" t="n"/>
      <c r="Z477" s="85" t="n"/>
    </row>
    <row r="478" ht="15.75" customHeight="1" s="86">
      <c r="T478" s="85" t="n"/>
      <c r="U478" s="85" t="n"/>
      <c r="V478" s="85" t="n"/>
      <c r="W478" s="85" t="n"/>
      <c r="X478" s="85" t="n"/>
      <c r="Y478" s="85" t="n"/>
      <c r="Z478" s="85" t="n"/>
    </row>
    <row r="479" ht="15.75" customHeight="1" s="86">
      <c r="T479" s="85" t="n"/>
      <c r="U479" s="85" t="n"/>
      <c r="V479" s="85" t="n"/>
      <c r="W479" s="85" t="n"/>
      <c r="X479" s="85" t="n"/>
      <c r="Y479" s="85" t="n"/>
      <c r="Z479" s="85" t="n"/>
    </row>
    <row r="480" ht="15.75" customHeight="1" s="86">
      <c r="T480" s="85" t="n"/>
      <c r="U480" s="85" t="n"/>
      <c r="V480" s="85" t="n"/>
      <c r="W480" s="85" t="n"/>
      <c r="X480" s="85" t="n"/>
      <c r="Y480" s="85" t="n"/>
      <c r="Z480" s="85" t="n"/>
    </row>
    <row r="481" ht="15.75" customHeight="1" s="86">
      <c r="T481" s="85" t="n"/>
      <c r="U481" s="85" t="n"/>
      <c r="V481" s="85" t="n"/>
      <c r="W481" s="85" t="n"/>
      <c r="X481" s="85" t="n"/>
      <c r="Y481" s="85" t="n"/>
      <c r="Z481" s="85" t="n"/>
    </row>
    <row r="482" ht="15.75" customHeight="1" s="86">
      <c r="T482" s="85" t="n"/>
      <c r="U482" s="85" t="n"/>
      <c r="V482" s="85" t="n"/>
      <c r="W482" s="85" t="n"/>
      <c r="X482" s="85" t="n"/>
      <c r="Y482" s="85" t="n"/>
      <c r="Z482" s="85" t="n"/>
    </row>
    <row r="483" ht="15.75" customHeight="1" s="86">
      <c r="T483" s="85" t="n"/>
      <c r="U483" s="85" t="n"/>
      <c r="V483" s="85" t="n"/>
      <c r="W483" s="85" t="n"/>
      <c r="X483" s="85" t="n"/>
      <c r="Y483" s="85" t="n"/>
      <c r="Z483" s="85" t="n"/>
    </row>
    <row r="484" ht="15.75" customHeight="1" s="86">
      <c r="T484" s="85" t="n"/>
      <c r="U484" s="85" t="n"/>
      <c r="V484" s="85" t="n"/>
      <c r="W484" s="85" t="n"/>
      <c r="X484" s="85" t="n"/>
      <c r="Y484" s="85" t="n"/>
      <c r="Z484" s="85" t="n"/>
    </row>
    <row r="485" ht="15.75" customHeight="1" s="86">
      <c r="T485" s="85" t="n"/>
      <c r="U485" s="85" t="n"/>
      <c r="V485" s="85" t="n"/>
      <c r="W485" s="85" t="n"/>
      <c r="X485" s="85" t="n"/>
      <c r="Y485" s="85" t="n"/>
      <c r="Z485" s="85" t="n"/>
    </row>
    <row r="486" ht="15.75" customHeight="1" s="86">
      <c r="T486" s="85" t="n"/>
      <c r="U486" s="85" t="n"/>
      <c r="V486" s="85" t="n"/>
      <c r="W486" s="85" t="n"/>
      <c r="X486" s="85" t="n"/>
      <c r="Y486" s="85" t="n"/>
      <c r="Z486" s="85" t="n"/>
    </row>
    <row r="487" ht="15.75" customHeight="1" s="86">
      <c r="T487" s="85" t="n"/>
      <c r="U487" s="85" t="n"/>
      <c r="V487" s="85" t="n"/>
      <c r="W487" s="85" t="n"/>
      <c r="X487" s="85" t="n"/>
      <c r="Y487" s="85" t="n"/>
      <c r="Z487" s="85" t="n"/>
    </row>
    <row r="488" ht="15.75" customHeight="1" s="86">
      <c r="T488" s="85" t="n"/>
      <c r="U488" s="85" t="n"/>
      <c r="V488" s="85" t="n"/>
      <c r="W488" s="85" t="n"/>
      <c r="X488" s="85" t="n"/>
      <c r="Y488" s="85" t="n"/>
      <c r="Z488" s="85" t="n"/>
    </row>
    <row r="489" ht="15.75" customHeight="1" s="86">
      <c r="T489" s="85" t="n"/>
      <c r="U489" s="85" t="n"/>
      <c r="V489" s="85" t="n"/>
      <c r="W489" s="85" t="n"/>
      <c r="X489" s="85" t="n"/>
      <c r="Y489" s="85" t="n"/>
      <c r="Z489" s="85" t="n"/>
    </row>
    <row r="490" ht="15.75" customHeight="1" s="86">
      <c r="T490" s="85" t="n"/>
      <c r="U490" s="85" t="n"/>
      <c r="V490" s="85" t="n"/>
      <c r="W490" s="85" t="n"/>
      <c r="X490" s="85" t="n"/>
      <c r="Y490" s="85" t="n"/>
      <c r="Z490" s="85" t="n"/>
    </row>
    <row r="491" ht="15.75" customHeight="1" s="86">
      <c r="T491" s="85" t="n"/>
      <c r="U491" s="85" t="n"/>
      <c r="V491" s="85" t="n"/>
      <c r="W491" s="85" t="n"/>
      <c r="X491" s="85" t="n"/>
      <c r="Y491" s="85" t="n"/>
      <c r="Z491" s="85" t="n"/>
    </row>
    <row r="492" ht="15.75" customHeight="1" s="86">
      <c r="T492" s="85" t="n"/>
      <c r="U492" s="85" t="n"/>
      <c r="V492" s="85" t="n"/>
      <c r="W492" s="85" t="n"/>
      <c r="X492" s="85" t="n"/>
      <c r="Y492" s="85" t="n"/>
      <c r="Z492" s="85" t="n"/>
    </row>
    <row r="493" ht="15.75" customHeight="1" s="86">
      <c r="T493" s="85" t="n"/>
      <c r="U493" s="85" t="n"/>
      <c r="V493" s="85" t="n"/>
      <c r="W493" s="85" t="n"/>
      <c r="X493" s="85" t="n"/>
      <c r="Y493" s="85" t="n"/>
      <c r="Z493" s="85" t="n"/>
    </row>
    <row r="494" ht="15.75" customHeight="1" s="86">
      <c r="T494" s="85" t="n"/>
      <c r="U494" s="85" t="n"/>
      <c r="V494" s="85" t="n"/>
      <c r="W494" s="85" t="n"/>
      <c r="X494" s="85" t="n"/>
      <c r="Y494" s="85" t="n"/>
      <c r="Z494" s="85" t="n"/>
    </row>
    <row r="495" ht="15.75" customHeight="1" s="86">
      <c r="T495" s="85" t="n"/>
      <c r="U495" s="85" t="n"/>
      <c r="V495" s="85" t="n"/>
      <c r="W495" s="85" t="n"/>
      <c r="X495" s="85" t="n"/>
      <c r="Y495" s="85" t="n"/>
      <c r="Z495" s="85" t="n"/>
    </row>
    <row r="496" ht="15.75" customHeight="1" s="86">
      <c r="T496" s="85" t="n"/>
      <c r="U496" s="85" t="n"/>
      <c r="V496" s="85" t="n"/>
      <c r="W496" s="85" t="n"/>
      <c r="X496" s="85" t="n"/>
      <c r="Y496" s="85" t="n"/>
      <c r="Z496" s="85" t="n"/>
    </row>
    <row r="497" ht="15.75" customHeight="1" s="86">
      <c r="T497" s="85" t="n"/>
      <c r="U497" s="85" t="n"/>
      <c r="V497" s="85" t="n"/>
      <c r="W497" s="85" t="n"/>
      <c r="X497" s="85" t="n"/>
      <c r="Y497" s="85" t="n"/>
      <c r="Z497" s="85" t="n"/>
    </row>
    <row r="498" ht="15.75" customHeight="1" s="86">
      <c r="T498" s="85" t="n"/>
      <c r="U498" s="85" t="n"/>
      <c r="V498" s="85" t="n"/>
      <c r="W498" s="85" t="n"/>
      <c r="X498" s="85" t="n"/>
      <c r="Y498" s="85" t="n"/>
      <c r="Z498" s="85" t="n"/>
    </row>
    <row r="499" ht="15.75" customHeight="1" s="86">
      <c r="T499" s="85" t="n"/>
      <c r="U499" s="85" t="n"/>
      <c r="V499" s="85" t="n"/>
      <c r="W499" s="85" t="n"/>
      <c r="X499" s="85" t="n"/>
      <c r="Y499" s="85" t="n"/>
      <c r="Z499" s="85" t="n"/>
    </row>
    <row r="500" ht="15.75" customHeight="1" s="86">
      <c r="T500" s="85" t="n"/>
      <c r="U500" s="85" t="n"/>
      <c r="V500" s="85" t="n"/>
      <c r="W500" s="85" t="n"/>
      <c r="X500" s="85" t="n"/>
      <c r="Y500" s="85" t="n"/>
      <c r="Z500" s="85" t="n"/>
    </row>
    <row r="501" ht="15.75" customHeight="1" s="86">
      <c r="T501" s="85" t="n"/>
      <c r="U501" s="85" t="n"/>
      <c r="V501" s="85" t="n"/>
      <c r="W501" s="85" t="n"/>
      <c r="X501" s="85" t="n"/>
      <c r="Y501" s="85" t="n"/>
      <c r="Z501" s="85" t="n"/>
    </row>
    <row r="502" ht="15.75" customHeight="1" s="86">
      <c r="T502" s="85" t="n"/>
      <c r="U502" s="85" t="n"/>
      <c r="V502" s="85" t="n"/>
      <c r="W502" s="85" t="n"/>
      <c r="X502" s="85" t="n"/>
      <c r="Y502" s="85" t="n"/>
      <c r="Z502" s="85" t="n"/>
    </row>
    <row r="503" ht="15.75" customHeight="1" s="86">
      <c r="T503" s="85" t="n"/>
      <c r="U503" s="85" t="n"/>
      <c r="V503" s="85" t="n"/>
      <c r="W503" s="85" t="n"/>
      <c r="X503" s="85" t="n"/>
      <c r="Y503" s="85" t="n"/>
      <c r="Z503" s="85" t="n"/>
    </row>
    <row r="504" ht="15.75" customHeight="1" s="86">
      <c r="T504" s="85" t="n"/>
      <c r="U504" s="85" t="n"/>
      <c r="V504" s="85" t="n"/>
      <c r="W504" s="85" t="n"/>
      <c r="X504" s="85" t="n"/>
      <c r="Y504" s="85" t="n"/>
      <c r="Z504" s="85" t="n"/>
    </row>
    <row r="505" ht="15.75" customHeight="1" s="86">
      <c r="T505" s="85" t="n"/>
      <c r="U505" s="85" t="n"/>
      <c r="V505" s="85" t="n"/>
      <c r="W505" s="85" t="n"/>
      <c r="X505" s="85" t="n"/>
      <c r="Y505" s="85" t="n"/>
      <c r="Z505" s="85" t="n"/>
    </row>
    <row r="506" ht="15.75" customHeight="1" s="86">
      <c r="T506" s="85" t="n"/>
      <c r="U506" s="85" t="n"/>
      <c r="V506" s="85" t="n"/>
      <c r="W506" s="85" t="n"/>
      <c r="X506" s="85" t="n"/>
      <c r="Y506" s="85" t="n"/>
      <c r="Z506" s="85" t="n"/>
    </row>
    <row r="507" ht="15.75" customHeight="1" s="86">
      <c r="T507" s="85" t="n"/>
      <c r="U507" s="85" t="n"/>
      <c r="V507" s="85" t="n"/>
      <c r="W507" s="85" t="n"/>
      <c r="X507" s="85" t="n"/>
      <c r="Y507" s="85" t="n"/>
      <c r="Z507" s="85" t="n"/>
    </row>
    <row r="508" ht="15.75" customHeight="1" s="86">
      <c r="T508" s="85" t="n"/>
      <c r="U508" s="85" t="n"/>
      <c r="V508" s="85" t="n"/>
      <c r="W508" s="85" t="n"/>
      <c r="X508" s="85" t="n"/>
      <c r="Y508" s="85" t="n"/>
      <c r="Z508" s="85" t="n"/>
    </row>
    <row r="509" ht="15.75" customHeight="1" s="86">
      <c r="T509" s="85" t="n"/>
      <c r="U509" s="85" t="n"/>
      <c r="V509" s="85" t="n"/>
      <c r="W509" s="85" t="n"/>
      <c r="X509" s="85" t="n"/>
      <c r="Y509" s="85" t="n"/>
      <c r="Z509" s="85" t="n"/>
    </row>
    <row r="510" ht="15.75" customHeight="1" s="86">
      <c r="T510" s="85" t="n"/>
      <c r="U510" s="85" t="n"/>
      <c r="V510" s="85" t="n"/>
      <c r="W510" s="85" t="n"/>
      <c r="X510" s="85" t="n"/>
      <c r="Y510" s="85" t="n"/>
      <c r="Z510" s="85" t="n"/>
    </row>
    <row r="511" ht="15.75" customHeight="1" s="86">
      <c r="T511" s="85" t="n"/>
      <c r="U511" s="85" t="n"/>
      <c r="V511" s="85" t="n"/>
      <c r="W511" s="85" t="n"/>
      <c r="X511" s="85" t="n"/>
      <c r="Y511" s="85" t="n"/>
      <c r="Z511" s="85" t="n"/>
    </row>
    <row r="512" ht="15.75" customHeight="1" s="86">
      <c r="T512" s="85" t="n"/>
      <c r="U512" s="85" t="n"/>
      <c r="V512" s="85" t="n"/>
      <c r="W512" s="85" t="n"/>
      <c r="X512" s="85" t="n"/>
      <c r="Y512" s="85" t="n"/>
      <c r="Z512" s="85" t="n"/>
    </row>
    <row r="513" ht="15.75" customHeight="1" s="86">
      <c r="T513" s="85" t="n"/>
      <c r="U513" s="85" t="n"/>
      <c r="V513" s="85" t="n"/>
      <c r="W513" s="85" t="n"/>
      <c r="X513" s="85" t="n"/>
      <c r="Y513" s="85" t="n"/>
      <c r="Z513" s="85" t="n"/>
    </row>
    <row r="514" ht="15.75" customHeight="1" s="86">
      <c r="T514" s="85" t="n"/>
      <c r="U514" s="85" t="n"/>
      <c r="V514" s="85" t="n"/>
      <c r="W514" s="85" t="n"/>
      <c r="X514" s="85" t="n"/>
      <c r="Y514" s="85" t="n"/>
      <c r="Z514" s="85" t="n"/>
    </row>
    <row r="515" ht="15.75" customHeight="1" s="86">
      <c r="T515" s="85" t="n"/>
      <c r="U515" s="85" t="n"/>
      <c r="V515" s="85" t="n"/>
      <c r="W515" s="85" t="n"/>
      <c r="X515" s="85" t="n"/>
      <c r="Y515" s="85" t="n"/>
      <c r="Z515" s="85" t="n"/>
    </row>
    <row r="516" ht="15.75" customHeight="1" s="86">
      <c r="T516" s="85" t="n"/>
      <c r="U516" s="85" t="n"/>
      <c r="V516" s="85" t="n"/>
      <c r="W516" s="85" t="n"/>
      <c r="X516" s="85" t="n"/>
      <c r="Y516" s="85" t="n"/>
      <c r="Z516" s="85" t="n"/>
    </row>
    <row r="517" ht="15.75" customHeight="1" s="86">
      <c r="T517" s="85" t="n"/>
      <c r="U517" s="85" t="n"/>
      <c r="V517" s="85" t="n"/>
      <c r="W517" s="85" t="n"/>
      <c r="X517" s="85" t="n"/>
      <c r="Y517" s="85" t="n"/>
      <c r="Z517" s="85" t="n"/>
    </row>
    <row r="518" ht="15.75" customHeight="1" s="86">
      <c r="T518" s="85" t="n"/>
      <c r="U518" s="85" t="n"/>
      <c r="V518" s="85" t="n"/>
      <c r="W518" s="85" t="n"/>
      <c r="X518" s="85" t="n"/>
      <c r="Y518" s="85" t="n"/>
      <c r="Z518" s="85" t="n"/>
    </row>
    <row r="519" ht="15.75" customHeight="1" s="86">
      <c r="T519" s="85" t="n"/>
      <c r="U519" s="85" t="n"/>
      <c r="V519" s="85" t="n"/>
      <c r="W519" s="85" t="n"/>
      <c r="X519" s="85" t="n"/>
      <c r="Y519" s="85" t="n"/>
      <c r="Z519" s="85" t="n"/>
    </row>
    <row r="520" ht="15.75" customHeight="1" s="86">
      <c r="T520" s="85" t="n"/>
      <c r="U520" s="85" t="n"/>
      <c r="V520" s="85" t="n"/>
      <c r="W520" s="85" t="n"/>
      <c r="X520" s="85" t="n"/>
      <c r="Y520" s="85" t="n"/>
      <c r="Z520" s="85" t="n"/>
    </row>
    <row r="521" ht="15.75" customHeight="1" s="86">
      <c r="T521" s="85" t="n"/>
      <c r="U521" s="85" t="n"/>
      <c r="V521" s="85" t="n"/>
      <c r="W521" s="85" t="n"/>
      <c r="X521" s="85" t="n"/>
      <c r="Y521" s="85" t="n"/>
      <c r="Z521" s="85" t="n"/>
    </row>
    <row r="522" ht="15.75" customHeight="1" s="86">
      <c r="T522" s="85" t="n"/>
      <c r="U522" s="85" t="n"/>
      <c r="V522" s="85" t="n"/>
      <c r="W522" s="85" t="n"/>
      <c r="X522" s="85" t="n"/>
      <c r="Y522" s="85" t="n"/>
      <c r="Z522" s="85" t="n"/>
    </row>
    <row r="523" ht="15.75" customHeight="1" s="86">
      <c r="T523" s="85" t="n"/>
      <c r="U523" s="85" t="n"/>
      <c r="V523" s="85" t="n"/>
      <c r="W523" s="85" t="n"/>
      <c r="X523" s="85" t="n"/>
      <c r="Y523" s="85" t="n"/>
      <c r="Z523" s="85" t="n"/>
    </row>
    <row r="524" ht="15.75" customHeight="1" s="86">
      <c r="T524" s="85" t="n"/>
      <c r="U524" s="85" t="n"/>
      <c r="V524" s="85" t="n"/>
      <c r="W524" s="85" t="n"/>
      <c r="X524" s="85" t="n"/>
      <c r="Y524" s="85" t="n"/>
      <c r="Z524" s="85" t="n"/>
    </row>
    <row r="525" ht="15.75" customHeight="1" s="86">
      <c r="T525" s="85" t="n"/>
      <c r="U525" s="85" t="n"/>
      <c r="V525" s="85" t="n"/>
      <c r="W525" s="85" t="n"/>
      <c r="X525" s="85" t="n"/>
      <c r="Y525" s="85" t="n"/>
      <c r="Z525" s="85" t="n"/>
    </row>
    <row r="526" ht="15.75" customHeight="1" s="86">
      <c r="T526" s="85" t="n"/>
      <c r="U526" s="85" t="n"/>
      <c r="V526" s="85" t="n"/>
      <c r="W526" s="85" t="n"/>
      <c r="X526" s="85" t="n"/>
      <c r="Y526" s="85" t="n"/>
      <c r="Z526" s="85" t="n"/>
    </row>
    <row r="527" ht="15.75" customHeight="1" s="86">
      <c r="T527" s="85" t="n"/>
      <c r="U527" s="85" t="n"/>
      <c r="V527" s="85" t="n"/>
      <c r="W527" s="85" t="n"/>
      <c r="X527" s="85" t="n"/>
      <c r="Y527" s="85" t="n"/>
      <c r="Z527" s="85" t="n"/>
    </row>
    <row r="528" ht="15.75" customHeight="1" s="86">
      <c r="T528" s="85" t="n"/>
      <c r="U528" s="85" t="n"/>
      <c r="V528" s="85" t="n"/>
      <c r="W528" s="85" t="n"/>
      <c r="X528" s="85" t="n"/>
      <c r="Y528" s="85" t="n"/>
      <c r="Z528" s="85" t="n"/>
    </row>
    <row r="529" ht="15.75" customHeight="1" s="86">
      <c r="T529" s="85" t="n"/>
      <c r="U529" s="85" t="n"/>
      <c r="V529" s="85" t="n"/>
      <c r="W529" s="85" t="n"/>
      <c r="X529" s="85" t="n"/>
      <c r="Y529" s="85" t="n"/>
      <c r="Z529" s="85" t="n"/>
    </row>
    <row r="530" ht="15.75" customHeight="1" s="86">
      <c r="T530" s="85" t="n"/>
      <c r="U530" s="85" t="n"/>
      <c r="V530" s="85" t="n"/>
      <c r="W530" s="85" t="n"/>
      <c r="X530" s="85" t="n"/>
      <c r="Y530" s="85" t="n"/>
      <c r="Z530" s="85" t="n"/>
    </row>
    <row r="531" ht="15.75" customHeight="1" s="86">
      <c r="T531" s="85" t="n"/>
      <c r="U531" s="85" t="n"/>
      <c r="V531" s="85" t="n"/>
      <c r="W531" s="85" t="n"/>
      <c r="X531" s="85" t="n"/>
      <c r="Y531" s="85" t="n"/>
      <c r="Z531" s="85" t="n"/>
    </row>
    <row r="532" ht="15.75" customHeight="1" s="86">
      <c r="T532" s="85" t="n"/>
      <c r="U532" s="85" t="n"/>
      <c r="V532" s="85" t="n"/>
      <c r="W532" s="85" t="n"/>
      <c r="X532" s="85" t="n"/>
      <c r="Y532" s="85" t="n"/>
      <c r="Z532" s="85" t="n"/>
    </row>
    <row r="533" ht="15.75" customHeight="1" s="86">
      <c r="T533" s="85" t="n"/>
      <c r="U533" s="85" t="n"/>
      <c r="V533" s="85" t="n"/>
      <c r="W533" s="85" t="n"/>
      <c r="X533" s="85" t="n"/>
      <c r="Y533" s="85" t="n"/>
      <c r="Z533" s="85" t="n"/>
    </row>
    <row r="534" ht="15.75" customHeight="1" s="86">
      <c r="T534" s="85" t="n"/>
      <c r="U534" s="85" t="n"/>
      <c r="V534" s="85" t="n"/>
      <c r="W534" s="85" t="n"/>
      <c r="X534" s="85" t="n"/>
      <c r="Y534" s="85" t="n"/>
      <c r="Z534" s="85" t="n"/>
    </row>
    <row r="535" ht="15.75" customHeight="1" s="86">
      <c r="T535" s="85" t="n"/>
      <c r="U535" s="85" t="n"/>
      <c r="V535" s="85" t="n"/>
      <c r="W535" s="85" t="n"/>
      <c r="X535" s="85" t="n"/>
      <c r="Y535" s="85" t="n"/>
      <c r="Z535" s="85" t="n"/>
    </row>
    <row r="536" ht="15.75" customHeight="1" s="86">
      <c r="T536" s="85" t="n"/>
      <c r="U536" s="85" t="n"/>
      <c r="V536" s="85" t="n"/>
      <c r="W536" s="85" t="n"/>
      <c r="X536" s="85" t="n"/>
      <c r="Y536" s="85" t="n"/>
      <c r="Z536" s="85" t="n"/>
    </row>
    <row r="537" ht="15.75" customHeight="1" s="86">
      <c r="T537" s="85" t="n"/>
      <c r="U537" s="85" t="n"/>
      <c r="V537" s="85" t="n"/>
      <c r="W537" s="85" t="n"/>
      <c r="X537" s="85" t="n"/>
      <c r="Y537" s="85" t="n"/>
      <c r="Z537" s="85" t="n"/>
    </row>
    <row r="538" ht="15.75" customHeight="1" s="86">
      <c r="T538" s="85" t="n"/>
      <c r="U538" s="85" t="n"/>
      <c r="V538" s="85" t="n"/>
      <c r="W538" s="85" t="n"/>
      <c r="X538" s="85" t="n"/>
      <c r="Y538" s="85" t="n"/>
      <c r="Z538" s="85" t="n"/>
    </row>
    <row r="539" ht="15.75" customHeight="1" s="86">
      <c r="T539" s="85" t="n"/>
      <c r="U539" s="85" t="n"/>
      <c r="V539" s="85" t="n"/>
      <c r="W539" s="85" t="n"/>
      <c r="X539" s="85" t="n"/>
      <c r="Y539" s="85" t="n"/>
      <c r="Z539" s="85" t="n"/>
    </row>
    <row r="540" ht="15.75" customHeight="1" s="86">
      <c r="T540" s="85" t="n"/>
      <c r="U540" s="85" t="n"/>
      <c r="V540" s="85" t="n"/>
      <c r="W540" s="85" t="n"/>
      <c r="X540" s="85" t="n"/>
      <c r="Y540" s="85" t="n"/>
      <c r="Z540" s="85" t="n"/>
    </row>
    <row r="541" ht="15.75" customHeight="1" s="86">
      <c r="T541" s="85" t="n"/>
      <c r="U541" s="85" t="n"/>
      <c r="V541" s="85" t="n"/>
      <c r="W541" s="85" t="n"/>
      <c r="X541" s="85" t="n"/>
      <c r="Y541" s="85" t="n"/>
      <c r="Z541" s="85" t="n"/>
    </row>
    <row r="542" ht="15.75" customHeight="1" s="86">
      <c r="T542" s="85" t="n"/>
      <c r="U542" s="85" t="n"/>
      <c r="V542" s="85" t="n"/>
      <c r="W542" s="85" t="n"/>
      <c r="X542" s="85" t="n"/>
      <c r="Y542" s="85" t="n"/>
      <c r="Z542" s="85" t="n"/>
    </row>
    <row r="543" ht="15.75" customHeight="1" s="86">
      <c r="T543" s="85" t="n"/>
      <c r="U543" s="85" t="n"/>
      <c r="V543" s="85" t="n"/>
      <c r="W543" s="85" t="n"/>
      <c r="X543" s="85" t="n"/>
      <c r="Y543" s="85" t="n"/>
      <c r="Z543" s="85" t="n"/>
    </row>
    <row r="544" ht="15.75" customHeight="1" s="86">
      <c r="T544" s="85" t="n"/>
      <c r="U544" s="85" t="n"/>
      <c r="V544" s="85" t="n"/>
      <c r="W544" s="85" t="n"/>
      <c r="X544" s="85" t="n"/>
      <c r="Y544" s="85" t="n"/>
      <c r="Z544" s="85" t="n"/>
    </row>
    <row r="545" ht="15.75" customHeight="1" s="86">
      <c r="T545" s="85" t="n"/>
      <c r="U545" s="85" t="n"/>
      <c r="V545" s="85" t="n"/>
      <c r="W545" s="85" t="n"/>
      <c r="X545" s="85" t="n"/>
      <c r="Y545" s="85" t="n"/>
      <c r="Z545" s="85" t="n"/>
    </row>
    <row r="546" ht="15.75" customHeight="1" s="86">
      <c r="T546" s="85" t="n"/>
      <c r="U546" s="85" t="n"/>
      <c r="V546" s="85" t="n"/>
      <c r="W546" s="85" t="n"/>
      <c r="X546" s="85" t="n"/>
      <c r="Y546" s="85" t="n"/>
      <c r="Z546" s="85" t="n"/>
    </row>
    <row r="547" ht="15.75" customHeight="1" s="86">
      <c r="T547" s="85" t="n"/>
      <c r="U547" s="85" t="n"/>
      <c r="V547" s="85" t="n"/>
      <c r="W547" s="85" t="n"/>
      <c r="X547" s="85" t="n"/>
      <c r="Y547" s="85" t="n"/>
      <c r="Z547" s="85" t="n"/>
    </row>
    <row r="548" ht="15.75" customHeight="1" s="86">
      <c r="T548" s="85" t="n"/>
      <c r="U548" s="85" t="n"/>
      <c r="V548" s="85" t="n"/>
      <c r="W548" s="85" t="n"/>
      <c r="X548" s="85" t="n"/>
      <c r="Y548" s="85" t="n"/>
      <c r="Z548" s="85" t="n"/>
    </row>
    <row r="549" ht="15.75" customHeight="1" s="86">
      <c r="T549" s="85" t="n"/>
      <c r="U549" s="85" t="n"/>
      <c r="V549" s="85" t="n"/>
      <c r="W549" s="85" t="n"/>
      <c r="X549" s="85" t="n"/>
      <c r="Y549" s="85" t="n"/>
      <c r="Z549" s="85" t="n"/>
    </row>
    <row r="550" ht="15.75" customHeight="1" s="86">
      <c r="T550" s="85" t="n"/>
      <c r="U550" s="85" t="n"/>
      <c r="V550" s="85" t="n"/>
      <c r="W550" s="85" t="n"/>
      <c r="X550" s="85" t="n"/>
      <c r="Y550" s="85" t="n"/>
      <c r="Z550" s="85" t="n"/>
    </row>
    <row r="551" ht="15.75" customHeight="1" s="86">
      <c r="T551" s="85" t="n"/>
      <c r="U551" s="85" t="n"/>
      <c r="V551" s="85" t="n"/>
      <c r="W551" s="85" t="n"/>
      <c r="X551" s="85" t="n"/>
      <c r="Y551" s="85" t="n"/>
      <c r="Z551" s="85" t="n"/>
    </row>
    <row r="552" ht="15.75" customHeight="1" s="86">
      <c r="T552" s="85" t="n"/>
      <c r="U552" s="85" t="n"/>
      <c r="V552" s="85" t="n"/>
      <c r="W552" s="85" t="n"/>
      <c r="X552" s="85" t="n"/>
      <c r="Y552" s="85" t="n"/>
      <c r="Z552" s="85" t="n"/>
    </row>
    <row r="553" ht="15.75" customHeight="1" s="86">
      <c r="T553" s="85" t="n"/>
      <c r="U553" s="85" t="n"/>
      <c r="V553" s="85" t="n"/>
      <c r="W553" s="85" t="n"/>
      <c r="X553" s="85" t="n"/>
      <c r="Y553" s="85" t="n"/>
      <c r="Z553" s="85" t="n"/>
    </row>
    <row r="554" ht="15.75" customHeight="1" s="86">
      <c r="T554" s="85" t="n"/>
      <c r="U554" s="85" t="n"/>
      <c r="V554" s="85" t="n"/>
      <c r="W554" s="85" t="n"/>
      <c r="X554" s="85" t="n"/>
      <c r="Y554" s="85" t="n"/>
      <c r="Z554" s="85" t="n"/>
    </row>
    <row r="555" ht="15.75" customHeight="1" s="86">
      <c r="T555" s="85" t="n"/>
      <c r="U555" s="85" t="n"/>
      <c r="V555" s="85" t="n"/>
      <c r="W555" s="85" t="n"/>
      <c r="X555" s="85" t="n"/>
      <c r="Y555" s="85" t="n"/>
      <c r="Z555" s="85" t="n"/>
    </row>
    <row r="556" ht="15.75" customHeight="1" s="86">
      <c r="T556" s="85" t="n"/>
      <c r="U556" s="85" t="n"/>
      <c r="V556" s="85" t="n"/>
      <c r="W556" s="85" t="n"/>
      <c r="X556" s="85" t="n"/>
      <c r="Y556" s="85" t="n"/>
      <c r="Z556" s="85" t="n"/>
    </row>
    <row r="557" ht="15.75" customHeight="1" s="86">
      <c r="T557" s="85" t="n"/>
      <c r="U557" s="85" t="n"/>
      <c r="V557" s="85" t="n"/>
      <c r="W557" s="85" t="n"/>
      <c r="X557" s="85" t="n"/>
      <c r="Y557" s="85" t="n"/>
      <c r="Z557" s="85" t="n"/>
    </row>
    <row r="558" ht="15.75" customHeight="1" s="86">
      <c r="T558" s="85" t="n"/>
      <c r="U558" s="85" t="n"/>
      <c r="V558" s="85" t="n"/>
      <c r="W558" s="85" t="n"/>
      <c r="X558" s="85" t="n"/>
      <c r="Y558" s="85" t="n"/>
      <c r="Z558" s="85" t="n"/>
    </row>
    <row r="559" ht="15.75" customHeight="1" s="86">
      <c r="T559" s="85" t="n"/>
      <c r="U559" s="85" t="n"/>
      <c r="V559" s="85" t="n"/>
      <c r="W559" s="85" t="n"/>
      <c r="X559" s="85" t="n"/>
      <c r="Y559" s="85" t="n"/>
      <c r="Z559" s="85" t="n"/>
    </row>
    <row r="560" ht="15.75" customHeight="1" s="86">
      <c r="T560" s="85" t="n"/>
      <c r="U560" s="85" t="n"/>
      <c r="V560" s="85" t="n"/>
      <c r="W560" s="85" t="n"/>
      <c r="X560" s="85" t="n"/>
      <c r="Y560" s="85" t="n"/>
      <c r="Z560" s="85" t="n"/>
    </row>
    <row r="561" ht="15.75" customHeight="1" s="86">
      <c r="T561" s="85" t="n"/>
      <c r="U561" s="85" t="n"/>
      <c r="V561" s="85" t="n"/>
      <c r="W561" s="85" t="n"/>
      <c r="X561" s="85" t="n"/>
      <c r="Y561" s="85" t="n"/>
      <c r="Z561" s="85" t="n"/>
    </row>
    <row r="562" ht="15.75" customHeight="1" s="86">
      <c r="T562" s="85" t="n"/>
      <c r="U562" s="85" t="n"/>
      <c r="V562" s="85" t="n"/>
      <c r="W562" s="85" t="n"/>
      <c r="X562" s="85" t="n"/>
      <c r="Y562" s="85" t="n"/>
      <c r="Z562" s="85" t="n"/>
    </row>
    <row r="563" ht="15.75" customHeight="1" s="86">
      <c r="T563" s="85" t="n"/>
      <c r="U563" s="85" t="n"/>
      <c r="V563" s="85" t="n"/>
      <c r="W563" s="85" t="n"/>
      <c r="X563" s="85" t="n"/>
      <c r="Y563" s="85" t="n"/>
      <c r="Z563" s="85" t="n"/>
    </row>
    <row r="564" ht="15.75" customHeight="1" s="86">
      <c r="T564" s="85" t="n"/>
      <c r="U564" s="85" t="n"/>
      <c r="V564" s="85" t="n"/>
      <c r="W564" s="85" t="n"/>
      <c r="X564" s="85" t="n"/>
      <c r="Y564" s="85" t="n"/>
      <c r="Z564" s="85" t="n"/>
    </row>
    <row r="565" ht="15.75" customHeight="1" s="86">
      <c r="T565" s="85" t="n"/>
      <c r="U565" s="85" t="n"/>
      <c r="V565" s="85" t="n"/>
      <c r="W565" s="85" t="n"/>
      <c r="X565" s="85" t="n"/>
      <c r="Y565" s="85" t="n"/>
      <c r="Z565" s="85" t="n"/>
    </row>
    <row r="566" ht="15.75" customHeight="1" s="86">
      <c r="T566" s="85" t="n"/>
      <c r="U566" s="85" t="n"/>
      <c r="V566" s="85" t="n"/>
      <c r="W566" s="85" t="n"/>
      <c r="X566" s="85" t="n"/>
      <c r="Y566" s="85" t="n"/>
      <c r="Z566" s="85" t="n"/>
    </row>
    <row r="567" ht="15.75" customHeight="1" s="86">
      <c r="T567" s="85" t="n"/>
      <c r="U567" s="85" t="n"/>
      <c r="V567" s="85" t="n"/>
      <c r="W567" s="85" t="n"/>
      <c r="X567" s="85" t="n"/>
      <c r="Y567" s="85" t="n"/>
      <c r="Z567" s="85" t="n"/>
    </row>
    <row r="568" ht="15.75" customHeight="1" s="86">
      <c r="T568" s="85" t="n"/>
      <c r="U568" s="85" t="n"/>
      <c r="V568" s="85" t="n"/>
      <c r="W568" s="85" t="n"/>
      <c r="X568" s="85" t="n"/>
      <c r="Y568" s="85" t="n"/>
      <c r="Z568" s="85" t="n"/>
    </row>
    <row r="569" ht="15.75" customHeight="1" s="86">
      <c r="T569" s="85" t="n"/>
      <c r="U569" s="85" t="n"/>
      <c r="V569" s="85" t="n"/>
      <c r="W569" s="85" t="n"/>
      <c r="X569" s="85" t="n"/>
      <c r="Y569" s="85" t="n"/>
      <c r="Z569" s="85" t="n"/>
    </row>
    <row r="570" ht="15.75" customHeight="1" s="86">
      <c r="T570" s="85" t="n"/>
      <c r="U570" s="85" t="n"/>
      <c r="V570" s="85" t="n"/>
      <c r="W570" s="85" t="n"/>
      <c r="X570" s="85" t="n"/>
      <c r="Y570" s="85" t="n"/>
      <c r="Z570" s="85" t="n"/>
    </row>
    <row r="571" ht="15.75" customHeight="1" s="86">
      <c r="T571" s="85" t="n"/>
      <c r="U571" s="85" t="n"/>
      <c r="V571" s="85" t="n"/>
      <c r="W571" s="85" t="n"/>
      <c r="X571" s="85" t="n"/>
      <c r="Y571" s="85" t="n"/>
      <c r="Z571" s="85" t="n"/>
    </row>
    <row r="572" ht="15.75" customHeight="1" s="86">
      <c r="T572" s="85" t="n"/>
      <c r="U572" s="85" t="n"/>
      <c r="V572" s="85" t="n"/>
      <c r="W572" s="85" t="n"/>
      <c r="X572" s="85" t="n"/>
      <c r="Y572" s="85" t="n"/>
      <c r="Z572" s="85" t="n"/>
    </row>
    <row r="573" ht="15.75" customHeight="1" s="86">
      <c r="T573" s="85" t="n"/>
      <c r="U573" s="85" t="n"/>
      <c r="V573" s="85" t="n"/>
      <c r="W573" s="85" t="n"/>
      <c r="X573" s="85" t="n"/>
      <c r="Y573" s="85" t="n"/>
      <c r="Z573" s="85" t="n"/>
    </row>
    <row r="574" ht="15.75" customHeight="1" s="86">
      <c r="T574" s="85" t="n"/>
      <c r="U574" s="85" t="n"/>
      <c r="V574" s="85" t="n"/>
      <c r="W574" s="85" t="n"/>
      <c r="X574" s="85" t="n"/>
      <c r="Y574" s="85" t="n"/>
      <c r="Z574" s="85" t="n"/>
    </row>
    <row r="575" ht="15.75" customHeight="1" s="86">
      <c r="T575" s="85" t="n"/>
      <c r="U575" s="85" t="n"/>
      <c r="V575" s="85" t="n"/>
      <c r="W575" s="85" t="n"/>
      <c r="X575" s="85" t="n"/>
      <c r="Y575" s="85" t="n"/>
      <c r="Z575" s="85" t="n"/>
    </row>
    <row r="576" ht="15.75" customHeight="1" s="86">
      <c r="T576" s="85" t="n"/>
      <c r="U576" s="85" t="n"/>
      <c r="V576" s="85" t="n"/>
      <c r="W576" s="85" t="n"/>
      <c r="X576" s="85" t="n"/>
      <c r="Y576" s="85" t="n"/>
      <c r="Z576" s="85" t="n"/>
    </row>
    <row r="577" ht="15.75" customHeight="1" s="86">
      <c r="T577" s="85" t="n"/>
      <c r="U577" s="85" t="n"/>
      <c r="V577" s="85" t="n"/>
      <c r="W577" s="85" t="n"/>
      <c r="X577" s="85" t="n"/>
      <c r="Y577" s="85" t="n"/>
      <c r="Z577" s="85" t="n"/>
    </row>
    <row r="578" ht="15.75" customHeight="1" s="86">
      <c r="T578" s="85" t="n"/>
      <c r="U578" s="85" t="n"/>
      <c r="V578" s="85" t="n"/>
      <c r="W578" s="85" t="n"/>
      <c r="X578" s="85" t="n"/>
      <c r="Y578" s="85" t="n"/>
      <c r="Z578" s="85" t="n"/>
    </row>
    <row r="579" ht="15.75" customHeight="1" s="86">
      <c r="T579" s="85" t="n"/>
      <c r="U579" s="85" t="n"/>
      <c r="V579" s="85" t="n"/>
      <c r="W579" s="85" t="n"/>
      <c r="X579" s="85" t="n"/>
      <c r="Y579" s="85" t="n"/>
      <c r="Z579" s="85" t="n"/>
    </row>
    <row r="580" ht="15.75" customHeight="1" s="86">
      <c r="T580" s="85" t="n"/>
      <c r="U580" s="85" t="n"/>
      <c r="V580" s="85" t="n"/>
      <c r="W580" s="85" t="n"/>
      <c r="X580" s="85" t="n"/>
      <c r="Y580" s="85" t="n"/>
      <c r="Z580" s="85" t="n"/>
    </row>
    <row r="581" ht="15.75" customHeight="1" s="86">
      <c r="T581" s="85" t="n"/>
      <c r="U581" s="85" t="n"/>
      <c r="V581" s="85" t="n"/>
      <c r="W581" s="85" t="n"/>
      <c r="X581" s="85" t="n"/>
      <c r="Y581" s="85" t="n"/>
      <c r="Z581" s="85" t="n"/>
    </row>
    <row r="582" ht="15.75" customHeight="1" s="86">
      <c r="T582" s="85" t="n"/>
      <c r="U582" s="85" t="n"/>
      <c r="V582" s="85" t="n"/>
      <c r="W582" s="85" t="n"/>
      <c r="X582" s="85" t="n"/>
      <c r="Y582" s="85" t="n"/>
      <c r="Z582" s="85" t="n"/>
    </row>
    <row r="583" ht="15.75" customHeight="1" s="86">
      <c r="T583" s="85" t="n"/>
      <c r="U583" s="85" t="n"/>
      <c r="V583" s="85" t="n"/>
      <c r="W583" s="85" t="n"/>
      <c r="X583" s="85" t="n"/>
      <c r="Y583" s="85" t="n"/>
      <c r="Z583" s="85" t="n"/>
    </row>
    <row r="584" ht="15.75" customHeight="1" s="86">
      <c r="T584" s="85" t="n"/>
      <c r="U584" s="85" t="n"/>
      <c r="V584" s="85" t="n"/>
      <c r="W584" s="85" t="n"/>
      <c r="X584" s="85" t="n"/>
      <c r="Y584" s="85" t="n"/>
      <c r="Z584" s="85" t="n"/>
    </row>
    <row r="585" ht="15.75" customHeight="1" s="86">
      <c r="T585" s="85" t="n"/>
      <c r="U585" s="85" t="n"/>
      <c r="V585" s="85" t="n"/>
      <c r="W585" s="85" t="n"/>
      <c r="X585" s="85" t="n"/>
      <c r="Y585" s="85" t="n"/>
      <c r="Z585" s="85" t="n"/>
    </row>
    <row r="586" ht="15.75" customHeight="1" s="86">
      <c r="T586" s="85" t="n"/>
      <c r="U586" s="85" t="n"/>
      <c r="V586" s="85" t="n"/>
      <c r="W586" s="85" t="n"/>
      <c r="X586" s="85" t="n"/>
      <c r="Y586" s="85" t="n"/>
      <c r="Z586" s="85" t="n"/>
    </row>
    <row r="587" ht="15.75" customHeight="1" s="86">
      <c r="T587" s="85" t="n"/>
      <c r="U587" s="85" t="n"/>
      <c r="V587" s="85" t="n"/>
      <c r="W587" s="85" t="n"/>
      <c r="X587" s="85" t="n"/>
      <c r="Y587" s="85" t="n"/>
      <c r="Z587" s="85" t="n"/>
    </row>
    <row r="588" ht="15.75" customHeight="1" s="86">
      <c r="T588" s="85" t="n"/>
      <c r="U588" s="85" t="n"/>
      <c r="V588" s="85" t="n"/>
      <c r="W588" s="85" t="n"/>
      <c r="X588" s="85" t="n"/>
      <c r="Y588" s="85" t="n"/>
      <c r="Z588" s="85" t="n"/>
    </row>
    <row r="589" ht="15.75" customHeight="1" s="86">
      <c r="T589" s="85" t="n"/>
      <c r="U589" s="85" t="n"/>
      <c r="V589" s="85" t="n"/>
      <c r="W589" s="85" t="n"/>
      <c r="X589" s="85" t="n"/>
      <c r="Y589" s="85" t="n"/>
      <c r="Z589" s="85" t="n"/>
    </row>
    <row r="590" ht="15.75" customHeight="1" s="86">
      <c r="T590" s="85" t="n"/>
      <c r="U590" s="85" t="n"/>
      <c r="V590" s="85" t="n"/>
      <c r="W590" s="85" t="n"/>
      <c r="X590" s="85" t="n"/>
      <c r="Y590" s="85" t="n"/>
      <c r="Z590" s="85" t="n"/>
    </row>
    <row r="591" ht="15.75" customHeight="1" s="86">
      <c r="T591" s="85" t="n"/>
      <c r="U591" s="85" t="n"/>
      <c r="V591" s="85" t="n"/>
      <c r="W591" s="85" t="n"/>
      <c r="X591" s="85" t="n"/>
      <c r="Y591" s="85" t="n"/>
      <c r="Z591" s="85" t="n"/>
    </row>
    <row r="592" ht="15.75" customHeight="1" s="86">
      <c r="T592" s="85" t="n"/>
      <c r="U592" s="85" t="n"/>
      <c r="V592" s="85" t="n"/>
      <c r="W592" s="85" t="n"/>
      <c r="X592" s="85" t="n"/>
      <c r="Y592" s="85" t="n"/>
      <c r="Z592" s="85" t="n"/>
    </row>
    <row r="593" ht="15.75" customHeight="1" s="86">
      <c r="T593" s="85" t="n"/>
      <c r="U593" s="85" t="n"/>
      <c r="V593" s="85" t="n"/>
      <c r="W593" s="85" t="n"/>
      <c r="X593" s="85" t="n"/>
      <c r="Y593" s="85" t="n"/>
      <c r="Z593" s="85" t="n"/>
    </row>
    <row r="594" ht="15.75" customHeight="1" s="86">
      <c r="T594" s="85" t="n"/>
      <c r="U594" s="85" t="n"/>
      <c r="V594" s="85" t="n"/>
      <c r="W594" s="85" t="n"/>
      <c r="X594" s="85" t="n"/>
      <c r="Y594" s="85" t="n"/>
      <c r="Z594" s="85" t="n"/>
    </row>
    <row r="595" ht="15.75" customHeight="1" s="86">
      <c r="T595" s="85" t="n"/>
      <c r="U595" s="85" t="n"/>
      <c r="V595" s="85" t="n"/>
      <c r="W595" s="85" t="n"/>
      <c r="X595" s="85" t="n"/>
      <c r="Y595" s="85" t="n"/>
      <c r="Z595" s="85" t="n"/>
    </row>
    <row r="596" ht="15.75" customHeight="1" s="86">
      <c r="T596" s="85" t="n"/>
      <c r="U596" s="85" t="n"/>
      <c r="V596" s="85" t="n"/>
      <c r="W596" s="85" t="n"/>
      <c r="X596" s="85" t="n"/>
      <c r="Y596" s="85" t="n"/>
      <c r="Z596" s="85" t="n"/>
    </row>
    <row r="597" ht="15.75" customHeight="1" s="86">
      <c r="T597" s="85" t="n"/>
      <c r="U597" s="85" t="n"/>
      <c r="V597" s="85" t="n"/>
      <c r="W597" s="85" t="n"/>
      <c r="X597" s="85" t="n"/>
      <c r="Y597" s="85" t="n"/>
      <c r="Z597" s="85" t="n"/>
    </row>
    <row r="598" ht="15.75" customHeight="1" s="86">
      <c r="T598" s="85" t="n"/>
      <c r="U598" s="85" t="n"/>
      <c r="V598" s="85" t="n"/>
      <c r="W598" s="85" t="n"/>
      <c r="X598" s="85" t="n"/>
      <c r="Y598" s="85" t="n"/>
      <c r="Z598" s="85" t="n"/>
    </row>
    <row r="599" ht="15.75" customHeight="1" s="86">
      <c r="T599" s="85" t="n"/>
      <c r="U599" s="85" t="n"/>
      <c r="V599" s="85" t="n"/>
      <c r="W599" s="85" t="n"/>
      <c r="X599" s="85" t="n"/>
      <c r="Y599" s="85" t="n"/>
      <c r="Z599" s="85" t="n"/>
    </row>
    <row r="600" ht="15.75" customHeight="1" s="86">
      <c r="T600" s="85" t="n"/>
      <c r="U600" s="85" t="n"/>
      <c r="V600" s="85" t="n"/>
      <c r="W600" s="85" t="n"/>
      <c r="X600" s="85" t="n"/>
      <c r="Y600" s="85" t="n"/>
      <c r="Z600" s="85" t="n"/>
    </row>
    <row r="601" ht="15.75" customHeight="1" s="86">
      <c r="T601" s="85" t="n"/>
      <c r="U601" s="85" t="n"/>
      <c r="V601" s="85" t="n"/>
      <c r="W601" s="85" t="n"/>
      <c r="X601" s="85" t="n"/>
      <c r="Y601" s="85" t="n"/>
      <c r="Z601" s="85" t="n"/>
    </row>
    <row r="602" ht="15.75" customHeight="1" s="86">
      <c r="T602" s="85" t="n"/>
      <c r="U602" s="85" t="n"/>
      <c r="V602" s="85" t="n"/>
      <c r="W602" s="85" t="n"/>
      <c r="X602" s="85" t="n"/>
      <c r="Y602" s="85" t="n"/>
      <c r="Z602" s="85" t="n"/>
    </row>
    <row r="603" ht="15.75" customHeight="1" s="86">
      <c r="T603" s="85" t="n"/>
      <c r="U603" s="85" t="n"/>
      <c r="V603" s="85" t="n"/>
      <c r="W603" s="85" t="n"/>
      <c r="X603" s="85" t="n"/>
      <c r="Y603" s="85" t="n"/>
      <c r="Z603" s="85" t="n"/>
    </row>
    <row r="604" ht="15.75" customHeight="1" s="86">
      <c r="T604" s="85" t="n"/>
      <c r="U604" s="85" t="n"/>
      <c r="V604" s="85" t="n"/>
      <c r="W604" s="85" t="n"/>
      <c r="X604" s="85" t="n"/>
      <c r="Y604" s="85" t="n"/>
      <c r="Z604" s="85" t="n"/>
    </row>
    <row r="605" ht="15.75" customHeight="1" s="86">
      <c r="T605" s="85" t="n"/>
      <c r="U605" s="85" t="n"/>
      <c r="V605" s="85" t="n"/>
      <c r="W605" s="85" t="n"/>
      <c r="X605" s="85" t="n"/>
      <c r="Y605" s="85" t="n"/>
      <c r="Z605" s="85" t="n"/>
    </row>
    <row r="606" ht="15.75" customHeight="1" s="86">
      <c r="T606" s="85" t="n"/>
      <c r="U606" s="85" t="n"/>
      <c r="V606" s="85" t="n"/>
      <c r="W606" s="85" t="n"/>
      <c r="X606" s="85" t="n"/>
      <c r="Y606" s="85" t="n"/>
      <c r="Z606" s="85" t="n"/>
    </row>
    <row r="607" ht="15.75" customHeight="1" s="86">
      <c r="T607" s="85" t="n"/>
      <c r="U607" s="85" t="n"/>
      <c r="V607" s="85" t="n"/>
      <c r="W607" s="85" t="n"/>
      <c r="X607" s="85" t="n"/>
      <c r="Y607" s="85" t="n"/>
      <c r="Z607" s="85" t="n"/>
    </row>
    <row r="608" ht="15.75" customHeight="1" s="86">
      <c r="T608" s="85" t="n"/>
      <c r="U608" s="85" t="n"/>
      <c r="V608" s="85" t="n"/>
      <c r="W608" s="85" t="n"/>
      <c r="X608" s="85" t="n"/>
      <c r="Y608" s="85" t="n"/>
      <c r="Z608" s="85" t="n"/>
    </row>
    <row r="609" ht="15.75" customHeight="1" s="86">
      <c r="T609" s="85" t="n"/>
      <c r="U609" s="85" t="n"/>
      <c r="V609" s="85" t="n"/>
      <c r="W609" s="85" t="n"/>
      <c r="X609" s="85" t="n"/>
      <c r="Y609" s="85" t="n"/>
      <c r="Z609" s="85" t="n"/>
    </row>
    <row r="610" ht="15.75" customHeight="1" s="86">
      <c r="T610" s="85" t="n"/>
      <c r="U610" s="85" t="n"/>
      <c r="V610" s="85" t="n"/>
      <c r="W610" s="85" t="n"/>
      <c r="X610" s="85" t="n"/>
      <c r="Y610" s="85" t="n"/>
      <c r="Z610" s="85" t="n"/>
    </row>
    <row r="611" ht="15.75" customHeight="1" s="86">
      <c r="T611" s="85" t="n"/>
      <c r="U611" s="85" t="n"/>
      <c r="V611" s="85" t="n"/>
      <c r="W611" s="85" t="n"/>
      <c r="X611" s="85" t="n"/>
      <c r="Y611" s="85" t="n"/>
      <c r="Z611" s="85" t="n"/>
    </row>
    <row r="612" ht="15.75" customHeight="1" s="86">
      <c r="T612" s="85" t="n"/>
      <c r="U612" s="85" t="n"/>
      <c r="V612" s="85" t="n"/>
      <c r="W612" s="85" t="n"/>
      <c r="X612" s="85" t="n"/>
      <c r="Y612" s="85" t="n"/>
      <c r="Z612" s="85" t="n"/>
    </row>
    <row r="613" ht="15.75" customHeight="1" s="86">
      <c r="T613" s="85" t="n"/>
      <c r="U613" s="85" t="n"/>
      <c r="V613" s="85" t="n"/>
      <c r="W613" s="85" t="n"/>
      <c r="X613" s="85" t="n"/>
      <c r="Y613" s="85" t="n"/>
      <c r="Z613" s="85" t="n"/>
    </row>
    <row r="614" ht="15.75" customHeight="1" s="86">
      <c r="T614" s="85" t="n"/>
      <c r="U614" s="85" t="n"/>
      <c r="V614" s="85" t="n"/>
      <c r="W614" s="85" t="n"/>
      <c r="X614" s="85" t="n"/>
      <c r="Y614" s="85" t="n"/>
      <c r="Z614" s="85" t="n"/>
    </row>
    <row r="615" ht="15.75" customHeight="1" s="86">
      <c r="T615" s="85" t="n"/>
      <c r="U615" s="85" t="n"/>
      <c r="V615" s="85" t="n"/>
      <c r="W615" s="85" t="n"/>
      <c r="X615" s="85" t="n"/>
      <c r="Y615" s="85" t="n"/>
      <c r="Z615" s="85" t="n"/>
    </row>
    <row r="616" ht="15.75" customHeight="1" s="86">
      <c r="T616" s="85" t="n"/>
      <c r="U616" s="85" t="n"/>
      <c r="V616" s="85" t="n"/>
      <c r="W616" s="85" t="n"/>
      <c r="X616" s="85" t="n"/>
      <c r="Y616" s="85" t="n"/>
      <c r="Z616" s="85" t="n"/>
    </row>
    <row r="617" ht="15.75" customHeight="1" s="86">
      <c r="T617" s="85" t="n"/>
      <c r="U617" s="85" t="n"/>
      <c r="V617" s="85" t="n"/>
      <c r="W617" s="85" t="n"/>
      <c r="X617" s="85" t="n"/>
      <c r="Y617" s="85" t="n"/>
      <c r="Z617" s="85" t="n"/>
    </row>
    <row r="618" ht="15.75" customHeight="1" s="86">
      <c r="T618" s="85" t="n"/>
      <c r="U618" s="85" t="n"/>
      <c r="V618" s="85" t="n"/>
      <c r="W618" s="85" t="n"/>
      <c r="X618" s="85" t="n"/>
      <c r="Y618" s="85" t="n"/>
      <c r="Z618" s="85" t="n"/>
    </row>
    <row r="619" ht="15.75" customHeight="1" s="86">
      <c r="T619" s="85" t="n"/>
      <c r="U619" s="85" t="n"/>
      <c r="V619" s="85" t="n"/>
      <c r="W619" s="85" t="n"/>
      <c r="X619" s="85" t="n"/>
      <c r="Y619" s="85" t="n"/>
      <c r="Z619" s="85" t="n"/>
    </row>
    <row r="620" ht="15.75" customHeight="1" s="86">
      <c r="T620" s="85" t="n"/>
      <c r="U620" s="85" t="n"/>
      <c r="V620" s="85" t="n"/>
      <c r="W620" s="85" t="n"/>
      <c r="X620" s="85" t="n"/>
      <c r="Y620" s="85" t="n"/>
      <c r="Z620" s="85" t="n"/>
    </row>
    <row r="621" ht="15.75" customHeight="1" s="86">
      <c r="T621" s="85" t="n"/>
      <c r="U621" s="85" t="n"/>
      <c r="V621" s="85" t="n"/>
      <c r="W621" s="85" t="n"/>
      <c r="X621" s="85" t="n"/>
      <c r="Y621" s="85" t="n"/>
      <c r="Z621" s="85" t="n"/>
    </row>
    <row r="622" ht="15.75" customHeight="1" s="86">
      <c r="T622" s="85" t="n"/>
      <c r="U622" s="85" t="n"/>
      <c r="V622" s="85" t="n"/>
      <c r="W622" s="85" t="n"/>
      <c r="X622" s="85" t="n"/>
      <c r="Y622" s="85" t="n"/>
      <c r="Z622" s="85" t="n"/>
    </row>
    <row r="623" ht="15.75" customHeight="1" s="86">
      <c r="T623" s="85" t="n"/>
      <c r="U623" s="85" t="n"/>
      <c r="V623" s="85" t="n"/>
      <c r="W623" s="85" t="n"/>
      <c r="X623" s="85" t="n"/>
      <c r="Y623" s="85" t="n"/>
      <c r="Z623" s="85" t="n"/>
    </row>
    <row r="624" ht="15.75" customHeight="1" s="86">
      <c r="T624" s="85" t="n"/>
      <c r="U624" s="85" t="n"/>
      <c r="V624" s="85" t="n"/>
      <c r="W624" s="85" t="n"/>
      <c r="X624" s="85" t="n"/>
      <c r="Y624" s="85" t="n"/>
      <c r="Z624" s="85" t="n"/>
    </row>
    <row r="625" ht="15.75" customHeight="1" s="86">
      <c r="T625" s="85" t="n"/>
      <c r="U625" s="85" t="n"/>
      <c r="V625" s="85" t="n"/>
      <c r="W625" s="85" t="n"/>
      <c r="X625" s="85" t="n"/>
      <c r="Y625" s="85" t="n"/>
      <c r="Z625" s="85" t="n"/>
    </row>
    <row r="626" ht="15.75" customHeight="1" s="86">
      <c r="T626" s="85" t="n"/>
      <c r="U626" s="85" t="n"/>
      <c r="V626" s="85" t="n"/>
      <c r="W626" s="85" t="n"/>
      <c r="X626" s="85" t="n"/>
      <c r="Y626" s="85" t="n"/>
      <c r="Z626" s="85" t="n"/>
    </row>
    <row r="627" ht="15.75" customHeight="1" s="86">
      <c r="T627" s="85" t="n"/>
      <c r="U627" s="85" t="n"/>
      <c r="V627" s="85" t="n"/>
      <c r="W627" s="85" t="n"/>
      <c r="X627" s="85" t="n"/>
      <c r="Y627" s="85" t="n"/>
      <c r="Z627" s="85" t="n"/>
    </row>
    <row r="628" ht="15.75" customHeight="1" s="86">
      <c r="T628" s="85" t="n"/>
      <c r="U628" s="85" t="n"/>
      <c r="V628" s="85" t="n"/>
      <c r="W628" s="85" t="n"/>
      <c r="X628" s="85" t="n"/>
      <c r="Y628" s="85" t="n"/>
      <c r="Z628" s="85" t="n"/>
    </row>
    <row r="629" ht="15.75" customHeight="1" s="86">
      <c r="T629" s="85" t="n"/>
      <c r="U629" s="85" t="n"/>
      <c r="V629" s="85" t="n"/>
      <c r="W629" s="85" t="n"/>
      <c r="X629" s="85" t="n"/>
      <c r="Y629" s="85" t="n"/>
      <c r="Z629" s="85" t="n"/>
    </row>
    <row r="630" ht="15.75" customHeight="1" s="86">
      <c r="T630" s="85" t="n"/>
      <c r="U630" s="85" t="n"/>
      <c r="V630" s="85" t="n"/>
      <c r="W630" s="85" t="n"/>
      <c r="X630" s="85" t="n"/>
      <c r="Y630" s="85" t="n"/>
      <c r="Z630" s="85" t="n"/>
    </row>
    <row r="631" ht="15.75" customHeight="1" s="86">
      <c r="T631" s="85" t="n"/>
      <c r="U631" s="85" t="n"/>
      <c r="V631" s="85" t="n"/>
      <c r="W631" s="85" t="n"/>
      <c r="X631" s="85" t="n"/>
      <c r="Y631" s="85" t="n"/>
      <c r="Z631" s="85" t="n"/>
    </row>
    <row r="632" ht="15.75" customHeight="1" s="86">
      <c r="T632" s="85" t="n"/>
      <c r="U632" s="85" t="n"/>
      <c r="V632" s="85" t="n"/>
      <c r="W632" s="85" t="n"/>
      <c r="X632" s="85" t="n"/>
      <c r="Y632" s="85" t="n"/>
      <c r="Z632" s="85" t="n"/>
    </row>
    <row r="633" ht="15.75" customHeight="1" s="86">
      <c r="T633" s="85" t="n"/>
      <c r="U633" s="85" t="n"/>
      <c r="V633" s="85" t="n"/>
      <c r="W633" s="85" t="n"/>
      <c r="X633" s="85" t="n"/>
      <c r="Y633" s="85" t="n"/>
      <c r="Z633" s="85" t="n"/>
    </row>
    <row r="634" ht="15.75" customHeight="1" s="86">
      <c r="T634" s="85" t="n"/>
      <c r="U634" s="85" t="n"/>
      <c r="V634" s="85" t="n"/>
      <c r="W634" s="85" t="n"/>
      <c r="X634" s="85" t="n"/>
      <c r="Y634" s="85" t="n"/>
      <c r="Z634" s="85" t="n"/>
    </row>
    <row r="635" ht="15.75" customHeight="1" s="86">
      <c r="T635" s="85" t="n"/>
      <c r="U635" s="85" t="n"/>
      <c r="V635" s="85" t="n"/>
      <c r="W635" s="85" t="n"/>
      <c r="X635" s="85" t="n"/>
      <c r="Y635" s="85" t="n"/>
      <c r="Z635" s="85" t="n"/>
    </row>
    <row r="636" ht="15.75" customHeight="1" s="86">
      <c r="T636" s="85" t="n"/>
      <c r="U636" s="85" t="n"/>
      <c r="V636" s="85" t="n"/>
      <c r="W636" s="85" t="n"/>
      <c r="X636" s="85" t="n"/>
      <c r="Y636" s="85" t="n"/>
      <c r="Z636" s="85" t="n"/>
    </row>
    <row r="637" ht="15.75" customHeight="1" s="86">
      <c r="T637" s="85" t="n"/>
      <c r="U637" s="85" t="n"/>
      <c r="V637" s="85" t="n"/>
      <c r="W637" s="85" t="n"/>
      <c r="X637" s="85" t="n"/>
      <c r="Y637" s="85" t="n"/>
      <c r="Z637" s="85" t="n"/>
    </row>
    <row r="638" ht="15.75" customHeight="1" s="86">
      <c r="T638" s="85" t="n"/>
      <c r="U638" s="85" t="n"/>
      <c r="V638" s="85" t="n"/>
      <c r="W638" s="85" t="n"/>
      <c r="X638" s="85" t="n"/>
      <c r="Y638" s="85" t="n"/>
      <c r="Z638" s="85" t="n"/>
    </row>
    <row r="639" ht="15.75" customHeight="1" s="86">
      <c r="T639" s="85" t="n"/>
      <c r="U639" s="85" t="n"/>
      <c r="V639" s="85" t="n"/>
      <c r="W639" s="85" t="n"/>
      <c r="X639" s="85" t="n"/>
      <c r="Y639" s="85" t="n"/>
      <c r="Z639" s="85" t="n"/>
    </row>
    <row r="640" ht="15.75" customHeight="1" s="86">
      <c r="T640" s="85" t="n"/>
      <c r="U640" s="85" t="n"/>
      <c r="V640" s="85" t="n"/>
      <c r="W640" s="85" t="n"/>
      <c r="X640" s="85" t="n"/>
      <c r="Y640" s="85" t="n"/>
      <c r="Z640" s="85" t="n"/>
    </row>
    <row r="641" ht="15.75" customHeight="1" s="86">
      <c r="T641" s="85" t="n"/>
      <c r="U641" s="85" t="n"/>
      <c r="V641" s="85" t="n"/>
      <c r="W641" s="85" t="n"/>
      <c r="X641" s="85" t="n"/>
      <c r="Y641" s="85" t="n"/>
      <c r="Z641" s="85" t="n"/>
    </row>
    <row r="642" ht="15.75" customHeight="1" s="86">
      <c r="T642" s="85" t="n"/>
      <c r="U642" s="85" t="n"/>
      <c r="V642" s="85" t="n"/>
      <c r="W642" s="85" t="n"/>
      <c r="X642" s="85" t="n"/>
      <c r="Y642" s="85" t="n"/>
      <c r="Z642" s="85" t="n"/>
    </row>
    <row r="643" ht="15.75" customHeight="1" s="86">
      <c r="T643" s="85" t="n"/>
      <c r="U643" s="85" t="n"/>
      <c r="V643" s="85" t="n"/>
      <c r="W643" s="85" t="n"/>
      <c r="X643" s="85" t="n"/>
      <c r="Y643" s="85" t="n"/>
      <c r="Z643" s="85" t="n"/>
    </row>
    <row r="644" ht="15.75" customHeight="1" s="86">
      <c r="T644" s="85" t="n"/>
      <c r="U644" s="85" t="n"/>
      <c r="V644" s="85" t="n"/>
      <c r="W644" s="85" t="n"/>
      <c r="X644" s="85" t="n"/>
      <c r="Y644" s="85" t="n"/>
      <c r="Z644" s="85" t="n"/>
    </row>
    <row r="645" ht="15.75" customHeight="1" s="86">
      <c r="T645" s="85" t="n"/>
      <c r="U645" s="85" t="n"/>
      <c r="V645" s="85" t="n"/>
      <c r="W645" s="85" t="n"/>
      <c r="X645" s="85" t="n"/>
      <c r="Y645" s="85" t="n"/>
      <c r="Z645" s="85" t="n"/>
    </row>
    <row r="646" ht="15.75" customHeight="1" s="86">
      <c r="T646" s="85" t="n"/>
      <c r="U646" s="85" t="n"/>
      <c r="V646" s="85" t="n"/>
      <c r="W646" s="85" t="n"/>
      <c r="X646" s="85" t="n"/>
      <c r="Y646" s="85" t="n"/>
      <c r="Z646" s="85" t="n"/>
    </row>
    <row r="647" ht="15.75" customHeight="1" s="86">
      <c r="T647" s="85" t="n"/>
      <c r="U647" s="85" t="n"/>
      <c r="V647" s="85" t="n"/>
      <c r="W647" s="85" t="n"/>
      <c r="X647" s="85" t="n"/>
      <c r="Y647" s="85" t="n"/>
      <c r="Z647" s="85" t="n"/>
    </row>
    <row r="648" ht="15.75" customHeight="1" s="86">
      <c r="T648" s="85" t="n"/>
      <c r="U648" s="85" t="n"/>
      <c r="V648" s="85" t="n"/>
      <c r="W648" s="85" t="n"/>
      <c r="X648" s="85" t="n"/>
      <c r="Y648" s="85" t="n"/>
      <c r="Z648" s="85" t="n"/>
    </row>
    <row r="649" ht="15.75" customHeight="1" s="86">
      <c r="T649" s="85" t="n"/>
      <c r="U649" s="85" t="n"/>
      <c r="V649" s="85" t="n"/>
      <c r="W649" s="85" t="n"/>
      <c r="X649" s="85" t="n"/>
      <c r="Y649" s="85" t="n"/>
      <c r="Z649" s="85" t="n"/>
    </row>
    <row r="650" ht="15.75" customHeight="1" s="86">
      <c r="T650" s="85" t="n"/>
      <c r="U650" s="85" t="n"/>
      <c r="V650" s="85" t="n"/>
      <c r="W650" s="85" t="n"/>
      <c r="X650" s="85" t="n"/>
      <c r="Y650" s="85" t="n"/>
      <c r="Z650" s="85" t="n"/>
    </row>
    <row r="651" ht="15.75" customHeight="1" s="86">
      <c r="T651" s="85" t="n"/>
      <c r="U651" s="85" t="n"/>
      <c r="V651" s="85" t="n"/>
      <c r="W651" s="85" t="n"/>
      <c r="X651" s="85" t="n"/>
      <c r="Y651" s="85" t="n"/>
      <c r="Z651" s="85" t="n"/>
    </row>
    <row r="652" ht="15.75" customHeight="1" s="86">
      <c r="T652" s="85" t="n"/>
      <c r="U652" s="85" t="n"/>
      <c r="V652" s="85" t="n"/>
      <c r="W652" s="85" t="n"/>
      <c r="X652" s="85" t="n"/>
      <c r="Y652" s="85" t="n"/>
      <c r="Z652" s="85" t="n"/>
    </row>
    <row r="653" ht="15.75" customHeight="1" s="86">
      <c r="T653" s="85" t="n"/>
      <c r="U653" s="85" t="n"/>
      <c r="V653" s="85" t="n"/>
      <c r="W653" s="85" t="n"/>
      <c r="X653" s="85" t="n"/>
      <c r="Y653" s="85" t="n"/>
      <c r="Z653" s="85" t="n"/>
    </row>
    <row r="654" ht="15.75" customHeight="1" s="86">
      <c r="T654" s="85" t="n"/>
      <c r="U654" s="85" t="n"/>
      <c r="V654" s="85" t="n"/>
      <c r="W654" s="85" t="n"/>
      <c r="X654" s="85" t="n"/>
      <c r="Y654" s="85" t="n"/>
      <c r="Z654" s="85" t="n"/>
    </row>
    <row r="655" ht="15.75" customHeight="1" s="86">
      <c r="T655" s="85" t="n"/>
      <c r="U655" s="85" t="n"/>
      <c r="V655" s="85" t="n"/>
      <c r="W655" s="85" t="n"/>
      <c r="X655" s="85" t="n"/>
      <c r="Y655" s="85" t="n"/>
      <c r="Z655" s="85" t="n"/>
    </row>
    <row r="656" ht="15.75" customHeight="1" s="86">
      <c r="T656" s="85" t="n"/>
      <c r="U656" s="85" t="n"/>
      <c r="V656" s="85" t="n"/>
      <c r="W656" s="85" t="n"/>
      <c r="X656" s="85" t="n"/>
      <c r="Y656" s="85" t="n"/>
      <c r="Z656" s="85" t="n"/>
    </row>
    <row r="657" ht="15.75" customHeight="1" s="86">
      <c r="T657" s="85" t="n"/>
      <c r="U657" s="85" t="n"/>
      <c r="V657" s="85" t="n"/>
      <c r="W657" s="85" t="n"/>
      <c r="X657" s="85" t="n"/>
      <c r="Y657" s="85" t="n"/>
      <c r="Z657" s="85" t="n"/>
    </row>
    <row r="658" ht="15.75" customHeight="1" s="86">
      <c r="T658" s="85" t="n"/>
      <c r="U658" s="85" t="n"/>
      <c r="V658" s="85" t="n"/>
      <c r="W658" s="85" t="n"/>
      <c r="X658" s="85" t="n"/>
      <c r="Y658" s="85" t="n"/>
      <c r="Z658" s="85" t="n"/>
    </row>
    <row r="659" ht="15.75" customHeight="1" s="86">
      <c r="T659" s="85" t="n"/>
      <c r="U659" s="85" t="n"/>
      <c r="V659" s="85" t="n"/>
      <c r="W659" s="85" t="n"/>
      <c r="X659" s="85" t="n"/>
      <c r="Y659" s="85" t="n"/>
      <c r="Z659" s="85" t="n"/>
    </row>
    <row r="660" ht="15.75" customHeight="1" s="86">
      <c r="T660" s="85" t="n"/>
      <c r="U660" s="85" t="n"/>
      <c r="V660" s="85" t="n"/>
      <c r="W660" s="85" t="n"/>
      <c r="X660" s="85" t="n"/>
      <c r="Y660" s="85" t="n"/>
      <c r="Z660" s="85" t="n"/>
    </row>
    <row r="661" ht="15.75" customHeight="1" s="86">
      <c r="T661" s="85" t="n"/>
      <c r="U661" s="85" t="n"/>
      <c r="V661" s="85" t="n"/>
      <c r="W661" s="85" t="n"/>
      <c r="X661" s="85" t="n"/>
      <c r="Y661" s="85" t="n"/>
      <c r="Z661" s="85" t="n"/>
    </row>
    <row r="662" ht="15.75" customHeight="1" s="86">
      <c r="T662" s="85" t="n"/>
      <c r="U662" s="85" t="n"/>
      <c r="V662" s="85" t="n"/>
      <c r="W662" s="85" t="n"/>
      <c r="X662" s="85" t="n"/>
      <c r="Y662" s="85" t="n"/>
      <c r="Z662" s="85" t="n"/>
    </row>
    <row r="663" ht="15.75" customHeight="1" s="86">
      <c r="T663" s="85" t="n"/>
      <c r="U663" s="85" t="n"/>
      <c r="V663" s="85" t="n"/>
      <c r="W663" s="85" t="n"/>
      <c r="X663" s="85" t="n"/>
      <c r="Y663" s="85" t="n"/>
      <c r="Z663" s="85" t="n"/>
    </row>
    <row r="664" ht="15.75" customHeight="1" s="86">
      <c r="T664" s="85" t="n"/>
      <c r="U664" s="85" t="n"/>
      <c r="V664" s="85" t="n"/>
      <c r="W664" s="85" t="n"/>
      <c r="X664" s="85" t="n"/>
      <c r="Y664" s="85" t="n"/>
      <c r="Z664" s="85" t="n"/>
    </row>
    <row r="665" ht="15.75" customHeight="1" s="86">
      <c r="T665" s="85" t="n"/>
      <c r="U665" s="85" t="n"/>
      <c r="V665" s="85" t="n"/>
      <c r="W665" s="85" t="n"/>
      <c r="X665" s="85" t="n"/>
      <c r="Y665" s="85" t="n"/>
      <c r="Z665" s="85" t="n"/>
    </row>
    <row r="666" ht="15.75" customHeight="1" s="86">
      <c r="T666" s="85" t="n"/>
      <c r="U666" s="85" t="n"/>
      <c r="V666" s="85" t="n"/>
      <c r="W666" s="85" t="n"/>
      <c r="X666" s="85" t="n"/>
      <c r="Y666" s="85" t="n"/>
      <c r="Z666" s="85" t="n"/>
    </row>
    <row r="667" ht="15.75" customHeight="1" s="86">
      <c r="T667" s="85" t="n"/>
      <c r="U667" s="85" t="n"/>
      <c r="V667" s="85" t="n"/>
      <c r="W667" s="85" t="n"/>
      <c r="X667" s="85" t="n"/>
      <c r="Y667" s="85" t="n"/>
      <c r="Z667" s="85" t="n"/>
    </row>
    <row r="668" ht="15.75" customHeight="1" s="86">
      <c r="T668" s="85" t="n"/>
      <c r="U668" s="85" t="n"/>
      <c r="V668" s="85" t="n"/>
      <c r="W668" s="85" t="n"/>
      <c r="X668" s="85" t="n"/>
      <c r="Y668" s="85" t="n"/>
      <c r="Z668" s="85" t="n"/>
    </row>
    <row r="669" ht="15.75" customHeight="1" s="86">
      <c r="T669" s="85" t="n"/>
      <c r="U669" s="85" t="n"/>
      <c r="V669" s="85" t="n"/>
      <c r="W669" s="85" t="n"/>
      <c r="X669" s="85" t="n"/>
      <c r="Y669" s="85" t="n"/>
      <c r="Z669" s="85" t="n"/>
    </row>
    <row r="670" ht="15.75" customHeight="1" s="86">
      <c r="T670" s="85" t="n"/>
      <c r="U670" s="85" t="n"/>
      <c r="V670" s="85" t="n"/>
      <c r="W670" s="85" t="n"/>
      <c r="X670" s="85" t="n"/>
      <c r="Y670" s="85" t="n"/>
      <c r="Z670" s="85" t="n"/>
    </row>
    <row r="671" ht="15.75" customHeight="1" s="86">
      <c r="T671" s="85" t="n"/>
      <c r="U671" s="85" t="n"/>
      <c r="V671" s="85" t="n"/>
      <c r="W671" s="85" t="n"/>
      <c r="X671" s="85" t="n"/>
      <c r="Y671" s="85" t="n"/>
      <c r="Z671" s="85" t="n"/>
    </row>
    <row r="672" ht="15.75" customHeight="1" s="86">
      <c r="T672" s="85" t="n"/>
      <c r="U672" s="85" t="n"/>
      <c r="V672" s="85" t="n"/>
      <c r="W672" s="85" t="n"/>
      <c r="X672" s="85" t="n"/>
      <c r="Y672" s="85" t="n"/>
      <c r="Z672" s="85" t="n"/>
    </row>
    <row r="673" ht="15.75" customHeight="1" s="86">
      <c r="T673" s="85" t="n"/>
      <c r="U673" s="85" t="n"/>
      <c r="V673" s="85" t="n"/>
      <c r="W673" s="85" t="n"/>
      <c r="X673" s="85" t="n"/>
      <c r="Y673" s="85" t="n"/>
      <c r="Z673" s="85" t="n"/>
    </row>
    <row r="674" ht="15.75" customHeight="1" s="86">
      <c r="T674" s="85" t="n"/>
      <c r="U674" s="85" t="n"/>
      <c r="V674" s="85" t="n"/>
      <c r="W674" s="85" t="n"/>
      <c r="X674" s="85" t="n"/>
      <c r="Y674" s="85" t="n"/>
      <c r="Z674" s="85" t="n"/>
    </row>
    <row r="675" ht="15.75" customHeight="1" s="86">
      <c r="T675" s="85" t="n"/>
      <c r="U675" s="85" t="n"/>
      <c r="V675" s="85" t="n"/>
      <c r="W675" s="85" t="n"/>
      <c r="X675" s="85" t="n"/>
      <c r="Y675" s="85" t="n"/>
      <c r="Z675" s="85" t="n"/>
    </row>
    <row r="676" ht="15.75" customHeight="1" s="86">
      <c r="T676" s="85" t="n"/>
      <c r="U676" s="85" t="n"/>
      <c r="V676" s="85" t="n"/>
      <c r="W676" s="85" t="n"/>
      <c r="X676" s="85" t="n"/>
      <c r="Y676" s="85" t="n"/>
      <c r="Z676" s="85" t="n"/>
    </row>
    <row r="677" ht="15.75" customHeight="1" s="86">
      <c r="T677" s="85" t="n"/>
      <c r="U677" s="85" t="n"/>
      <c r="V677" s="85" t="n"/>
      <c r="W677" s="85" t="n"/>
      <c r="X677" s="85" t="n"/>
      <c r="Y677" s="85" t="n"/>
      <c r="Z677" s="85" t="n"/>
    </row>
    <row r="678" ht="15.75" customHeight="1" s="86">
      <c r="T678" s="85" t="n"/>
      <c r="U678" s="85" t="n"/>
      <c r="V678" s="85" t="n"/>
      <c r="W678" s="85" t="n"/>
      <c r="X678" s="85" t="n"/>
      <c r="Y678" s="85" t="n"/>
      <c r="Z678" s="85" t="n"/>
    </row>
    <row r="679" ht="15.75" customHeight="1" s="86">
      <c r="T679" s="85" t="n"/>
      <c r="U679" s="85" t="n"/>
      <c r="V679" s="85" t="n"/>
      <c r="W679" s="85" t="n"/>
      <c r="X679" s="85" t="n"/>
      <c r="Y679" s="85" t="n"/>
      <c r="Z679" s="85" t="n"/>
    </row>
    <row r="680" ht="15.75" customHeight="1" s="86">
      <c r="T680" s="85" t="n"/>
      <c r="U680" s="85" t="n"/>
      <c r="V680" s="85" t="n"/>
      <c r="W680" s="85" t="n"/>
      <c r="X680" s="85" t="n"/>
      <c r="Y680" s="85" t="n"/>
      <c r="Z680" s="85" t="n"/>
    </row>
    <row r="681" ht="15.75" customHeight="1" s="86">
      <c r="T681" s="85" t="n"/>
      <c r="U681" s="85" t="n"/>
      <c r="V681" s="85" t="n"/>
      <c r="W681" s="85" t="n"/>
      <c r="X681" s="85" t="n"/>
      <c r="Y681" s="85" t="n"/>
      <c r="Z681" s="85" t="n"/>
    </row>
    <row r="682" ht="15.75" customHeight="1" s="86">
      <c r="T682" s="85" t="n"/>
      <c r="U682" s="85" t="n"/>
      <c r="V682" s="85" t="n"/>
      <c r="W682" s="85" t="n"/>
      <c r="X682" s="85" t="n"/>
      <c r="Y682" s="85" t="n"/>
      <c r="Z682" s="85" t="n"/>
    </row>
    <row r="683" ht="15.75" customHeight="1" s="86">
      <c r="T683" s="85" t="n"/>
      <c r="U683" s="85" t="n"/>
      <c r="V683" s="85" t="n"/>
      <c r="W683" s="85" t="n"/>
      <c r="X683" s="85" t="n"/>
      <c r="Y683" s="85" t="n"/>
      <c r="Z683" s="85" t="n"/>
    </row>
    <row r="684" ht="15.75" customHeight="1" s="86">
      <c r="T684" s="85" t="n"/>
      <c r="U684" s="85" t="n"/>
      <c r="V684" s="85" t="n"/>
      <c r="W684" s="85" t="n"/>
      <c r="X684" s="85" t="n"/>
      <c r="Y684" s="85" t="n"/>
      <c r="Z684" s="85" t="n"/>
    </row>
    <row r="685" ht="15.75" customHeight="1" s="86">
      <c r="T685" s="85" t="n"/>
      <c r="U685" s="85" t="n"/>
      <c r="V685" s="85" t="n"/>
      <c r="W685" s="85" t="n"/>
      <c r="X685" s="85" t="n"/>
      <c r="Y685" s="85" t="n"/>
      <c r="Z685" s="85" t="n"/>
    </row>
    <row r="686" ht="15.75" customHeight="1" s="86">
      <c r="T686" s="85" t="n"/>
      <c r="U686" s="85" t="n"/>
      <c r="V686" s="85" t="n"/>
      <c r="W686" s="85" t="n"/>
      <c r="X686" s="85" t="n"/>
      <c r="Y686" s="85" t="n"/>
      <c r="Z686" s="85" t="n"/>
    </row>
    <row r="687" ht="15.75" customHeight="1" s="86">
      <c r="T687" s="85" t="n"/>
      <c r="U687" s="85" t="n"/>
      <c r="V687" s="85" t="n"/>
      <c r="W687" s="85" t="n"/>
      <c r="X687" s="85" t="n"/>
      <c r="Y687" s="85" t="n"/>
      <c r="Z687" s="85" t="n"/>
    </row>
    <row r="688" ht="15.75" customHeight="1" s="86">
      <c r="T688" s="85" t="n"/>
      <c r="U688" s="85" t="n"/>
      <c r="V688" s="85" t="n"/>
      <c r="W688" s="85" t="n"/>
      <c r="X688" s="85" t="n"/>
      <c r="Y688" s="85" t="n"/>
      <c r="Z688" s="85" t="n"/>
    </row>
    <row r="689" ht="15.75" customHeight="1" s="86">
      <c r="T689" s="85" t="n"/>
      <c r="U689" s="85" t="n"/>
      <c r="V689" s="85" t="n"/>
      <c r="W689" s="85" t="n"/>
      <c r="X689" s="85" t="n"/>
      <c r="Y689" s="85" t="n"/>
      <c r="Z689" s="85" t="n"/>
    </row>
    <row r="690" ht="15.75" customHeight="1" s="86">
      <c r="T690" s="85" t="n"/>
      <c r="U690" s="85" t="n"/>
      <c r="V690" s="85" t="n"/>
      <c r="W690" s="85" t="n"/>
      <c r="X690" s="85" t="n"/>
      <c r="Y690" s="85" t="n"/>
      <c r="Z690" s="85" t="n"/>
    </row>
    <row r="691" ht="15.75" customHeight="1" s="86">
      <c r="T691" s="85" t="n"/>
      <c r="U691" s="85" t="n"/>
      <c r="V691" s="85" t="n"/>
      <c r="W691" s="85" t="n"/>
      <c r="X691" s="85" t="n"/>
      <c r="Y691" s="85" t="n"/>
      <c r="Z691" s="85" t="n"/>
    </row>
    <row r="692" ht="15.75" customHeight="1" s="86">
      <c r="T692" s="85" t="n"/>
      <c r="U692" s="85" t="n"/>
      <c r="V692" s="85" t="n"/>
      <c r="W692" s="85" t="n"/>
      <c r="X692" s="85" t="n"/>
      <c r="Y692" s="85" t="n"/>
      <c r="Z692" s="85" t="n"/>
    </row>
    <row r="693" ht="15.75" customHeight="1" s="86">
      <c r="T693" s="85" t="n"/>
      <c r="U693" s="85" t="n"/>
      <c r="V693" s="85" t="n"/>
      <c r="W693" s="85" t="n"/>
      <c r="X693" s="85" t="n"/>
      <c r="Y693" s="85" t="n"/>
      <c r="Z693" s="85" t="n"/>
    </row>
    <row r="694" ht="15.75" customHeight="1" s="86">
      <c r="T694" s="85" t="n"/>
      <c r="U694" s="85" t="n"/>
      <c r="V694" s="85" t="n"/>
      <c r="W694" s="85" t="n"/>
      <c r="X694" s="85" t="n"/>
      <c r="Y694" s="85" t="n"/>
      <c r="Z694" s="85" t="n"/>
    </row>
    <row r="695" ht="15.75" customHeight="1" s="86">
      <c r="T695" s="85" t="n"/>
      <c r="U695" s="85" t="n"/>
      <c r="V695" s="85" t="n"/>
      <c r="W695" s="85" t="n"/>
      <c r="X695" s="85" t="n"/>
      <c r="Y695" s="85" t="n"/>
      <c r="Z695" s="85" t="n"/>
    </row>
    <row r="696" ht="15.75" customHeight="1" s="86">
      <c r="T696" s="85" t="n"/>
      <c r="U696" s="85" t="n"/>
      <c r="V696" s="85" t="n"/>
      <c r="W696" s="85" t="n"/>
      <c r="X696" s="85" t="n"/>
      <c r="Y696" s="85" t="n"/>
      <c r="Z696" s="85" t="n"/>
    </row>
    <row r="697" ht="15.75" customHeight="1" s="86">
      <c r="T697" s="85" t="n"/>
      <c r="U697" s="85" t="n"/>
      <c r="V697" s="85" t="n"/>
      <c r="W697" s="85" t="n"/>
      <c r="X697" s="85" t="n"/>
      <c r="Y697" s="85" t="n"/>
      <c r="Z697" s="85" t="n"/>
    </row>
    <row r="698" ht="15.75" customHeight="1" s="86">
      <c r="T698" s="85" t="n"/>
      <c r="U698" s="85" t="n"/>
      <c r="V698" s="85" t="n"/>
      <c r="W698" s="85" t="n"/>
      <c r="X698" s="85" t="n"/>
      <c r="Y698" s="85" t="n"/>
      <c r="Z698" s="85" t="n"/>
    </row>
    <row r="699" ht="15.75" customHeight="1" s="86">
      <c r="T699" s="85" t="n"/>
      <c r="U699" s="85" t="n"/>
      <c r="V699" s="85" t="n"/>
      <c r="W699" s="85" t="n"/>
      <c r="X699" s="85" t="n"/>
      <c r="Y699" s="85" t="n"/>
      <c r="Z699" s="85" t="n"/>
    </row>
    <row r="700" ht="15.75" customHeight="1" s="86">
      <c r="T700" s="85" t="n"/>
      <c r="U700" s="85" t="n"/>
      <c r="V700" s="85" t="n"/>
      <c r="W700" s="85" t="n"/>
      <c r="X700" s="85" t="n"/>
      <c r="Y700" s="85" t="n"/>
      <c r="Z700" s="85" t="n"/>
    </row>
    <row r="701" ht="15.75" customHeight="1" s="86">
      <c r="T701" s="85" t="n"/>
      <c r="U701" s="85" t="n"/>
      <c r="V701" s="85" t="n"/>
      <c r="W701" s="85" t="n"/>
      <c r="X701" s="85" t="n"/>
      <c r="Y701" s="85" t="n"/>
      <c r="Z701" s="85" t="n"/>
    </row>
    <row r="702" ht="15.75" customHeight="1" s="86">
      <c r="T702" s="85" t="n"/>
      <c r="U702" s="85" t="n"/>
      <c r="V702" s="85" t="n"/>
      <c r="W702" s="85" t="n"/>
      <c r="X702" s="85" t="n"/>
      <c r="Y702" s="85" t="n"/>
      <c r="Z702" s="85" t="n"/>
    </row>
    <row r="703" ht="15.75" customHeight="1" s="86">
      <c r="T703" s="85" t="n"/>
      <c r="U703" s="85" t="n"/>
      <c r="V703" s="85" t="n"/>
      <c r="W703" s="85" t="n"/>
      <c r="X703" s="85" t="n"/>
      <c r="Y703" s="85" t="n"/>
      <c r="Z703" s="85" t="n"/>
    </row>
    <row r="704" ht="15.75" customHeight="1" s="86">
      <c r="T704" s="85" t="n"/>
      <c r="U704" s="85" t="n"/>
      <c r="V704" s="85" t="n"/>
      <c r="W704" s="85" t="n"/>
      <c r="X704" s="85" t="n"/>
      <c r="Y704" s="85" t="n"/>
      <c r="Z704" s="85" t="n"/>
    </row>
    <row r="705" ht="15.75" customHeight="1" s="86">
      <c r="T705" s="85" t="n"/>
      <c r="U705" s="85" t="n"/>
      <c r="V705" s="85" t="n"/>
      <c r="W705" s="85" t="n"/>
      <c r="X705" s="85" t="n"/>
      <c r="Y705" s="85" t="n"/>
      <c r="Z705" s="85" t="n"/>
    </row>
    <row r="706" ht="15.75" customHeight="1" s="86">
      <c r="T706" s="85" t="n"/>
      <c r="U706" s="85" t="n"/>
      <c r="V706" s="85" t="n"/>
      <c r="W706" s="85" t="n"/>
      <c r="X706" s="85" t="n"/>
      <c r="Y706" s="85" t="n"/>
      <c r="Z706" s="85" t="n"/>
    </row>
    <row r="707" ht="15.75" customHeight="1" s="86">
      <c r="T707" s="85" t="n"/>
      <c r="U707" s="85" t="n"/>
      <c r="V707" s="85" t="n"/>
      <c r="W707" s="85" t="n"/>
      <c r="X707" s="85" t="n"/>
      <c r="Y707" s="85" t="n"/>
      <c r="Z707" s="85" t="n"/>
    </row>
    <row r="708" ht="15.75" customHeight="1" s="86">
      <c r="T708" s="85" t="n"/>
      <c r="U708" s="85" t="n"/>
      <c r="V708" s="85" t="n"/>
      <c r="W708" s="85" t="n"/>
      <c r="X708" s="85" t="n"/>
      <c r="Y708" s="85" t="n"/>
      <c r="Z708" s="85" t="n"/>
    </row>
    <row r="709" ht="15.75" customHeight="1" s="86">
      <c r="T709" s="85" t="n"/>
      <c r="U709" s="85" t="n"/>
      <c r="V709" s="85" t="n"/>
      <c r="W709" s="85" t="n"/>
      <c r="X709" s="85" t="n"/>
      <c r="Y709" s="85" t="n"/>
      <c r="Z709" s="85" t="n"/>
    </row>
    <row r="710" ht="15.75" customHeight="1" s="86">
      <c r="T710" s="85" t="n"/>
      <c r="U710" s="85" t="n"/>
      <c r="V710" s="85" t="n"/>
      <c r="W710" s="85" t="n"/>
      <c r="X710" s="85" t="n"/>
      <c r="Y710" s="85" t="n"/>
      <c r="Z710" s="85" t="n"/>
    </row>
    <row r="711" ht="15.75" customHeight="1" s="86">
      <c r="T711" s="85" t="n"/>
      <c r="U711" s="85" t="n"/>
      <c r="V711" s="85" t="n"/>
      <c r="W711" s="85" t="n"/>
      <c r="X711" s="85" t="n"/>
      <c r="Y711" s="85" t="n"/>
      <c r="Z711" s="85" t="n"/>
    </row>
    <row r="712" ht="15.75" customHeight="1" s="86">
      <c r="T712" s="85" t="n"/>
      <c r="U712" s="85" t="n"/>
      <c r="V712" s="85" t="n"/>
      <c r="W712" s="85" t="n"/>
      <c r="X712" s="85" t="n"/>
      <c r="Y712" s="85" t="n"/>
      <c r="Z712" s="85" t="n"/>
    </row>
    <row r="713" ht="15.75" customHeight="1" s="86">
      <c r="T713" s="85" t="n"/>
      <c r="U713" s="85" t="n"/>
      <c r="V713" s="85" t="n"/>
      <c r="W713" s="85" t="n"/>
      <c r="X713" s="85" t="n"/>
      <c r="Y713" s="85" t="n"/>
      <c r="Z713" s="85" t="n"/>
    </row>
    <row r="714" ht="15.75" customHeight="1" s="86">
      <c r="T714" s="85" t="n"/>
      <c r="U714" s="85" t="n"/>
      <c r="V714" s="85" t="n"/>
      <c r="W714" s="85" t="n"/>
      <c r="X714" s="85" t="n"/>
      <c r="Y714" s="85" t="n"/>
      <c r="Z714" s="85" t="n"/>
    </row>
    <row r="715" ht="15.75" customHeight="1" s="86">
      <c r="T715" s="85" t="n"/>
      <c r="U715" s="85" t="n"/>
      <c r="V715" s="85" t="n"/>
      <c r="W715" s="85" t="n"/>
      <c r="X715" s="85" t="n"/>
      <c r="Y715" s="85" t="n"/>
      <c r="Z715" s="85" t="n"/>
    </row>
    <row r="716" ht="15.75" customHeight="1" s="86">
      <c r="T716" s="85" t="n"/>
      <c r="U716" s="85" t="n"/>
      <c r="V716" s="85" t="n"/>
      <c r="W716" s="85" t="n"/>
      <c r="X716" s="85" t="n"/>
      <c r="Y716" s="85" t="n"/>
      <c r="Z716" s="85" t="n"/>
    </row>
    <row r="717" ht="15.75" customHeight="1" s="86">
      <c r="T717" s="85" t="n"/>
      <c r="U717" s="85" t="n"/>
      <c r="V717" s="85" t="n"/>
      <c r="W717" s="85" t="n"/>
      <c r="X717" s="85" t="n"/>
      <c r="Y717" s="85" t="n"/>
      <c r="Z717" s="85" t="n"/>
    </row>
    <row r="718" ht="15.75" customHeight="1" s="86">
      <c r="T718" s="85" t="n"/>
      <c r="U718" s="85" t="n"/>
      <c r="V718" s="85" t="n"/>
      <c r="W718" s="85" t="n"/>
      <c r="X718" s="85" t="n"/>
      <c r="Y718" s="85" t="n"/>
      <c r="Z718" s="85" t="n"/>
    </row>
    <row r="719" ht="15.75" customHeight="1" s="86">
      <c r="T719" s="85" t="n"/>
      <c r="U719" s="85" t="n"/>
      <c r="V719" s="85" t="n"/>
      <c r="W719" s="85" t="n"/>
      <c r="X719" s="85" t="n"/>
      <c r="Y719" s="85" t="n"/>
      <c r="Z719" s="85" t="n"/>
    </row>
    <row r="720" ht="15.75" customHeight="1" s="86">
      <c r="T720" s="85" t="n"/>
      <c r="U720" s="85" t="n"/>
      <c r="V720" s="85" t="n"/>
      <c r="W720" s="85" t="n"/>
      <c r="X720" s="85" t="n"/>
      <c r="Y720" s="85" t="n"/>
      <c r="Z720" s="85" t="n"/>
    </row>
    <row r="721" ht="15.75" customHeight="1" s="86">
      <c r="T721" s="85" t="n"/>
      <c r="U721" s="85" t="n"/>
      <c r="V721" s="85" t="n"/>
      <c r="W721" s="85" t="n"/>
      <c r="X721" s="85" t="n"/>
      <c r="Y721" s="85" t="n"/>
      <c r="Z721" s="85" t="n"/>
    </row>
    <row r="722" ht="15.75" customHeight="1" s="86">
      <c r="T722" s="85" t="n"/>
      <c r="U722" s="85" t="n"/>
      <c r="V722" s="85" t="n"/>
      <c r="W722" s="85" t="n"/>
      <c r="X722" s="85" t="n"/>
      <c r="Y722" s="85" t="n"/>
      <c r="Z722" s="85" t="n"/>
    </row>
    <row r="723" ht="15.75" customHeight="1" s="86">
      <c r="T723" s="85" t="n"/>
      <c r="U723" s="85" t="n"/>
      <c r="V723" s="85" t="n"/>
      <c r="W723" s="85" t="n"/>
      <c r="X723" s="85" t="n"/>
      <c r="Y723" s="85" t="n"/>
      <c r="Z723" s="85" t="n"/>
    </row>
    <row r="724" ht="15.75" customHeight="1" s="86">
      <c r="T724" s="85" t="n"/>
      <c r="U724" s="85" t="n"/>
      <c r="V724" s="85" t="n"/>
      <c r="W724" s="85" t="n"/>
      <c r="X724" s="85" t="n"/>
      <c r="Y724" s="85" t="n"/>
      <c r="Z724" s="85" t="n"/>
    </row>
    <row r="725" ht="15.75" customHeight="1" s="86">
      <c r="T725" s="85" t="n"/>
      <c r="U725" s="85" t="n"/>
      <c r="V725" s="85" t="n"/>
      <c r="W725" s="85" t="n"/>
      <c r="X725" s="85" t="n"/>
      <c r="Y725" s="85" t="n"/>
      <c r="Z725" s="85" t="n"/>
    </row>
    <row r="726" ht="15.75" customHeight="1" s="86">
      <c r="T726" s="85" t="n"/>
      <c r="U726" s="85" t="n"/>
      <c r="V726" s="85" t="n"/>
      <c r="W726" s="85" t="n"/>
      <c r="X726" s="85" t="n"/>
      <c r="Y726" s="85" t="n"/>
      <c r="Z726" s="85" t="n"/>
    </row>
    <row r="727" ht="15.75" customHeight="1" s="86">
      <c r="T727" s="85" t="n"/>
      <c r="U727" s="85" t="n"/>
      <c r="V727" s="85" t="n"/>
      <c r="W727" s="85" t="n"/>
      <c r="X727" s="85" t="n"/>
      <c r="Y727" s="85" t="n"/>
      <c r="Z727" s="85" t="n"/>
    </row>
    <row r="728" ht="15.75" customHeight="1" s="86">
      <c r="T728" s="85" t="n"/>
      <c r="U728" s="85" t="n"/>
      <c r="V728" s="85" t="n"/>
      <c r="W728" s="85" t="n"/>
      <c r="X728" s="85" t="n"/>
      <c r="Y728" s="85" t="n"/>
      <c r="Z728" s="85" t="n"/>
    </row>
    <row r="729" ht="15.75" customHeight="1" s="86">
      <c r="T729" s="85" t="n"/>
      <c r="U729" s="85" t="n"/>
      <c r="V729" s="85" t="n"/>
      <c r="W729" s="85" t="n"/>
      <c r="X729" s="85" t="n"/>
      <c r="Y729" s="85" t="n"/>
      <c r="Z729" s="85" t="n"/>
    </row>
    <row r="730" ht="15.75" customHeight="1" s="86">
      <c r="T730" s="85" t="n"/>
      <c r="U730" s="85" t="n"/>
      <c r="V730" s="85" t="n"/>
      <c r="W730" s="85" t="n"/>
      <c r="X730" s="85" t="n"/>
      <c r="Y730" s="85" t="n"/>
      <c r="Z730" s="85" t="n"/>
    </row>
    <row r="731" ht="15.75" customHeight="1" s="86">
      <c r="T731" s="85" t="n"/>
      <c r="U731" s="85" t="n"/>
      <c r="V731" s="85" t="n"/>
      <c r="W731" s="85" t="n"/>
      <c r="X731" s="85" t="n"/>
      <c r="Y731" s="85" t="n"/>
      <c r="Z731" s="85" t="n"/>
    </row>
    <row r="732" ht="15.75" customHeight="1" s="86">
      <c r="T732" s="85" t="n"/>
      <c r="U732" s="85" t="n"/>
      <c r="V732" s="85" t="n"/>
      <c r="W732" s="85" t="n"/>
      <c r="X732" s="85" t="n"/>
      <c r="Y732" s="85" t="n"/>
      <c r="Z732" s="85" t="n"/>
    </row>
    <row r="733" ht="15.75" customHeight="1" s="86">
      <c r="T733" s="85" t="n"/>
      <c r="U733" s="85" t="n"/>
      <c r="V733" s="85" t="n"/>
      <c r="W733" s="85" t="n"/>
      <c r="X733" s="85" t="n"/>
      <c r="Y733" s="85" t="n"/>
      <c r="Z733" s="85" t="n"/>
    </row>
    <row r="734" ht="15.75" customHeight="1" s="86">
      <c r="T734" s="85" t="n"/>
      <c r="U734" s="85" t="n"/>
      <c r="V734" s="85" t="n"/>
      <c r="W734" s="85" t="n"/>
      <c r="X734" s="85" t="n"/>
      <c r="Y734" s="85" t="n"/>
      <c r="Z734" s="85" t="n"/>
    </row>
    <row r="735" ht="15.75" customHeight="1" s="86">
      <c r="T735" s="85" t="n"/>
      <c r="U735" s="85" t="n"/>
      <c r="V735" s="85" t="n"/>
      <c r="W735" s="85" t="n"/>
      <c r="X735" s="85" t="n"/>
      <c r="Y735" s="85" t="n"/>
      <c r="Z735" s="85" t="n"/>
    </row>
    <row r="736" ht="15.75" customHeight="1" s="86">
      <c r="T736" s="85" t="n"/>
      <c r="U736" s="85" t="n"/>
      <c r="V736" s="85" t="n"/>
      <c r="W736" s="85" t="n"/>
      <c r="X736" s="85" t="n"/>
      <c r="Y736" s="85" t="n"/>
      <c r="Z736" s="85" t="n"/>
    </row>
    <row r="737" ht="15.75" customHeight="1" s="86">
      <c r="T737" s="85" t="n"/>
      <c r="U737" s="85" t="n"/>
      <c r="V737" s="85" t="n"/>
      <c r="W737" s="85" t="n"/>
      <c r="X737" s="85" t="n"/>
      <c r="Y737" s="85" t="n"/>
      <c r="Z737" s="85" t="n"/>
    </row>
    <row r="738" ht="15.75" customHeight="1" s="86">
      <c r="T738" s="85" t="n"/>
      <c r="U738" s="85" t="n"/>
      <c r="V738" s="85" t="n"/>
      <c r="W738" s="85" t="n"/>
      <c r="X738" s="85" t="n"/>
      <c r="Y738" s="85" t="n"/>
      <c r="Z738" s="85" t="n"/>
    </row>
    <row r="739" ht="15.75" customHeight="1" s="86">
      <c r="T739" s="85" t="n"/>
      <c r="U739" s="85" t="n"/>
      <c r="V739" s="85" t="n"/>
      <c r="W739" s="85" t="n"/>
      <c r="X739" s="85" t="n"/>
      <c r="Y739" s="85" t="n"/>
      <c r="Z739" s="85" t="n"/>
    </row>
    <row r="740" ht="15.75" customHeight="1" s="86">
      <c r="T740" s="85" t="n"/>
      <c r="U740" s="85" t="n"/>
      <c r="V740" s="85" t="n"/>
      <c r="W740" s="85" t="n"/>
      <c r="X740" s="85" t="n"/>
      <c r="Y740" s="85" t="n"/>
      <c r="Z740" s="85" t="n"/>
    </row>
    <row r="741" ht="15.75" customHeight="1" s="86">
      <c r="T741" s="85" t="n"/>
      <c r="U741" s="85" t="n"/>
      <c r="V741" s="85" t="n"/>
      <c r="W741" s="85" t="n"/>
      <c r="X741" s="85" t="n"/>
      <c r="Y741" s="85" t="n"/>
      <c r="Z741" s="85" t="n"/>
    </row>
    <row r="742" ht="15.75" customHeight="1" s="86">
      <c r="T742" s="85" t="n"/>
      <c r="U742" s="85" t="n"/>
      <c r="V742" s="85" t="n"/>
      <c r="W742" s="85" t="n"/>
      <c r="X742" s="85" t="n"/>
      <c r="Y742" s="85" t="n"/>
      <c r="Z742" s="85" t="n"/>
    </row>
    <row r="743" ht="15.75" customHeight="1" s="86">
      <c r="T743" s="85" t="n"/>
      <c r="U743" s="85" t="n"/>
      <c r="V743" s="85" t="n"/>
      <c r="W743" s="85" t="n"/>
      <c r="X743" s="85" t="n"/>
      <c r="Y743" s="85" t="n"/>
      <c r="Z743" s="85" t="n"/>
    </row>
    <row r="744" ht="15.75" customHeight="1" s="86">
      <c r="T744" s="85" t="n"/>
      <c r="U744" s="85" t="n"/>
      <c r="V744" s="85" t="n"/>
      <c r="W744" s="85" t="n"/>
      <c r="X744" s="85" t="n"/>
      <c r="Y744" s="85" t="n"/>
      <c r="Z744" s="85" t="n"/>
    </row>
    <row r="745" ht="15.75" customHeight="1" s="86">
      <c r="T745" s="85" t="n"/>
      <c r="U745" s="85" t="n"/>
      <c r="V745" s="85" t="n"/>
      <c r="W745" s="85" t="n"/>
      <c r="X745" s="85" t="n"/>
      <c r="Y745" s="85" t="n"/>
      <c r="Z745" s="85" t="n"/>
    </row>
    <row r="746" ht="15.75" customHeight="1" s="86">
      <c r="T746" s="85" t="n"/>
      <c r="U746" s="85" t="n"/>
      <c r="V746" s="85" t="n"/>
      <c r="W746" s="85" t="n"/>
      <c r="X746" s="85" t="n"/>
      <c r="Y746" s="85" t="n"/>
      <c r="Z746" s="85" t="n"/>
    </row>
    <row r="747" ht="15.75" customHeight="1" s="86">
      <c r="T747" s="85" t="n"/>
      <c r="U747" s="85" t="n"/>
      <c r="V747" s="85" t="n"/>
      <c r="W747" s="85" t="n"/>
      <c r="X747" s="85" t="n"/>
      <c r="Y747" s="85" t="n"/>
      <c r="Z747" s="85" t="n"/>
    </row>
    <row r="748" ht="15.75" customHeight="1" s="86">
      <c r="T748" s="85" t="n"/>
      <c r="U748" s="85" t="n"/>
      <c r="V748" s="85" t="n"/>
      <c r="W748" s="85" t="n"/>
      <c r="X748" s="85" t="n"/>
      <c r="Y748" s="85" t="n"/>
      <c r="Z748" s="85" t="n"/>
    </row>
    <row r="749" ht="15.75" customHeight="1" s="86">
      <c r="T749" s="85" t="n"/>
      <c r="U749" s="85" t="n"/>
      <c r="V749" s="85" t="n"/>
      <c r="W749" s="85" t="n"/>
      <c r="X749" s="85" t="n"/>
      <c r="Y749" s="85" t="n"/>
      <c r="Z749" s="85" t="n"/>
    </row>
    <row r="750" ht="15.75" customHeight="1" s="86">
      <c r="T750" s="85" t="n"/>
      <c r="U750" s="85" t="n"/>
      <c r="V750" s="85" t="n"/>
      <c r="W750" s="85" t="n"/>
      <c r="X750" s="85" t="n"/>
      <c r="Y750" s="85" t="n"/>
      <c r="Z750" s="85" t="n"/>
    </row>
    <row r="751" ht="15.75" customHeight="1" s="86">
      <c r="T751" s="85" t="n"/>
      <c r="U751" s="85" t="n"/>
      <c r="V751" s="85" t="n"/>
      <c r="W751" s="85" t="n"/>
      <c r="X751" s="85" t="n"/>
      <c r="Y751" s="85" t="n"/>
      <c r="Z751" s="85" t="n"/>
    </row>
    <row r="752" ht="15.75" customHeight="1" s="86">
      <c r="T752" s="85" t="n"/>
      <c r="U752" s="85" t="n"/>
      <c r="V752" s="85" t="n"/>
      <c r="W752" s="85" t="n"/>
      <c r="X752" s="85" t="n"/>
      <c r="Y752" s="85" t="n"/>
      <c r="Z752" s="85" t="n"/>
    </row>
    <row r="753" ht="15.75" customHeight="1" s="86">
      <c r="T753" s="85" t="n"/>
      <c r="U753" s="85" t="n"/>
      <c r="V753" s="85" t="n"/>
      <c r="W753" s="85" t="n"/>
      <c r="X753" s="85" t="n"/>
      <c r="Y753" s="85" t="n"/>
      <c r="Z753" s="85" t="n"/>
    </row>
    <row r="754" ht="15.75" customHeight="1" s="86">
      <c r="T754" s="85" t="n"/>
      <c r="U754" s="85" t="n"/>
      <c r="V754" s="85" t="n"/>
      <c r="W754" s="85" t="n"/>
      <c r="X754" s="85" t="n"/>
      <c r="Y754" s="85" t="n"/>
      <c r="Z754" s="85" t="n"/>
    </row>
    <row r="755" ht="15.75" customHeight="1" s="86">
      <c r="T755" s="85" t="n"/>
      <c r="U755" s="85" t="n"/>
      <c r="V755" s="85" t="n"/>
      <c r="W755" s="85" t="n"/>
      <c r="X755" s="85" t="n"/>
      <c r="Y755" s="85" t="n"/>
      <c r="Z755" s="85" t="n"/>
    </row>
    <row r="756" ht="15.75" customHeight="1" s="86">
      <c r="T756" s="85" t="n"/>
      <c r="U756" s="85" t="n"/>
      <c r="V756" s="85" t="n"/>
      <c r="W756" s="85" t="n"/>
      <c r="X756" s="85" t="n"/>
      <c r="Y756" s="85" t="n"/>
      <c r="Z756" s="85" t="n"/>
    </row>
    <row r="757" ht="15.75" customHeight="1" s="86">
      <c r="T757" s="85" t="n"/>
      <c r="U757" s="85" t="n"/>
      <c r="V757" s="85" t="n"/>
      <c r="W757" s="85" t="n"/>
      <c r="X757" s="85" t="n"/>
      <c r="Y757" s="85" t="n"/>
      <c r="Z757" s="85" t="n"/>
    </row>
    <row r="758" ht="15.75" customHeight="1" s="86">
      <c r="T758" s="85" t="n"/>
      <c r="U758" s="85" t="n"/>
      <c r="V758" s="85" t="n"/>
      <c r="W758" s="85" t="n"/>
      <c r="X758" s="85" t="n"/>
      <c r="Y758" s="85" t="n"/>
      <c r="Z758" s="85" t="n"/>
    </row>
    <row r="759" ht="15.75" customHeight="1" s="86">
      <c r="T759" s="85" t="n"/>
      <c r="U759" s="85" t="n"/>
      <c r="V759" s="85" t="n"/>
      <c r="W759" s="85" t="n"/>
      <c r="X759" s="85" t="n"/>
      <c r="Y759" s="85" t="n"/>
      <c r="Z759" s="85" t="n"/>
    </row>
    <row r="760" ht="15.75" customHeight="1" s="86">
      <c r="T760" s="85" t="n"/>
      <c r="U760" s="85" t="n"/>
      <c r="V760" s="85" t="n"/>
      <c r="W760" s="85" t="n"/>
      <c r="X760" s="85" t="n"/>
      <c r="Y760" s="85" t="n"/>
      <c r="Z760" s="85" t="n"/>
    </row>
    <row r="761" ht="15.75" customHeight="1" s="86">
      <c r="T761" s="85" t="n"/>
      <c r="U761" s="85" t="n"/>
      <c r="V761" s="85" t="n"/>
      <c r="W761" s="85" t="n"/>
      <c r="X761" s="85" t="n"/>
      <c r="Y761" s="85" t="n"/>
      <c r="Z761" s="85" t="n"/>
    </row>
    <row r="762" ht="15.75" customHeight="1" s="86">
      <c r="T762" s="85" t="n"/>
      <c r="U762" s="85" t="n"/>
      <c r="V762" s="85" t="n"/>
      <c r="W762" s="85" t="n"/>
      <c r="X762" s="85" t="n"/>
      <c r="Y762" s="85" t="n"/>
      <c r="Z762" s="85" t="n"/>
    </row>
    <row r="763" ht="15.75" customHeight="1" s="86">
      <c r="T763" s="85" t="n"/>
      <c r="U763" s="85" t="n"/>
      <c r="V763" s="85" t="n"/>
      <c r="W763" s="85" t="n"/>
      <c r="X763" s="85" t="n"/>
      <c r="Y763" s="85" t="n"/>
      <c r="Z763" s="85" t="n"/>
    </row>
    <row r="764" ht="15.75" customHeight="1" s="86">
      <c r="T764" s="85" t="n"/>
      <c r="U764" s="85" t="n"/>
      <c r="V764" s="85" t="n"/>
      <c r="W764" s="85" t="n"/>
      <c r="X764" s="85" t="n"/>
      <c r="Y764" s="85" t="n"/>
      <c r="Z764" s="85" t="n"/>
    </row>
    <row r="765" ht="15.75" customHeight="1" s="86">
      <c r="T765" s="85" t="n"/>
      <c r="U765" s="85" t="n"/>
      <c r="V765" s="85" t="n"/>
      <c r="W765" s="85" t="n"/>
      <c r="X765" s="85" t="n"/>
      <c r="Y765" s="85" t="n"/>
      <c r="Z765" s="85" t="n"/>
    </row>
    <row r="766" ht="15.75" customHeight="1" s="86">
      <c r="T766" s="85" t="n"/>
      <c r="U766" s="85" t="n"/>
      <c r="V766" s="85" t="n"/>
      <c r="W766" s="85" t="n"/>
      <c r="X766" s="85" t="n"/>
      <c r="Y766" s="85" t="n"/>
      <c r="Z766" s="85" t="n"/>
    </row>
    <row r="767" ht="15.75" customHeight="1" s="86">
      <c r="T767" s="85" t="n"/>
      <c r="U767" s="85" t="n"/>
      <c r="V767" s="85" t="n"/>
      <c r="W767" s="85" t="n"/>
      <c r="X767" s="85" t="n"/>
      <c r="Y767" s="85" t="n"/>
      <c r="Z767" s="85" t="n"/>
    </row>
    <row r="768" ht="15.75" customHeight="1" s="86">
      <c r="T768" s="85" t="n"/>
      <c r="U768" s="85" t="n"/>
      <c r="V768" s="85" t="n"/>
      <c r="W768" s="85" t="n"/>
      <c r="X768" s="85" t="n"/>
      <c r="Y768" s="85" t="n"/>
      <c r="Z768" s="85" t="n"/>
    </row>
    <row r="769" ht="15.75" customHeight="1" s="86">
      <c r="T769" s="85" t="n"/>
      <c r="U769" s="85" t="n"/>
      <c r="V769" s="85" t="n"/>
      <c r="W769" s="85" t="n"/>
      <c r="X769" s="85" t="n"/>
      <c r="Y769" s="85" t="n"/>
      <c r="Z769" s="85" t="n"/>
    </row>
    <row r="770" ht="15.75" customHeight="1" s="86">
      <c r="T770" s="85" t="n"/>
      <c r="U770" s="85" t="n"/>
      <c r="V770" s="85" t="n"/>
      <c r="W770" s="85" t="n"/>
      <c r="X770" s="85" t="n"/>
      <c r="Y770" s="85" t="n"/>
      <c r="Z770" s="85" t="n"/>
    </row>
    <row r="771" ht="15.75" customHeight="1" s="86">
      <c r="T771" s="85" t="n"/>
      <c r="U771" s="85" t="n"/>
      <c r="V771" s="85" t="n"/>
      <c r="W771" s="85" t="n"/>
      <c r="X771" s="85" t="n"/>
      <c r="Y771" s="85" t="n"/>
      <c r="Z771" s="85" t="n"/>
    </row>
    <row r="772" ht="15.75" customHeight="1" s="86">
      <c r="T772" s="85" t="n"/>
      <c r="U772" s="85" t="n"/>
      <c r="V772" s="85" t="n"/>
      <c r="W772" s="85" t="n"/>
      <c r="X772" s="85" t="n"/>
      <c r="Y772" s="85" t="n"/>
      <c r="Z772" s="85" t="n"/>
    </row>
    <row r="773" ht="15.75" customHeight="1" s="86">
      <c r="T773" s="85" t="n"/>
      <c r="U773" s="85" t="n"/>
      <c r="V773" s="85" t="n"/>
      <c r="W773" s="85" t="n"/>
      <c r="X773" s="85" t="n"/>
      <c r="Y773" s="85" t="n"/>
      <c r="Z773" s="85" t="n"/>
    </row>
    <row r="774" ht="15.75" customHeight="1" s="86">
      <c r="T774" s="85" t="n"/>
      <c r="U774" s="85" t="n"/>
      <c r="V774" s="85" t="n"/>
      <c r="W774" s="85" t="n"/>
      <c r="X774" s="85" t="n"/>
      <c r="Y774" s="85" t="n"/>
      <c r="Z774" s="85" t="n"/>
    </row>
    <row r="775" ht="15.75" customHeight="1" s="86">
      <c r="T775" s="85" t="n"/>
      <c r="U775" s="85" t="n"/>
      <c r="V775" s="85" t="n"/>
      <c r="W775" s="85" t="n"/>
      <c r="X775" s="85" t="n"/>
      <c r="Y775" s="85" t="n"/>
      <c r="Z775" s="85" t="n"/>
    </row>
    <row r="776" ht="15.75" customHeight="1" s="86">
      <c r="T776" s="85" t="n"/>
      <c r="U776" s="85" t="n"/>
      <c r="V776" s="85" t="n"/>
      <c r="W776" s="85" t="n"/>
      <c r="X776" s="85" t="n"/>
      <c r="Y776" s="85" t="n"/>
      <c r="Z776" s="85" t="n"/>
    </row>
    <row r="777" ht="15.75" customHeight="1" s="86">
      <c r="T777" s="85" t="n"/>
      <c r="U777" s="85" t="n"/>
      <c r="V777" s="85" t="n"/>
      <c r="W777" s="85" t="n"/>
      <c r="X777" s="85" t="n"/>
      <c r="Y777" s="85" t="n"/>
      <c r="Z777" s="85" t="n"/>
    </row>
    <row r="778" ht="15.75" customHeight="1" s="86">
      <c r="T778" s="85" t="n"/>
      <c r="U778" s="85" t="n"/>
      <c r="V778" s="85" t="n"/>
      <c r="W778" s="85" t="n"/>
      <c r="X778" s="85" t="n"/>
      <c r="Y778" s="85" t="n"/>
      <c r="Z778" s="85" t="n"/>
    </row>
    <row r="779" ht="15.75" customHeight="1" s="86">
      <c r="T779" s="85" t="n"/>
      <c r="U779" s="85" t="n"/>
      <c r="V779" s="85" t="n"/>
      <c r="W779" s="85" t="n"/>
      <c r="X779" s="85" t="n"/>
      <c r="Y779" s="85" t="n"/>
      <c r="Z779" s="85" t="n"/>
    </row>
    <row r="780" ht="15.75" customHeight="1" s="86">
      <c r="T780" s="85" t="n"/>
      <c r="U780" s="85" t="n"/>
      <c r="V780" s="85" t="n"/>
      <c r="W780" s="85" t="n"/>
      <c r="X780" s="85" t="n"/>
      <c r="Y780" s="85" t="n"/>
      <c r="Z780" s="85" t="n"/>
    </row>
    <row r="781" ht="15.75" customHeight="1" s="86">
      <c r="T781" s="85" t="n"/>
      <c r="U781" s="85" t="n"/>
      <c r="V781" s="85" t="n"/>
      <c r="W781" s="85" t="n"/>
      <c r="X781" s="85" t="n"/>
      <c r="Y781" s="85" t="n"/>
      <c r="Z781" s="85" t="n"/>
    </row>
    <row r="782" ht="15.75" customHeight="1" s="86">
      <c r="T782" s="85" t="n"/>
      <c r="U782" s="85" t="n"/>
      <c r="V782" s="85" t="n"/>
      <c r="W782" s="85" t="n"/>
      <c r="X782" s="85" t="n"/>
      <c r="Y782" s="85" t="n"/>
      <c r="Z782" s="85" t="n"/>
    </row>
    <row r="783" ht="15.75" customHeight="1" s="86">
      <c r="T783" s="85" t="n"/>
      <c r="U783" s="85" t="n"/>
      <c r="V783" s="85" t="n"/>
      <c r="W783" s="85" t="n"/>
      <c r="X783" s="85" t="n"/>
      <c r="Y783" s="85" t="n"/>
      <c r="Z783" s="85" t="n"/>
    </row>
    <row r="784" ht="15.75" customHeight="1" s="86">
      <c r="T784" s="85" t="n"/>
      <c r="U784" s="85" t="n"/>
      <c r="V784" s="85" t="n"/>
      <c r="W784" s="85" t="n"/>
      <c r="X784" s="85" t="n"/>
      <c r="Y784" s="85" t="n"/>
      <c r="Z784" s="85" t="n"/>
    </row>
    <row r="785" ht="15.75" customHeight="1" s="86">
      <c r="T785" s="85" t="n"/>
      <c r="U785" s="85" t="n"/>
      <c r="V785" s="85" t="n"/>
      <c r="W785" s="85" t="n"/>
      <c r="X785" s="85" t="n"/>
      <c r="Y785" s="85" t="n"/>
      <c r="Z785" s="85" t="n"/>
    </row>
    <row r="786" ht="15.75" customHeight="1" s="86">
      <c r="T786" s="85" t="n"/>
      <c r="U786" s="85" t="n"/>
      <c r="V786" s="85" t="n"/>
      <c r="W786" s="85" t="n"/>
      <c r="X786" s="85" t="n"/>
      <c r="Y786" s="85" t="n"/>
      <c r="Z786" s="85" t="n"/>
    </row>
    <row r="787" ht="15.75" customHeight="1" s="86">
      <c r="T787" s="85" t="n"/>
      <c r="U787" s="85" t="n"/>
      <c r="V787" s="85" t="n"/>
      <c r="W787" s="85" t="n"/>
      <c r="X787" s="85" t="n"/>
      <c r="Y787" s="85" t="n"/>
      <c r="Z787" s="85" t="n"/>
    </row>
    <row r="788" ht="15.75" customHeight="1" s="86">
      <c r="T788" s="85" t="n"/>
      <c r="U788" s="85" t="n"/>
      <c r="V788" s="85" t="n"/>
      <c r="W788" s="85" t="n"/>
      <c r="X788" s="85" t="n"/>
      <c r="Y788" s="85" t="n"/>
      <c r="Z788" s="85" t="n"/>
    </row>
    <row r="789" ht="15.75" customHeight="1" s="86">
      <c r="T789" s="85" t="n"/>
      <c r="U789" s="85" t="n"/>
      <c r="V789" s="85" t="n"/>
      <c r="W789" s="85" t="n"/>
      <c r="X789" s="85" t="n"/>
      <c r="Y789" s="85" t="n"/>
      <c r="Z789" s="85" t="n"/>
    </row>
    <row r="790" ht="15.75" customHeight="1" s="86">
      <c r="T790" s="85" t="n"/>
      <c r="U790" s="85" t="n"/>
      <c r="V790" s="85" t="n"/>
      <c r="W790" s="85" t="n"/>
      <c r="X790" s="85" t="n"/>
      <c r="Y790" s="85" t="n"/>
      <c r="Z790" s="85" t="n"/>
    </row>
    <row r="791" ht="15.75" customHeight="1" s="86">
      <c r="T791" s="85" t="n"/>
      <c r="U791" s="85" t="n"/>
      <c r="V791" s="85" t="n"/>
      <c r="W791" s="85" t="n"/>
      <c r="X791" s="85" t="n"/>
      <c r="Y791" s="85" t="n"/>
      <c r="Z791" s="85" t="n"/>
    </row>
    <row r="792" ht="15.75" customHeight="1" s="86">
      <c r="T792" s="85" t="n"/>
      <c r="U792" s="85" t="n"/>
      <c r="V792" s="85" t="n"/>
      <c r="W792" s="85" t="n"/>
      <c r="X792" s="85" t="n"/>
      <c r="Y792" s="85" t="n"/>
      <c r="Z792" s="85" t="n"/>
    </row>
    <row r="793" ht="15.75" customHeight="1" s="86">
      <c r="T793" s="85" t="n"/>
      <c r="U793" s="85" t="n"/>
      <c r="V793" s="85" t="n"/>
      <c r="W793" s="85" t="n"/>
      <c r="X793" s="85" t="n"/>
      <c r="Y793" s="85" t="n"/>
      <c r="Z793" s="85" t="n"/>
    </row>
    <row r="794" ht="15.75" customHeight="1" s="86">
      <c r="T794" s="85" t="n"/>
      <c r="U794" s="85" t="n"/>
      <c r="V794" s="85" t="n"/>
      <c r="W794" s="85" t="n"/>
      <c r="X794" s="85" t="n"/>
      <c r="Y794" s="85" t="n"/>
      <c r="Z794" s="85" t="n"/>
    </row>
    <row r="795" ht="15.75" customHeight="1" s="86">
      <c r="T795" s="85" t="n"/>
      <c r="U795" s="85" t="n"/>
      <c r="V795" s="85" t="n"/>
      <c r="W795" s="85" t="n"/>
      <c r="X795" s="85" t="n"/>
      <c r="Y795" s="85" t="n"/>
      <c r="Z795" s="85" t="n"/>
    </row>
    <row r="796" ht="15.75" customHeight="1" s="86">
      <c r="T796" s="85" t="n"/>
      <c r="U796" s="85" t="n"/>
      <c r="V796" s="85" t="n"/>
      <c r="W796" s="85" t="n"/>
      <c r="X796" s="85" t="n"/>
      <c r="Y796" s="85" t="n"/>
      <c r="Z796" s="85" t="n"/>
    </row>
    <row r="797" ht="15.75" customHeight="1" s="86">
      <c r="T797" s="85" t="n"/>
      <c r="U797" s="85" t="n"/>
      <c r="V797" s="85" t="n"/>
      <c r="W797" s="85" t="n"/>
      <c r="X797" s="85" t="n"/>
      <c r="Y797" s="85" t="n"/>
      <c r="Z797" s="85" t="n"/>
    </row>
    <row r="798" ht="15.75" customHeight="1" s="86">
      <c r="T798" s="85" t="n"/>
      <c r="U798" s="85" t="n"/>
      <c r="V798" s="85" t="n"/>
      <c r="W798" s="85" t="n"/>
      <c r="X798" s="85" t="n"/>
      <c r="Y798" s="85" t="n"/>
      <c r="Z798" s="85" t="n"/>
    </row>
    <row r="799" ht="15.75" customHeight="1" s="86">
      <c r="T799" s="85" t="n"/>
      <c r="U799" s="85" t="n"/>
      <c r="V799" s="85" t="n"/>
      <c r="W799" s="85" t="n"/>
      <c r="X799" s="85" t="n"/>
      <c r="Y799" s="85" t="n"/>
      <c r="Z799" s="85" t="n"/>
    </row>
    <row r="800" ht="15.75" customHeight="1" s="86">
      <c r="T800" s="85" t="n"/>
      <c r="U800" s="85" t="n"/>
      <c r="V800" s="85" t="n"/>
      <c r="W800" s="85" t="n"/>
      <c r="X800" s="85" t="n"/>
      <c r="Y800" s="85" t="n"/>
      <c r="Z800" s="85" t="n"/>
    </row>
    <row r="801" ht="15.75" customHeight="1" s="86">
      <c r="T801" s="85" t="n"/>
      <c r="U801" s="85" t="n"/>
      <c r="V801" s="85" t="n"/>
      <c r="W801" s="85" t="n"/>
      <c r="X801" s="85" t="n"/>
      <c r="Y801" s="85" t="n"/>
      <c r="Z801" s="85" t="n"/>
    </row>
    <row r="802" ht="15.75" customHeight="1" s="86">
      <c r="T802" s="85" t="n"/>
      <c r="U802" s="85" t="n"/>
      <c r="V802" s="85" t="n"/>
      <c r="W802" s="85" t="n"/>
      <c r="X802" s="85" t="n"/>
      <c r="Y802" s="85" t="n"/>
      <c r="Z802" s="85" t="n"/>
    </row>
    <row r="803" ht="15.75" customHeight="1" s="86">
      <c r="T803" s="85" t="n"/>
      <c r="U803" s="85" t="n"/>
      <c r="V803" s="85" t="n"/>
      <c r="W803" s="85" t="n"/>
      <c r="X803" s="85" t="n"/>
      <c r="Y803" s="85" t="n"/>
      <c r="Z803" s="85" t="n"/>
    </row>
    <row r="804" ht="15.75" customHeight="1" s="86">
      <c r="T804" s="85" t="n"/>
      <c r="U804" s="85" t="n"/>
      <c r="V804" s="85" t="n"/>
      <c r="W804" s="85" t="n"/>
      <c r="X804" s="85" t="n"/>
      <c r="Y804" s="85" t="n"/>
      <c r="Z804" s="85" t="n"/>
    </row>
    <row r="805" ht="15.75" customHeight="1" s="86">
      <c r="T805" s="85" t="n"/>
      <c r="U805" s="85" t="n"/>
      <c r="V805" s="85" t="n"/>
      <c r="W805" s="85" t="n"/>
      <c r="X805" s="85" t="n"/>
      <c r="Y805" s="85" t="n"/>
      <c r="Z805" s="85" t="n"/>
    </row>
    <row r="806" ht="15.75" customHeight="1" s="86">
      <c r="T806" s="85" t="n"/>
      <c r="U806" s="85" t="n"/>
      <c r="V806" s="85" t="n"/>
      <c r="W806" s="85" t="n"/>
      <c r="X806" s="85" t="n"/>
      <c r="Y806" s="85" t="n"/>
      <c r="Z806" s="85" t="n"/>
    </row>
    <row r="807" ht="15.75" customHeight="1" s="86">
      <c r="T807" s="85" t="n"/>
      <c r="U807" s="85" t="n"/>
      <c r="V807" s="85" t="n"/>
      <c r="W807" s="85" t="n"/>
      <c r="X807" s="85" t="n"/>
      <c r="Y807" s="85" t="n"/>
      <c r="Z807" s="85" t="n"/>
    </row>
    <row r="808" ht="15.75" customHeight="1" s="86">
      <c r="T808" s="85" t="n"/>
      <c r="U808" s="85" t="n"/>
      <c r="V808" s="85" t="n"/>
      <c r="W808" s="85" t="n"/>
      <c r="X808" s="85" t="n"/>
      <c r="Y808" s="85" t="n"/>
      <c r="Z808" s="85" t="n"/>
    </row>
    <row r="809" ht="15.75" customHeight="1" s="86">
      <c r="T809" s="85" t="n"/>
      <c r="U809" s="85" t="n"/>
      <c r="V809" s="85" t="n"/>
      <c r="W809" s="85" t="n"/>
      <c r="X809" s="85" t="n"/>
      <c r="Y809" s="85" t="n"/>
      <c r="Z809" s="85" t="n"/>
    </row>
    <row r="810" ht="15.75" customHeight="1" s="86">
      <c r="T810" s="85" t="n"/>
      <c r="U810" s="85" t="n"/>
      <c r="V810" s="85" t="n"/>
      <c r="W810" s="85" t="n"/>
      <c r="X810" s="85" t="n"/>
      <c r="Y810" s="85" t="n"/>
      <c r="Z810" s="85" t="n"/>
    </row>
    <row r="811" ht="15.75" customHeight="1" s="86">
      <c r="T811" s="85" t="n"/>
      <c r="U811" s="85" t="n"/>
      <c r="V811" s="85" t="n"/>
      <c r="W811" s="85" t="n"/>
      <c r="X811" s="85" t="n"/>
      <c r="Y811" s="85" t="n"/>
      <c r="Z811" s="85" t="n"/>
    </row>
    <row r="812" ht="15.75" customHeight="1" s="86">
      <c r="T812" s="85" t="n"/>
      <c r="U812" s="85" t="n"/>
      <c r="V812" s="85" t="n"/>
      <c r="W812" s="85" t="n"/>
      <c r="X812" s="85" t="n"/>
      <c r="Y812" s="85" t="n"/>
      <c r="Z812" s="85" t="n"/>
    </row>
    <row r="813" ht="15.75" customHeight="1" s="86">
      <c r="T813" s="85" t="n"/>
      <c r="U813" s="85" t="n"/>
      <c r="V813" s="85" t="n"/>
      <c r="W813" s="85" t="n"/>
      <c r="X813" s="85" t="n"/>
      <c r="Y813" s="85" t="n"/>
      <c r="Z813" s="85" t="n"/>
    </row>
    <row r="814" ht="15.75" customHeight="1" s="86">
      <c r="T814" s="85" t="n"/>
      <c r="U814" s="85" t="n"/>
      <c r="V814" s="85" t="n"/>
      <c r="W814" s="85" t="n"/>
      <c r="X814" s="85" t="n"/>
      <c r="Y814" s="85" t="n"/>
      <c r="Z814" s="85" t="n"/>
    </row>
    <row r="815" ht="15.75" customHeight="1" s="86">
      <c r="T815" s="85" t="n"/>
      <c r="U815" s="85" t="n"/>
      <c r="V815" s="85" t="n"/>
      <c r="W815" s="85" t="n"/>
      <c r="X815" s="85" t="n"/>
      <c r="Y815" s="85" t="n"/>
      <c r="Z815" s="85" t="n"/>
    </row>
    <row r="816" ht="15.75" customHeight="1" s="86">
      <c r="T816" s="85" t="n"/>
      <c r="U816" s="85" t="n"/>
      <c r="V816" s="85" t="n"/>
      <c r="W816" s="85" t="n"/>
      <c r="X816" s="85" t="n"/>
      <c r="Y816" s="85" t="n"/>
      <c r="Z816" s="85" t="n"/>
    </row>
    <row r="817" ht="15.75" customHeight="1" s="86">
      <c r="T817" s="85" t="n"/>
      <c r="U817" s="85" t="n"/>
      <c r="V817" s="85" t="n"/>
      <c r="W817" s="85" t="n"/>
      <c r="X817" s="85" t="n"/>
      <c r="Y817" s="85" t="n"/>
      <c r="Z817" s="85" t="n"/>
    </row>
    <row r="818" ht="15.75" customHeight="1" s="86">
      <c r="T818" s="85" t="n"/>
      <c r="U818" s="85" t="n"/>
      <c r="V818" s="85" t="n"/>
      <c r="W818" s="85" t="n"/>
      <c r="X818" s="85" t="n"/>
      <c r="Y818" s="85" t="n"/>
      <c r="Z818" s="85" t="n"/>
    </row>
    <row r="819" ht="15.75" customHeight="1" s="86">
      <c r="T819" s="85" t="n"/>
      <c r="U819" s="85" t="n"/>
      <c r="V819" s="85" t="n"/>
      <c r="W819" s="85" t="n"/>
      <c r="X819" s="85" t="n"/>
      <c r="Y819" s="85" t="n"/>
      <c r="Z819" s="85" t="n"/>
    </row>
    <row r="820" ht="15.75" customHeight="1" s="86">
      <c r="T820" s="85" t="n"/>
      <c r="U820" s="85" t="n"/>
      <c r="V820" s="85" t="n"/>
      <c r="W820" s="85" t="n"/>
      <c r="X820" s="85" t="n"/>
      <c r="Y820" s="85" t="n"/>
      <c r="Z820" s="85" t="n"/>
    </row>
    <row r="821" ht="15.75" customHeight="1" s="86">
      <c r="T821" s="85" t="n"/>
      <c r="U821" s="85" t="n"/>
      <c r="V821" s="85" t="n"/>
      <c r="W821" s="85" t="n"/>
      <c r="X821" s="85" t="n"/>
      <c r="Y821" s="85" t="n"/>
      <c r="Z821" s="85" t="n"/>
    </row>
    <row r="822" ht="15.75" customHeight="1" s="86">
      <c r="T822" s="85" t="n"/>
      <c r="U822" s="85" t="n"/>
      <c r="V822" s="85" t="n"/>
      <c r="W822" s="85" t="n"/>
      <c r="X822" s="85" t="n"/>
      <c r="Y822" s="85" t="n"/>
      <c r="Z822" s="85" t="n"/>
    </row>
    <row r="823" ht="15.75" customHeight="1" s="86">
      <c r="T823" s="85" t="n"/>
      <c r="U823" s="85" t="n"/>
      <c r="V823" s="85" t="n"/>
      <c r="W823" s="85" t="n"/>
      <c r="X823" s="85" t="n"/>
      <c r="Y823" s="85" t="n"/>
      <c r="Z823" s="85" t="n"/>
    </row>
    <row r="824" ht="15.75" customHeight="1" s="86">
      <c r="T824" s="85" t="n"/>
      <c r="U824" s="85" t="n"/>
      <c r="V824" s="85" t="n"/>
      <c r="W824" s="85" t="n"/>
      <c r="X824" s="85" t="n"/>
      <c r="Y824" s="85" t="n"/>
      <c r="Z824" s="85" t="n"/>
    </row>
    <row r="825" ht="15.75" customHeight="1" s="86">
      <c r="T825" s="85" t="n"/>
      <c r="U825" s="85" t="n"/>
      <c r="V825" s="85" t="n"/>
      <c r="W825" s="85" t="n"/>
      <c r="X825" s="85" t="n"/>
      <c r="Y825" s="85" t="n"/>
      <c r="Z825" s="85" t="n"/>
    </row>
    <row r="826" ht="15.75" customHeight="1" s="86">
      <c r="T826" s="85" t="n"/>
      <c r="U826" s="85" t="n"/>
      <c r="V826" s="85" t="n"/>
      <c r="W826" s="85" t="n"/>
      <c r="X826" s="85" t="n"/>
      <c r="Y826" s="85" t="n"/>
      <c r="Z826" s="85" t="n"/>
    </row>
    <row r="827" ht="15.75" customHeight="1" s="86">
      <c r="T827" s="85" t="n"/>
      <c r="U827" s="85" t="n"/>
      <c r="V827" s="85" t="n"/>
      <c r="W827" s="85" t="n"/>
      <c r="X827" s="85" t="n"/>
      <c r="Y827" s="85" t="n"/>
      <c r="Z827" s="85" t="n"/>
    </row>
    <row r="828" ht="15.75" customHeight="1" s="86">
      <c r="T828" s="85" t="n"/>
      <c r="U828" s="85" t="n"/>
      <c r="V828" s="85" t="n"/>
      <c r="W828" s="85" t="n"/>
      <c r="X828" s="85" t="n"/>
      <c r="Y828" s="85" t="n"/>
      <c r="Z828" s="85" t="n"/>
    </row>
    <row r="829" ht="15.75" customHeight="1" s="86">
      <c r="T829" s="85" t="n"/>
      <c r="U829" s="85" t="n"/>
      <c r="V829" s="85" t="n"/>
      <c r="W829" s="85" t="n"/>
      <c r="X829" s="85" t="n"/>
      <c r="Y829" s="85" t="n"/>
      <c r="Z829" s="85" t="n"/>
    </row>
    <row r="830" ht="15.75" customHeight="1" s="86">
      <c r="T830" s="85" t="n"/>
      <c r="U830" s="85" t="n"/>
      <c r="V830" s="85" t="n"/>
      <c r="W830" s="85" t="n"/>
      <c r="X830" s="85" t="n"/>
      <c r="Y830" s="85" t="n"/>
      <c r="Z830" s="85" t="n"/>
    </row>
    <row r="831" ht="15.75" customHeight="1" s="86">
      <c r="T831" s="85" t="n"/>
      <c r="U831" s="85" t="n"/>
      <c r="V831" s="85" t="n"/>
      <c r="W831" s="85" t="n"/>
      <c r="X831" s="85" t="n"/>
      <c r="Y831" s="85" t="n"/>
      <c r="Z831" s="85" t="n"/>
    </row>
    <row r="832" ht="15.75" customHeight="1" s="86">
      <c r="T832" s="85" t="n"/>
      <c r="U832" s="85" t="n"/>
      <c r="V832" s="85" t="n"/>
      <c r="W832" s="85" t="n"/>
      <c r="X832" s="85" t="n"/>
      <c r="Y832" s="85" t="n"/>
      <c r="Z832" s="85" t="n"/>
    </row>
    <row r="833" ht="15.75" customHeight="1" s="86">
      <c r="T833" s="85" t="n"/>
      <c r="U833" s="85" t="n"/>
      <c r="V833" s="85" t="n"/>
      <c r="W833" s="85" t="n"/>
      <c r="X833" s="85" t="n"/>
      <c r="Y833" s="85" t="n"/>
      <c r="Z833" s="85" t="n"/>
    </row>
    <row r="834" ht="15.75" customHeight="1" s="86">
      <c r="T834" s="85" t="n"/>
      <c r="U834" s="85" t="n"/>
      <c r="V834" s="85" t="n"/>
      <c r="W834" s="85" t="n"/>
      <c r="X834" s="85" t="n"/>
      <c r="Y834" s="85" t="n"/>
      <c r="Z834" s="85" t="n"/>
    </row>
    <row r="835" ht="15.75" customHeight="1" s="86">
      <c r="T835" s="85" t="n"/>
      <c r="U835" s="85" t="n"/>
      <c r="V835" s="85" t="n"/>
      <c r="W835" s="85" t="n"/>
      <c r="X835" s="85" t="n"/>
      <c r="Y835" s="85" t="n"/>
      <c r="Z835" s="85" t="n"/>
    </row>
    <row r="836" ht="15.75" customHeight="1" s="86">
      <c r="T836" s="85" t="n"/>
      <c r="U836" s="85" t="n"/>
      <c r="V836" s="85" t="n"/>
      <c r="W836" s="85" t="n"/>
      <c r="X836" s="85" t="n"/>
      <c r="Y836" s="85" t="n"/>
      <c r="Z836" s="85" t="n"/>
    </row>
    <row r="837" ht="15.75" customHeight="1" s="86">
      <c r="T837" s="85" t="n"/>
      <c r="U837" s="85" t="n"/>
      <c r="V837" s="85" t="n"/>
      <c r="W837" s="85" t="n"/>
      <c r="X837" s="85" t="n"/>
      <c r="Y837" s="85" t="n"/>
      <c r="Z837" s="85" t="n"/>
    </row>
    <row r="838" ht="15.75" customHeight="1" s="86">
      <c r="T838" s="85" t="n"/>
      <c r="U838" s="85" t="n"/>
      <c r="V838" s="85" t="n"/>
      <c r="W838" s="85" t="n"/>
      <c r="X838" s="85" t="n"/>
      <c r="Y838" s="85" t="n"/>
      <c r="Z838" s="85" t="n"/>
    </row>
    <row r="839" ht="15.75" customHeight="1" s="86">
      <c r="T839" s="85" t="n"/>
      <c r="U839" s="85" t="n"/>
      <c r="V839" s="85" t="n"/>
      <c r="W839" s="85" t="n"/>
      <c r="X839" s="85" t="n"/>
      <c r="Y839" s="85" t="n"/>
      <c r="Z839" s="85" t="n"/>
    </row>
    <row r="840" ht="15.75" customHeight="1" s="86">
      <c r="T840" s="85" t="n"/>
      <c r="U840" s="85" t="n"/>
      <c r="V840" s="85" t="n"/>
      <c r="W840" s="85" t="n"/>
      <c r="X840" s="85" t="n"/>
      <c r="Y840" s="85" t="n"/>
      <c r="Z840" s="85" t="n"/>
    </row>
    <row r="841" ht="15.75" customHeight="1" s="86">
      <c r="T841" s="85" t="n"/>
      <c r="U841" s="85" t="n"/>
      <c r="V841" s="85" t="n"/>
      <c r="W841" s="85" t="n"/>
      <c r="X841" s="85" t="n"/>
      <c r="Y841" s="85" t="n"/>
      <c r="Z841" s="85" t="n"/>
    </row>
    <row r="842" ht="15.75" customHeight="1" s="86">
      <c r="T842" s="85" t="n"/>
      <c r="U842" s="85" t="n"/>
      <c r="V842" s="85" t="n"/>
      <c r="W842" s="85" t="n"/>
      <c r="X842" s="85" t="n"/>
      <c r="Y842" s="85" t="n"/>
      <c r="Z842" s="85" t="n"/>
    </row>
    <row r="843" ht="15.75" customHeight="1" s="86">
      <c r="T843" s="85" t="n"/>
      <c r="U843" s="85" t="n"/>
      <c r="V843" s="85" t="n"/>
      <c r="W843" s="85" t="n"/>
      <c r="X843" s="85" t="n"/>
      <c r="Y843" s="85" t="n"/>
      <c r="Z843" s="85" t="n"/>
    </row>
    <row r="844" ht="15.75" customHeight="1" s="86">
      <c r="T844" s="85" t="n"/>
      <c r="U844" s="85" t="n"/>
      <c r="V844" s="85" t="n"/>
      <c r="W844" s="85" t="n"/>
      <c r="X844" s="85" t="n"/>
      <c r="Y844" s="85" t="n"/>
      <c r="Z844" s="85" t="n"/>
    </row>
    <row r="845" ht="15.75" customHeight="1" s="86">
      <c r="T845" s="85" t="n"/>
      <c r="U845" s="85" t="n"/>
      <c r="V845" s="85" t="n"/>
      <c r="W845" s="85" t="n"/>
      <c r="X845" s="85" t="n"/>
      <c r="Y845" s="85" t="n"/>
      <c r="Z845" s="85" t="n"/>
    </row>
    <row r="846" ht="15.75" customHeight="1" s="86">
      <c r="T846" s="85" t="n"/>
      <c r="U846" s="85" t="n"/>
      <c r="V846" s="85" t="n"/>
      <c r="W846" s="85" t="n"/>
      <c r="X846" s="85" t="n"/>
      <c r="Y846" s="85" t="n"/>
      <c r="Z846" s="85" t="n"/>
    </row>
    <row r="847" ht="15.75" customHeight="1" s="86">
      <c r="T847" s="85" t="n"/>
      <c r="U847" s="85" t="n"/>
      <c r="V847" s="85" t="n"/>
      <c r="W847" s="85" t="n"/>
      <c r="X847" s="85" t="n"/>
      <c r="Y847" s="85" t="n"/>
      <c r="Z847" s="85" t="n"/>
    </row>
    <row r="848" ht="15.75" customHeight="1" s="86">
      <c r="T848" s="85" t="n"/>
      <c r="U848" s="85" t="n"/>
      <c r="V848" s="85" t="n"/>
      <c r="W848" s="85" t="n"/>
      <c r="X848" s="85" t="n"/>
      <c r="Y848" s="85" t="n"/>
      <c r="Z848" s="85" t="n"/>
    </row>
    <row r="849" ht="15.75" customHeight="1" s="86">
      <c r="T849" s="85" t="n"/>
      <c r="U849" s="85" t="n"/>
      <c r="V849" s="85" t="n"/>
      <c r="W849" s="85" t="n"/>
      <c r="X849" s="85" t="n"/>
      <c r="Y849" s="85" t="n"/>
      <c r="Z849" s="85" t="n"/>
    </row>
    <row r="850" ht="15.75" customHeight="1" s="86">
      <c r="T850" s="85" t="n"/>
      <c r="U850" s="85" t="n"/>
      <c r="V850" s="85" t="n"/>
      <c r="W850" s="85" t="n"/>
      <c r="X850" s="85" t="n"/>
      <c r="Y850" s="85" t="n"/>
      <c r="Z850" s="85" t="n"/>
    </row>
    <row r="851" ht="15.75" customHeight="1" s="86">
      <c r="T851" s="85" t="n"/>
      <c r="U851" s="85" t="n"/>
      <c r="V851" s="85" t="n"/>
      <c r="W851" s="85" t="n"/>
      <c r="X851" s="85" t="n"/>
      <c r="Y851" s="85" t="n"/>
      <c r="Z851" s="85" t="n"/>
    </row>
    <row r="852" ht="15.75" customHeight="1" s="86">
      <c r="T852" s="85" t="n"/>
      <c r="U852" s="85" t="n"/>
      <c r="V852" s="85" t="n"/>
      <c r="W852" s="85" t="n"/>
      <c r="X852" s="85" t="n"/>
      <c r="Y852" s="85" t="n"/>
      <c r="Z852" s="85" t="n"/>
    </row>
    <row r="853" ht="15.75" customHeight="1" s="86">
      <c r="T853" s="85" t="n"/>
      <c r="U853" s="85" t="n"/>
      <c r="V853" s="85" t="n"/>
      <c r="W853" s="85" t="n"/>
      <c r="X853" s="85" t="n"/>
      <c r="Y853" s="85" t="n"/>
      <c r="Z853" s="85" t="n"/>
    </row>
    <row r="854" ht="15.75" customHeight="1" s="86">
      <c r="T854" s="85" t="n"/>
      <c r="U854" s="85" t="n"/>
      <c r="V854" s="85" t="n"/>
      <c r="W854" s="85" t="n"/>
      <c r="X854" s="85" t="n"/>
      <c r="Y854" s="85" t="n"/>
      <c r="Z854" s="85" t="n"/>
    </row>
    <row r="855" ht="15.75" customHeight="1" s="86">
      <c r="T855" s="85" t="n"/>
      <c r="U855" s="85" t="n"/>
      <c r="V855" s="85" t="n"/>
      <c r="W855" s="85" t="n"/>
      <c r="X855" s="85" t="n"/>
      <c r="Y855" s="85" t="n"/>
      <c r="Z855" s="85" t="n"/>
    </row>
    <row r="856" ht="15.75" customHeight="1" s="86">
      <c r="T856" s="85" t="n"/>
      <c r="U856" s="85" t="n"/>
      <c r="V856" s="85" t="n"/>
      <c r="W856" s="85" t="n"/>
      <c r="X856" s="85" t="n"/>
      <c r="Y856" s="85" t="n"/>
      <c r="Z856" s="85" t="n"/>
    </row>
    <row r="857" ht="15.75" customHeight="1" s="86">
      <c r="T857" s="85" t="n"/>
      <c r="U857" s="85" t="n"/>
      <c r="V857" s="85" t="n"/>
      <c r="W857" s="85" t="n"/>
      <c r="X857" s="85" t="n"/>
      <c r="Y857" s="85" t="n"/>
      <c r="Z857" s="85" t="n"/>
    </row>
    <row r="858" ht="15.75" customHeight="1" s="86">
      <c r="T858" s="85" t="n"/>
      <c r="U858" s="85" t="n"/>
      <c r="V858" s="85" t="n"/>
      <c r="W858" s="85" t="n"/>
      <c r="X858" s="85" t="n"/>
      <c r="Y858" s="85" t="n"/>
      <c r="Z858" s="85" t="n"/>
    </row>
    <row r="859" ht="15.75" customHeight="1" s="86">
      <c r="T859" s="85" t="n"/>
      <c r="U859" s="85" t="n"/>
      <c r="V859" s="85" t="n"/>
      <c r="W859" s="85" t="n"/>
      <c r="X859" s="85" t="n"/>
      <c r="Y859" s="85" t="n"/>
      <c r="Z859" s="85" t="n"/>
    </row>
    <row r="860" ht="15.75" customHeight="1" s="86">
      <c r="T860" s="85" t="n"/>
      <c r="U860" s="85" t="n"/>
      <c r="V860" s="85" t="n"/>
      <c r="W860" s="85" t="n"/>
      <c r="X860" s="85" t="n"/>
      <c r="Y860" s="85" t="n"/>
      <c r="Z860" s="85" t="n"/>
    </row>
    <row r="861" ht="15.75" customHeight="1" s="86">
      <c r="T861" s="85" t="n"/>
      <c r="U861" s="85" t="n"/>
      <c r="V861" s="85" t="n"/>
      <c r="W861" s="85" t="n"/>
      <c r="X861" s="85" t="n"/>
      <c r="Y861" s="85" t="n"/>
      <c r="Z861" s="85" t="n"/>
    </row>
    <row r="862" ht="15.75" customHeight="1" s="86">
      <c r="T862" s="85" t="n"/>
      <c r="U862" s="85" t="n"/>
      <c r="V862" s="85" t="n"/>
      <c r="W862" s="85" t="n"/>
      <c r="X862" s="85" t="n"/>
      <c r="Y862" s="85" t="n"/>
      <c r="Z862" s="85" t="n"/>
    </row>
    <row r="863" ht="15.75" customHeight="1" s="86">
      <c r="T863" s="85" t="n"/>
      <c r="U863" s="85" t="n"/>
      <c r="V863" s="85" t="n"/>
      <c r="W863" s="85" t="n"/>
      <c r="X863" s="85" t="n"/>
      <c r="Y863" s="85" t="n"/>
      <c r="Z863" s="85" t="n"/>
    </row>
    <row r="864" ht="15.75" customHeight="1" s="86">
      <c r="T864" s="85" t="n"/>
      <c r="U864" s="85" t="n"/>
      <c r="V864" s="85" t="n"/>
      <c r="W864" s="85" t="n"/>
      <c r="X864" s="85" t="n"/>
      <c r="Y864" s="85" t="n"/>
      <c r="Z864" s="85" t="n"/>
    </row>
    <row r="865" ht="15.75" customHeight="1" s="86">
      <c r="T865" s="85" t="n"/>
      <c r="U865" s="85" t="n"/>
      <c r="V865" s="85" t="n"/>
      <c r="W865" s="85" t="n"/>
      <c r="X865" s="85" t="n"/>
      <c r="Y865" s="85" t="n"/>
      <c r="Z865" s="85" t="n"/>
    </row>
    <row r="866" ht="15.75" customHeight="1" s="86">
      <c r="T866" s="85" t="n"/>
      <c r="U866" s="85" t="n"/>
      <c r="V866" s="85" t="n"/>
      <c r="W866" s="85" t="n"/>
      <c r="X866" s="85" t="n"/>
      <c r="Y866" s="85" t="n"/>
      <c r="Z866" s="85" t="n"/>
    </row>
    <row r="867" ht="15.75" customHeight="1" s="86">
      <c r="T867" s="85" t="n"/>
      <c r="U867" s="85" t="n"/>
      <c r="V867" s="85" t="n"/>
      <c r="W867" s="85" t="n"/>
      <c r="X867" s="85" t="n"/>
      <c r="Y867" s="85" t="n"/>
      <c r="Z867" s="85" t="n"/>
    </row>
    <row r="868" ht="15.75" customHeight="1" s="86">
      <c r="T868" s="85" t="n"/>
      <c r="U868" s="85" t="n"/>
      <c r="V868" s="85" t="n"/>
      <c r="W868" s="85" t="n"/>
      <c r="X868" s="85" t="n"/>
      <c r="Y868" s="85" t="n"/>
      <c r="Z868" s="85" t="n"/>
    </row>
    <row r="869" ht="15.75" customHeight="1" s="86">
      <c r="T869" s="85" t="n"/>
      <c r="U869" s="85" t="n"/>
      <c r="V869" s="85" t="n"/>
      <c r="W869" s="85" t="n"/>
      <c r="X869" s="85" t="n"/>
      <c r="Y869" s="85" t="n"/>
      <c r="Z869" s="85" t="n"/>
    </row>
    <row r="870" ht="15.75" customHeight="1" s="86">
      <c r="T870" s="85" t="n"/>
      <c r="U870" s="85" t="n"/>
      <c r="V870" s="85" t="n"/>
      <c r="W870" s="85" t="n"/>
      <c r="X870" s="85" t="n"/>
      <c r="Y870" s="85" t="n"/>
      <c r="Z870" s="85" t="n"/>
    </row>
    <row r="871" ht="15.75" customHeight="1" s="86">
      <c r="T871" s="85" t="n"/>
      <c r="U871" s="85" t="n"/>
      <c r="V871" s="85" t="n"/>
      <c r="W871" s="85" t="n"/>
      <c r="X871" s="85" t="n"/>
      <c r="Y871" s="85" t="n"/>
      <c r="Z871" s="85" t="n"/>
    </row>
    <row r="872" ht="15.75" customHeight="1" s="86">
      <c r="T872" s="85" t="n"/>
      <c r="U872" s="85" t="n"/>
      <c r="V872" s="85" t="n"/>
      <c r="W872" s="85" t="n"/>
      <c r="X872" s="85" t="n"/>
      <c r="Y872" s="85" t="n"/>
      <c r="Z872" s="85" t="n"/>
    </row>
    <row r="873" ht="15.75" customHeight="1" s="86">
      <c r="T873" s="85" t="n"/>
      <c r="U873" s="85" t="n"/>
      <c r="V873" s="85" t="n"/>
      <c r="W873" s="85" t="n"/>
      <c r="X873" s="85" t="n"/>
      <c r="Y873" s="85" t="n"/>
      <c r="Z873" s="85" t="n"/>
    </row>
    <row r="874" ht="15.75" customHeight="1" s="86">
      <c r="T874" s="85" t="n"/>
      <c r="U874" s="85" t="n"/>
      <c r="V874" s="85" t="n"/>
      <c r="W874" s="85" t="n"/>
      <c r="X874" s="85" t="n"/>
      <c r="Y874" s="85" t="n"/>
      <c r="Z874" s="85" t="n"/>
    </row>
    <row r="875" ht="15.75" customHeight="1" s="86">
      <c r="T875" s="85" t="n"/>
      <c r="U875" s="85" t="n"/>
      <c r="V875" s="85" t="n"/>
      <c r="W875" s="85" t="n"/>
      <c r="X875" s="85" t="n"/>
      <c r="Y875" s="85" t="n"/>
      <c r="Z875" s="85" t="n"/>
    </row>
    <row r="876" ht="15.75" customHeight="1" s="86">
      <c r="T876" s="85" t="n"/>
      <c r="U876" s="85" t="n"/>
      <c r="V876" s="85" t="n"/>
      <c r="W876" s="85" t="n"/>
      <c r="X876" s="85" t="n"/>
      <c r="Y876" s="85" t="n"/>
      <c r="Z876" s="85" t="n"/>
    </row>
    <row r="877" ht="15.75" customHeight="1" s="86">
      <c r="T877" s="85" t="n"/>
      <c r="U877" s="85" t="n"/>
      <c r="V877" s="85" t="n"/>
      <c r="W877" s="85" t="n"/>
      <c r="X877" s="85" t="n"/>
      <c r="Y877" s="85" t="n"/>
      <c r="Z877" s="85" t="n"/>
    </row>
    <row r="878" ht="15.75" customHeight="1" s="86">
      <c r="T878" s="85" t="n"/>
      <c r="U878" s="85" t="n"/>
      <c r="V878" s="85" t="n"/>
      <c r="W878" s="85" t="n"/>
      <c r="X878" s="85" t="n"/>
      <c r="Y878" s="85" t="n"/>
      <c r="Z878" s="85" t="n"/>
    </row>
    <row r="879" ht="15.75" customHeight="1" s="86">
      <c r="T879" s="85" t="n"/>
      <c r="U879" s="85" t="n"/>
      <c r="V879" s="85" t="n"/>
      <c r="W879" s="85" t="n"/>
      <c r="X879" s="85" t="n"/>
      <c r="Y879" s="85" t="n"/>
      <c r="Z879" s="85" t="n"/>
    </row>
    <row r="880" ht="15.75" customHeight="1" s="86">
      <c r="T880" s="85" t="n"/>
      <c r="U880" s="85" t="n"/>
      <c r="V880" s="85" t="n"/>
      <c r="W880" s="85" t="n"/>
      <c r="X880" s="85" t="n"/>
      <c r="Y880" s="85" t="n"/>
      <c r="Z880" s="85" t="n"/>
    </row>
    <row r="881" ht="15.75" customHeight="1" s="86">
      <c r="T881" s="85" t="n"/>
      <c r="U881" s="85" t="n"/>
      <c r="V881" s="85" t="n"/>
      <c r="W881" s="85" t="n"/>
      <c r="X881" s="85" t="n"/>
      <c r="Y881" s="85" t="n"/>
      <c r="Z881" s="85" t="n"/>
    </row>
    <row r="882" ht="15.75" customHeight="1" s="86">
      <c r="T882" s="85" t="n"/>
      <c r="U882" s="85" t="n"/>
      <c r="V882" s="85" t="n"/>
      <c r="W882" s="85" t="n"/>
      <c r="X882" s="85" t="n"/>
      <c r="Y882" s="85" t="n"/>
      <c r="Z882" s="85" t="n"/>
    </row>
    <row r="883" ht="15.75" customHeight="1" s="86">
      <c r="T883" s="85" t="n"/>
      <c r="U883" s="85" t="n"/>
      <c r="V883" s="85" t="n"/>
      <c r="W883" s="85" t="n"/>
      <c r="X883" s="85" t="n"/>
      <c r="Y883" s="85" t="n"/>
      <c r="Z883" s="85" t="n"/>
    </row>
    <row r="884" ht="15.75" customHeight="1" s="86">
      <c r="T884" s="85" t="n"/>
      <c r="U884" s="85" t="n"/>
      <c r="V884" s="85" t="n"/>
      <c r="W884" s="85" t="n"/>
      <c r="X884" s="85" t="n"/>
      <c r="Y884" s="85" t="n"/>
      <c r="Z884" s="85" t="n"/>
    </row>
    <row r="885" ht="15.75" customHeight="1" s="86">
      <c r="T885" s="85" t="n"/>
      <c r="U885" s="85" t="n"/>
      <c r="V885" s="85" t="n"/>
      <c r="W885" s="85" t="n"/>
      <c r="X885" s="85" t="n"/>
      <c r="Y885" s="85" t="n"/>
      <c r="Z885" s="85" t="n"/>
    </row>
    <row r="886" ht="15.75" customHeight="1" s="86">
      <c r="T886" s="85" t="n"/>
      <c r="U886" s="85" t="n"/>
      <c r="V886" s="85" t="n"/>
      <c r="W886" s="85" t="n"/>
      <c r="X886" s="85" t="n"/>
      <c r="Y886" s="85" t="n"/>
      <c r="Z886" s="85" t="n"/>
    </row>
    <row r="887" ht="15.75" customHeight="1" s="86">
      <c r="T887" s="85" t="n"/>
      <c r="U887" s="85" t="n"/>
      <c r="V887" s="85" t="n"/>
      <c r="W887" s="85" t="n"/>
      <c r="X887" s="85" t="n"/>
      <c r="Y887" s="85" t="n"/>
      <c r="Z887" s="85" t="n"/>
    </row>
    <row r="888" ht="15.75" customHeight="1" s="86">
      <c r="T888" s="85" t="n"/>
      <c r="U888" s="85" t="n"/>
      <c r="V888" s="85" t="n"/>
      <c r="W888" s="85" t="n"/>
      <c r="X888" s="85" t="n"/>
      <c r="Y888" s="85" t="n"/>
      <c r="Z888" s="85" t="n"/>
    </row>
    <row r="889" ht="15.75" customHeight="1" s="86">
      <c r="T889" s="85" t="n"/>
      <c r="U889" s="85" t="n"/>
      <c r="V889" s="85" t="n"/>
      <c r="W889" s="85" t="n"/>
      <c r="X889" s="85" t="n"/>
      <c r="Y889" s="85" t="n"/>
      <c r="Z889" s="85" t="n"/>
    </row>
    <row r="890" ht="15.75" customHeight="1" s="86">
      <c r="T890" s="85" t="n"/>
      <c r="U890" s="85" t="n"/>
      <c r="V890" s="85" t="n"/>
      <c r="W890" s="85" t="n"/>
      <c r="X890" s="85" t="n"/>
      <c r="Y890" s="85" t="n"/>
      <c r="Z890" s="85" t="n"/>
    </row>
    <row r="891" ht="15.75" customHeight="1" s="86">
      <c r="T891" s="85" t="n"/>
      <c r="U891" s="85" t="n"/>
      <c r="V891" s="85" t="n"/>
      <c r="W891" s="85" t="n"/>
      <c r="X891" s="85" t="n"/>
      <c r="Y891" s="85" t="n"/>
      <c r="Z891" s="85" t="n"/>
    </row>
    <row r="892" ht="15.75" customHeight="1" s="86">
      <c r="T892" s="85" t="n"/>
      <c r="U892" s="85" t="n"/>
      <c r="V892" s="85" t="n"/>
      <c r="W892" s="85" t="n"/>
      <c r="X892" s="85" t="n"/>
      <c r="Y892" s="85" t="n"/>
      <c r="Z892" s="85" t="n"/>
    </row>
    <row r="893" ht="15.75" customHeight="1" s="86">
      <c r="T893" s="85" t="n"/>
      <c r="U893" s="85" t="n"/>
      <c r="V893" s="85" t="n"/>
      <c r="W893" s="85" t="n"/>
      <c r="X893" s="85" t="n"/>
      <c r="Y893" s="85" t="n"/>
      <c r="Z893" s="85" t="n"/>
    </row>
    <row r="894" ht="15.75" customHeight="1" s="86">
      <c r="T894" s="85" t="n"/>
      <c r="U894" s="85" t="n"/>
      <c r="V894" s="85" t="n"/>
      <c r="W894" s="85" t="n"/>
      <c r="X894" s="85" t="n"/>
      <c r="Y894" s="85" t="n"/>
      <c r="Z894" s="85" t="n"/>
    </row>
    <row r="895" ht="15.75" customHeight="1" s="86">
      <c r="T895" s="85" t="n"/>
      <c r="U895" s="85" t="n"/>
      <c r="V895" s="85" t="n"/>
      <c r="W895" s="85" t="n"/>
      <c r="X895" s="85" t="n"/>
      <c r="Y895" s="85" t="n"/>
      <c r="Z895" s="85" t="n"/>
    </row>
    <row r="896" ht="15.75" customHeight="1" s="86">
      <c r="T896" s="85" t="n"/>
      <c r="U896" s="85" t="n"/>
      <c r="V896" s="85" t="n"/>
      <c r="W896" s="85" t="n"/>
      <c r="X896" s="85" t="n"/>
      <c r="Y896" s="85" t="n"/>
      <c r="Z896" s="85" t="n"/>
    </row>
    <row r="897" ht="15.75" customHeight="1" s="86">
      <c r="T897" s="85" t="n"/>
      <c r="U897" s="85" t="n"/>
      <c r="V897" s="85" t="n"/>
      <c r="W897" s="85" t="n"/>
      <c r="X897" s="85" t="n"/>
      <c r="Y897" s="85" t="n"/>
      <c r="Z897" s="85" t="n"/>
    </row>
    <row r="898" ht="15.75" customHeight="1" s="86">
      <c r="T898" s="85" t="n"/>
      <c r="U898" s="85" t="n"/>
      <c r="V898" s="85" t="n"/>
      <c r="W898" s="85" t="n"/>
      <c r="X898" s="85" t="n"/>
      <c r="Y898" s="85" t="n"/>
      <c r="Z898" s="85" t="n"/>
    </row>
    <row r="899" ht="15.75" customHeight="1" s="86">
      <c r="T899" s="85" t="n"/>
      <c r="U899" s="85" t="n"/>
      <c r="V899" s="85" t="n"/>
      <c r="W899" s="85" t="n"/>
      <c r="X899" s="85" t="n"/>
      <c r="Y899" s="85" t="n"/>
      <c r="Z899" s="85" t="n"/>
    </row>
    <row r="900" ht="15.75" customHeight="1" s="86">
      <c r="T900" s="85" t="n"/>
      <c r="U900" s="85" t="n"/>
      <c r="V900" s="85" t="n"/>
      <c r="W900" s="85" t="n"/>
      <c r="X900" s="85" t="n"/>
      <c r="Y900" s="85" t="n"/>
      <c r="Z900" s="85" t="n"/>
    </row>
    <row r="901" ht="15.75" customHeight="1" s="86">
      <c r="T901" s="85" t="n"/>
      <c r="U901" s="85" t="n"/>
      <c r="V901" s="85" t="n"/>
      <c r="W901" s="85" t="n"/>
      <c r="X901" s="85" t="n"/>
      <c r="Y901" s="85" t="n"/>
      <c r="Z901" s="85" t="n"/>
    </row>
    <row r="902" ht="15.75" customHeight="1" s="86">
      <c r="T902" s="85" t="n"/>
      <c r="U902" s="85" t="n"/>
      <c r="V902" s="85" t="n"/>
      <c r="W902" s="85" t="n"/>
      <c r="X902" s="85" t="n"/>
      <c r="Y902" s="85" t="n"/>
      <c r="Z902" s="85" t="n"/>
    </row>
    <row r="903" ht="15.75" customHeight="1" s="86">
      <c r="T903" s="85" t="n"/>
      <c r="U903" s="85" t="n"/>
      <c r="V903" s="85" t="n"/>
      <c r="W903" s="85" t="n"/>
      <c r="X903" s="85" t="n"/>
      <c r="Y903" s="85" t="n"/>
      <c r="Z903" s="85" t="n"/>
    </row>
    <row r="904" ht="15.75" customHeight="1" s="86">
      <c r="T904" s="85" t="n"/>
      <c r="U904" s="85" t="n"/>
      <c r="V904" s="85" t="n"/>
      <c r="W904" s="85" t="n"/>
      <c r="X904" s="85" t="n"/>
      <c r="Y904" s="85" t="n"/>
      <c r="Z904" s="85" t="n"/>
    </row>
    <row r="905" ht="15.75" customHeight="1" s="86">
      <c r="T905" s="85" t="n"/>
      <c r="U905" s="85" t="n"/>
      <c r="V905" s="85" t="n"/>
      <c r="W905" s="85" t="n"/>
      <c r="X905" s="85" t="n"/>
      <c r="Y905" s="85" t="n"/>
      <c r="Z905" s="85" t="n"/>
    </row>
    <row r="906" ht="15.75" customHeight="1" s="86">
      <c r="T906" s="85" t="n"/>
      <c r="U906" s="85" t="n"/>
      <c r="V906" s="85" t="n"/>
      <c r="W906" s="85" t="n"/>
      <c r="X906" s="85" t="n"/>
      <c r="Y906" s="85" t="n"/>
      <c r="Z906" s="85" t="n"/>
    </row>
    <row r="907" ht="15.75" customHeight="1" s="86">
      <c r="T907" s="85" t="n"/>
      <c r="U907" s="85" t="n"/>
      <c r="V907" s="85" t="n"/>
      <c r="W907" s="85" t="n"/>
      <c r="X907" s="85" t="n"/>
      <c r="Y907" s="85" t="n"/>
      <c r="Z907" s="85" t="n"/>
    </row>
    <row r="908" ht="15.75" customHeight="1" s="86">
      <c r="T908" s="85" t="n"/>
      <c r="U908" s="85" t="n"/>
      <c r="V908" s="85" t="n"/>
      <c r="W908" s="85" t="n"/>
      <c r="X908" s="85" t="n"/>
      <c r="Y908" s="85" t="n"/>
      <c r="Z908" s="85" t="n"/>
    </row>
    <row r="909" ht="15.75" customHeight="1" s="86">
      <c r="T909" s="85" t="n"/>
      <c r="U909" s="85" t="n"/>
      <c r="V909" s="85" t="n"/>
      <c r="W909" s="85" t="n"/>
      <c r="X909" s="85" t="n"/>
      <c r="Y909" s="85" t="n"/>
      <c r="Z909" s="85" t="n"/>
    </row>
    <row r="910" ht="15.75" customHeight="1" s="86">
      <c r="T910" s="85" t="n"/>
      <c r="U910" s="85" t="n"/>
      <c r="V910" s="85" t="n"/>
      <c r="W910" s="85" t="n"/>
      <c r="X910" s="85" t="n"/>
      <c r="Y910" s="85" t="n"/>
      <c r="Z910" s="85" t="n"/>
    </row>
    <row r="911" ht="15.75" customHeight="1" s="86">
      <c r="T911" s="85" t="n"/>
      <c r="U911" s="85" t="n"/>
      <c r="V911" s="85" t="n"/>
      <c r="W911" s="85" t="n"/>
      <c r="X911" s="85" t="n"/>
      <c r="Y911" s="85" t="n"/>
      <c r="Z911" s="85" t="n"/>
    </row>
    <row r="912" ht="15.75" customHeight="1" s="86">
      <c r="T912" s="85" t="n"/>
      <c r="U912" s="85" t="n"/>
      <c r="V912" s="85" t="n"/>
      <c r="W912" s="85" t="n"/>
      <c r="X912" s="85" t="n"/>
      <c r="Y912" s="85" t="n"/>
      <c r="Z912" s="85" t="n"/>
    </row>
    <row r="913" ht="15.75" customHeight="1" s="86">
      <c r="T913" s="85" t="n"/>
      <c r="U913" s="85" t="n"/>
      <c r="V913" s="85" t="n"/>
      <c r="W913" s="85" t="n"/>
      <c r="X913" s="85" t="n"/>
      <c r="Y913" s="85" t="n"/>
      <c r="Z913" s="85" t="n"/>
    </row>
    <row r="914" ht="15.75" customHeight="1" s="86">
      <c r="T914" s="85" t="n"/>
      <c r="U914" s="85" t="n"/>
      <c r="V914" s="85" t="n"/>
      <c r="W914" s="85" t="n"/>
      <c r="X914" s="85" t="n"/>
      <c r="Y914" s="85" t="n"/>
      <c r="Z914" s="85" t="n"/>
    </row>
    <row r="915" ht="15.75" customHeight="1" s="86">
      <c r="T915" s="85" t="n"/>
      <c r="U915" s="85" t="n"/>
      <c r="V915" s="85" t="n"/>
      <c r="W915" s="85" t="n"/>
      <c r="X915" s="85" t="n"/>
      <c r="Y915" s="85" t="n"/>
      <c r="Z915" s="85" t="n"/>
    </row>
    <row r="916" ht="15.75" customHeight="1" s="86">
      <c r="T916" s="85" t="n"/>
      <c r="U916" s="85" t="n"/>
      <c r="V916" s="85" t="n"/>
      <c r="W916" s="85" t="n"/>
      <c r="X916" s="85" t="n"/>
      <c r="Y916" s="85" t="n"/>
      <c r="Z916" s="85" t="n"/>
    </row>
    <row r="917" ht="15.75" customHeight="1" s="86">
      <c r="T917" s="85" t="n"/>
      <c r="U917" s="85" t="n"/>
      <c r="V917" s="85" t="n"/>
      <c r="W917" s="85" t="n"/>
      <c r="X917" s="85" t="n"/>
      <c r="Y917" s="85" t="n"/>
      <c r="Z917" s="85" t="n"/>
    </row>
    <row r="918" ht="15.75" customHeight="1" s="86">
      <c r="T918" s="85" t="n"/>
      <c r="U918" s="85" t="n"/>
      <c r="V918" s="85" t="n"/>
      <c r="W918" s="85" t="n"/>
      <c r="X918" s="85" t="n"/>
      <c r="Y918" s="85" t="n"/>
      <c r="Z918" s="85" t="n"/>
    </row>
    <row r="919" ht="15.75" customHeight="1" s="86">
      <c r="T919" s="85" t="n"/>
      <c r="U919" s="85" t="n"/>
      <c r="V919" s="85" t="n"/>
      <c r="W919" s="85" t="n"/>
      <c r="X919" s="85" t="n"/>
      <c r="Y919" s="85" t="n"/>
      <c r="Z919" s="85" t="n"/>
    </row>
    <row r="920" ht="15.75" customHeight="1" s="86">
      <c r="T920" s="85" t="n"/>
      <c r="U920" s="85" t="n"/>
      <c r="V920" s="85" t="n"/>
      <c r="W920" s="85" t="n"/>
      <c r="X920" s="85" t="n"/>
      <c r="Y920" s="85" t="n"/>
      <c r="Z920" s="85" t="n"/>
    </row>
    <row r="921" ht="15.75" customHeight="1" s="86">
      <c r="T921" s="85" t="n"/>
      <c r="U921" s="85" t="n"/>
      <c r="V921" s="85" t="n"/>
      <c r="W921" s="85" t="n"/>
      <c r="X921" s="85" t="n"/>
      <c r="Y921" s="85" t="n"/>
      <c r="Z921" s="85" t="n"/>
    </row>
    <row r="922" ht="15.75" customHeight="1" s="86">
      <c r="T922" s="85" t="n"/>
      <c r="U922" s="85" t="n"/>
      <c r="V922" s="85" t="n"/>
      <c r="W922" s="85" t="n"/>
      <c r="X922" s="85" t="n"/>
      <c r="Y922" s="85" t="n"/>
      <c r="Z922" s="85" t="n"/>
    </row>
    <row r="923" ht="15.75" customHeight="1" s="86">
      <c r="T923" s="85" t="n"/>
      <c r="U923" s="85" t="n"/>
      <c r="V923" s="85" t="n"/>
      <c r="W923" s="85" t="n"/>
      <c r="X923" s="85" t="n"/>
      <c r="Y923" s="85" t="n"/>
      <c r="Z923" s="85" t="n"/>
    </row>
    <row r="924" ht="15.75" customHeight="1" s="86">
      <c r="T924" s="85" t="n"/>
      <c r="U924" s="85" t="n"/>
      <c r="V924" s="85" t="n"/>
      <c r="W924" s="85" t="n"/>
      <c r="X924" s="85" t="n"/>
      <c r="Y924" s="85" t="n"/>
      <c r="Z924" s="85" t="n"/>
    </row>
    <row r="925" ht="15.75" customHeight="1" s="86">
      <c r="T925" s="85" t="n"/>
      <c r="U925" s="85" t="n"/>
      <c r="V925" s="85" t="n"/>
      <c r="W925" s="85" t="n"/>
      <c r="X925" s="85" t="n"/>
      <c r="Y925" s="85" t="n"/>
      <c r="Z925" s="85" t="n"/>
    </row>
    <row r="926" ht="15.75" customHeight="1" s="86">
      <c r="T926" s="85" t="n"/>
      <c r="U926" s="85" t="n"/>
      <c r="V926" s="85" t="n"/>
      <c r="W926" s="85" t="n"/>
      <c r="X926" s="85" t="n"/>
      <c r="Y926" s="85" t="n"/>
      <c r="Z926" s="85" t="n"/>
    </row>
    <row r="927" ht="15.75" customHeight="1" s="86">
      <c r="T927" s="85" t="n"/>
      <c r="U927" s="85" t="n"/>
      <c r="V927" s="85" t="n"/>
      <c r="W927" s="85" t="n"/>
      <c r="X927" s="85" t="n"/>
      <c r="Y927" s="85" t="n"/>
      <c r="Z927" s="85" t="n"/>
    </row>
    <row r="928" ht="15.75" customHeight="1" s="86">
      <c r="T928" s="85" t="n"/>
      <c r="U928" s="85" t="n"/>
      <c r="V928" s="85" t="n"/>
      <c r="W928" s="85" t="n"/>
      <c r="X928" s="85" t="n"/>
      <c r="Y928" s="85" t="n"/>
      <c r="Z928" s="85" t="n"/>
    </row>
    <row r="929" ht="15.75" customHeight="1" s="86">
      <c r="T929" s="85" t="n"/>
      <c r="U929" s="85" t="n"/>
      <c r="V929" s="85" t="n"/>
      <c r="W929" s="85" t="n"/>
      <c r="X929" s="85" t="n"/>
      <c r="Y929" s="85" t="n"/>
      <c r="Z929" s="85" t="n"/>
    </row>
    <row r="930" ht="15.75" customHeight="1" s="86">
      <c r="T930" s="85" t="n"/>
      <c r="U930" s="85" t="n"/>
      <c r="V930" s="85" t="n"/>
      <c r="W930" s="85" t="n"/>
      <c r="X930" s="85" t="n"/>
      <c r="Y930" s="85" t="n"/>
      <c r="Z930" s="85" t="n"/>
    </row>
    <row r="931" ht="15.75" customHeight="1" s="86">
      <c r="T931" s="85" t="n"/>
      <c r="U931" s="85" t="n"/>
      <c r="V931" s="85" t="n"/>
      <c r="W931" s="85" t="n"/>
      <c r="X931" s="85" t="n"/>
      <c r="Y931" s="85" t="n"/>
      <c r="Z931" s="85" t="n"/>
    </row>
    <row r="932" ht="15.75" customHeight="1" s="86">
      <c r="T932" s="85" t="n"/>
      <c r="U932" s="85" t="n"/>
      <c r="V932" s="85" t="n"/>
      <c r="W932" s="85" t="n"/>
      <c r="X932" s="85" t="n"/>
      <c r="Y932" s="85" t="n"/>
      <c r="Z932" s="85" t="n"/>
    </row>
    <row r="933" ht="15.75" customHeight="1" s="86">
      <c r="T933" s="85" t="n"/>
      <c r="U933" s="85" t="n"/>
      <c r="V933" s="85" t="n"/>
      <c r="W933" s="85" t="n"/>
      <c r="X933" s="85" t="n"/>
      <c r="Y933" s="85" t="n"/>
      <c r="Z933" s="85" t="n"/>
    </row>
    <row r="934" ht="15.75" customHeight="1" s="86">
      <c r="T934" s="85" t="n"/>
      <c r="U934" s="85" t="n"/>
      <c r="V934" s="85" t="n"/>
      <c r="W934" s="85" t="n"/>
      <c r="X934" s="85" t="n"/>
      <c r="Y934" s="85" t="n"/>
      <c r="Z934" s="85" t="n"/>
    </row>
    <row r="935" ht="15.75" customHeight="1" s="86">
      <c r="T935" s="85" t="n"/>
      <c r="U935" s="85" t="n"/>
      <c r="V935" s="85" t="n"/>
      <c r="W935" s="85" t="n"/>
      <c r="X935" s="85" t="n"/>
      <c r="Y935" s="85" t="n"/>
      <c r="Z935" s="85" t="n"/>
    </row>
    <row r="936" ht="15.75" customHeight="1" s="86">
      <c r="T936" s="85" t="n"/>
      <c r="U936" s="85" t="n"/>
      <c r="V936" s="85" t="n"/>
      <c r="W936" s="85" t="n"/>
      <c r="X936" s="85" t="n"/>
      <c r="Y936" s="85" t="n"/>
      <c r="Z936" s="85" t="n"/>
    </row>
    <row r="937" ht="15.75" customHeight="1" s="86">
      <c r="T937" s="85" t="n"/>
      <c r="U937" s="85" t="n"/>
      <c r="V937" s="85" t="n"/>
      <c r="W937" s="85" t="n"/>
      <c r="X937" s="85" t="n"/>
      <c r="Y937" s="85" t="n"/>
      <c r="Z937" s="85" t="n"/>
    </row>
    <row r="938" ht="15.75" customHeight="1" s="86">
      <c r="T938" s="85" t="n"/>
      <c r="U938" s="85" t="n"/>
      <c r="V938" s="85" t="n"/>
      <c r="W938" s="85" t="n"/>
      <c r="X938" s="85" t="n"/>
      <c r="Y938" s="85" t="n"/>
      <c r="Z938" s="85" t="n"/>
    </row>
    <row r="939" ht="15.75" customHeight="1" s="86">
      <c r="T939" s="85" t="n"/>
      <c r="U939" s="85" t="n"/>
      <c r="V939" s="85" t="n"/>
      <c r="W939" s="85" t="n"/>
      <c r="X939" s="85" t="n"/>
      <c r="Y939" s="85" t="n"/>
      <c r="Z939" s="85" t="n"/>
    </row>
    <row r="940" ht="15.75" customHeight="1" s="86">
      <c r="T940" s="85" t="n"/>
      <c r="U940" s="85" t="n"/>
      <c r="V940" s="85" t="n"/>
      <c r="W940" s="85" t="n"/>
      <c r="X940" s="85" t="n"/>
      <c r="Y940" s="85" t="n"/>
      <c r="Z940" s="85" t="n"/>
    </row>
    <row r="941" ht="15.75" customHeight="1" s="86">
      <c r="T941" s="85" t="n"/>
      <c r="U941" s="85" t="n"/>
      <c r="V941" s="85" t="n"/>
      <c r="W941" s="85" t="n"/>
      <c r="X941" s="85" t="n"/>
      <c r="Y941" s="85" t="n"/>
      <c r="Z941" s="85" t="n"/>
    </row>
    <row r="942" ht="15.75" customHeight="1" s="86">
      <c r="T942" s="85" t="n"/>
      <c r="U942" s="85" t="n"/>
      <c r="V942" s="85" t="n"/>
      <c r="W942" s="85" t="n"/>
      <c r="X942" s="85" t="n"/>
      <c r="Y942" s="85" t="n"/>
      <c r="Z942" s="85" t="n"/>
    </row>
    <row r="943" ht="15.75" customHeight="1" s="86">
      <c r="T943" s="85" t="n"/>
      <c r="U943" s="85" t="n"/>
      <c r="V943" s="85" t="n"/>
      <c r="W943" s="85" t="n"/>
      <c r="X943" s="85" t="n"/>
      <c r="Y943" s="85" t="n"/>
      <c r="Z943" s="85" t="n"/>
    </row>
    <row r="944" ht="15.75" customHeight="1" s="86">
      <c r="T944" s="85" t="n"/>
      <c r="U944" s="85" t="n"/>
      <c r="V944" s="85" t="n"/>
      <c r="W944" s="85" t="n"/>
      <c r="X944" s="85" t="n"/>
      <c r="Y944" s="85" t="n"/>
      <c r="Z944" s="85" t="n"/>
    </row>
    <row r="945" ht="15.75" customHeight="1" s="86">
      <c r="T945" s="85" t="n"/>
      <c r="U945" s="85" t="n"/>
      <c r="V945" s="85" t="n"/>
      <c r="W945" s="85" t="n"/>
      <c r="X945" s="85" t="n"/>
      <c r="Y945" s="85" t="n"/>
      <c r="Z945" s="85" t="n"/>
    </row>
    <row r="946" ht="15.75" customHeight="1" s="86">
      <c r="T946" s="85" t="n"/>
      <c r="U946" s="85" t="n"/>
      <c r="V946" s="85" t="n"/>
      <c r="W946" s="85" t="n"/>
      <c r="X946" s="85" t="n"/>
      <c r="Y946" s="85" t="n"/>
      <c r="Z946" s="85" t="n"/>
    </row>
    <row r="947" ht="15.75" customHeight="1" s="86">
      <c r="T947" s="85" t="n"/>
      <c r="U947" s="85" t="n"/>
      <c r="V947" s="85" t="n"/>
      <c r="W947" s="85" t="n"/>
      <c r="X947" s="85" t="n"/>
      <c r="Y947" s="85" t="n"/>
      <c r="Z947" s="85" t="n"/>
    </row>
    <row r="948" ht="15.75" customHeight="1" s="86">
      <c r="T948" s="85" t="n"/>
      <c r="U948" s="85" t="n"/>
      <c r="V948" s="85" t="n"/>
      <c r="W948" s="85" t="n"/>
      <c r="X948" s="85" t="n"/>
      <c r="Y948" s="85" t="n"/>
      <c r="Z948" s="85" t="n"/>
    </row>
    <row r="949" ht="15.75" customHeight="1" s="86">
      <c r="T949" s="85" t="n"/>
      <c r="U949" s="85" t="n"/>
      <c r="V949" s="85" t="n"/>
      <c r="W949" s="85" t="n"/>
      <c r="X949" s="85" t="n"/>
      <c r="Y949" s="85" t="n"/>
      <c r="Z949" s="85" t="n"/>
    </row>
    <row r="950" ht="15.75" customHeight="1" s="86">
      <c r="T950" s="85" t="n"/>
      <c r="U950" s="85" t="n"/>
      <c r="V950" s="85" t="n"/>
      <c r="W950" s="85" t="n"/>
      <c r="X950" s="85" t="n"/>
      <c r="Y950" s="85" t="n"/>
      <c r="Z950" s="85" t="n"/>
    </row>
    <row r="951" ht="15.75" customHeight="1" s="86">
      <c r="T951" s="85" t="n"/>
      <c r="U951" s="85" t="n"/>
      <c r="V951" s="85" t="n"/>
      <c r="W951" s="85" t="n"/>
      <c r="X951" s="85" t="n"/>
      <c r="Y951" s="85" t="n"/>
      <c r="Z951" s="85" t="n"/>
    </row>
    <row r="952" ht="15.75" customHeight="1" s="86">
      <c r="T952" s="85" t="n"/>
      <c r="U952" s="85" t="n"/>
      <c r="V952" s="85" t="n"/>
      <c r="W952" s="85" t="n"/>
      <c r="X952" s="85" t="n"/>
      <c r="Y952" s="85" t="n"/>
      <c r="Z952" s="85" t="n"/>
    </row>
    <row r="953" ht="15.75" customHeight="1" s="86">
      <c r="T953" s="85" t="n"/>
      <c r="U953" s="85" t="n"/>
      <c r="V953" s="85" t="n"/>
      <c r="W953" s="85" t="n"/>
      <c r="X953" s="85" t="n"/>
      <c r="Y953" s="85" t="n"/>
      <c r="Z953" s="85" t="n"/>
    </row>
    <row r="954" ht="15.75" customHeight="1" s="86">
      <c r="T954" s="85" t="n"/>
      <c r="U954" s="85" t="n"/>
      <c r="V954" s="85" t="n"/>
      <c r="W954" s="85" t="n"/>
      <c r="X954" s="85" t="n"/>
      <c r="Y954" s="85" t="n"/>
      <c r="Z954" s="85" t="n"/>
    </row>
    <row r="955" ht="15.75" customHeight="1" s="86">
      <c r="T955" s="85" t="n"/>
      <c r="U955" s="85" t="n"/>
      <c r="V955" s="85" t="n"/>
      <c r="W955" s="85" t="n"/>
      <c r="X955" s="85" t="n"/>
      <c r="Y955" s="85" t="n"/>
      <c r="Z955" s="85" t="n"/>
    </row>
    <row r="956" ht="15.75" customHeight="1" s="86">
      <c r="T956" s="85" t="n"/>
      <c r="U956" s="85" t="n"/>
      <c r="V956" s="85" t="n"/>
      <c r="W956" s="85" t="n"/>
      <c r="X956" s="85" t="n"/>
      <c r="Y956" s="85" t="n"/>
      <c r="Z956" s="85" t="n"/>
    </row>
    <row r="957" ht="15.75" customHeight="1" s="86">
      <c r="T957" s="85" t="n"/>
      <c r="U957" s="85" t="n"/>
      <c r="V957" s="85" t="n"/>
      <c r="W957" s="85" t="n"/>
      <c r="X957" s="85" t="n"/>
      <c r="Y957" s="85" t="n"/>
      <c r="Z957" s="85" t="n"/>
    </row>
    <row r="958" ht="15.75" customHeight="1" s="86">
      <c r="T958" s="85" t="n"/>
      <c r="U958" s="85" t="n"/>
      <c r="V958" s="85" t="n"/>
      <c r="W958" s="85" t="n"/>
      <c r="X958" s="85" t="n"/>
      <c r="Y958" s="85" t="n"/>
      <c r="Z958" s="85" t="n"/>
    </row>
    <row r="959" ht="15.75" customHeight="1" s="86">
      <c r="T959" s="85" t="n"/>
      <c r="U959" s="85" t="n"/>
      <c r="V959" s="85" t="n"/>
      <c r="W959" s="85" t="n"/>
      <c r="X959" s="85" t="n"/>
      <c r="Y959" s="85" t="n"/>
      <c r="Z959" s="85" t="n"/>
    </row>
    <row r="960" ht="15.75" customHeight="1" s="86">
      <c r="T960" s="85" t="n"/>
      <c r="U960" s="85" t="n"/>
      <c r="V960" s="85" t="n"/>
      <c r="W960" s="85" t="n"/>
      <c r="X960" s="85" t="n"/>
      <c r="Y960" s="85" t="n"/>
      <c r="Z960" s="85" t="n"/>
    </row>
    <row r="961" ht="15.75" customHeight="1" s="86">
      <c r="T961" s="85" t="n"/>
      <c r="U961" s="85" t="n"/>
      <c r="V961" s="85" t="n"/>
      <c r="W961" s="85" t="n"/>
      <c r="X961" s="85" t="n"/>
      <c r="Y961" s="85" t="n"/>
      <c r="Z961" s="85" t="n"/>
    </row>
    <row r="962" ht="15.75" customHeight="1" s="86">
      <c r="T962" s="85" t="n"/>
      <c r="U962" s="85" t="n"/>
      <c r="V962" s="85" t="n"/>
      <c r="W962" s="85" t="n"/>
      <c r="X962" s="85" t="n"/>
      <c r="Y962" s="85" t="n"/>
      <c r="Z962" s="85" t="n"/>
    </row>
    <row r="963" ht="15.75" customHeight="1" s="86">
      <c r="T963" s="85" t="n"/>
      <c r="U963" s="85" t="n"/>
      <c r="V963" s="85" t="n"/>
      <c r="W963" s="85" t="n"/>
      <c r="X963" s="85" t="n"/>
      <c r="Y963" s="85" t="n"/>
      <c r="Z963" s="85" t="n"/>
    </row>
    <row r="964" ht="15.75" customHeight="1" s="86">
      <c r="T964" s="85" t="n"/>
      <c r="U964" s="85" t="n"/>
      <c r="V964" s="85" t="n"/>
      <c r="W964" s="85" t="n"/>
      <c r="X964" s="85" t="n"/>
      <c r="Y964" s="85" t="n"/>
      <c r="Z964" s="85" t="n"/>
    </row>
    <row r="965" ht="15.75" customHeight="1" s="86">
      <c r="T965" s="85" t="n"/>
      <c r="U965" s="85" t="n"/>
      <c r="V965" s="85" t="n"/>
      <c r="W965" s="85" t="n"/>
      <c r="X965" s="85" t="n"/>
      <c r="Y965" s="85" t="n"/>
      <c r="Z965" s="85" t="n"/>
    </row>
    <row r="966" ht="15.75" customHeight="1" s="86">
      <c r="T966" s="85" t="n"/>
      <c r="U966" s="85" t="n"/>
      <c r="V966" s="85" t="n"/>
      <c r="W966" s="85" t="n"/>
      <c r="X966" s="85" t="n"/>
      <c r="Y966" s="85" t="n"/>
      <c r="Z966" s="85" t="n"/>
    </row>
    <row r="967" ht="15.75" customHeight="1" s="86">
      <c r="T967" s="85" t="n"/>
      <c r="U967" s="85" t="n"/>
      <c r="V967" s="85" t="n"/>
      <c r="W967" s="85" t="n"/>
      <c r="X967" s="85" t="n"/>
      <c r="Y967" s="85" t="n"/>
      <c r="Z967" s="85" t="n"/>
    </row>
    <row r="968" ht="15.75" customHeight="1" s="86">
      <c r="T968" s="85" t="n"/>
      <c r="U968" s="85" t="n"/>
      <c r="V968" s="85" t="n"/>
      <c r="W968" s="85" t="n"/>
      <c r="X968" s="85" t="n"/>
      <c r="Y968" s="85" t="n"/>
      <c r="Z968" s="85" t="n"/>
    </row>
    <row r="969" ht="15.75" customHeight="1" s="86">
      <c r="T969" s="85" t="n"/>
      <c r="U969" s="85" t="n"/>
      <c r="V969" s="85" t="n"/>
      <c r="W969" s="85" t="n"/>
      <c r="X969" s="85" t="n"/>
      <c r="Y969" s="85" t="n"/>
      <c r="Z969" s="85" t="n"/>
    </row>
    <row r="970" ht="15.75" customHeight="1" s="86">
      <c r="T970" s="85" t="n"/>
      <c r="U970" s="85" t="n"/>
      <c r="V970" s="85" t="n"/>
      <c r="W970" s="85" t="n"/>
      <c r="X970" s="85" t="n"/>
      <c r="Y970" s="85" t="n"/>
      <c r="Z970" s="85" t="n"/>
    </row>
    <row r="971" ht="15.75" customHeight="1" s="86">
      <c r="T971" s="85" t="n"/>
      <c r="U971" s="85" t="n"/>
      <c r="V971" s="85" t="n"/>
      <c r="W971" s="85" t="n"/>
      <c r="X971" s="85" t="n"/>
      <c r="Y971" s="85" t="n"/>
      <c r="Z971" s="85" t="n"/>
    </row>
    <row r="972" ht="15.75" customHeight="1" s="86">
      <c r="T972" s="85" t="n"/>
      <c r="U972" s="85" t="n"/>
      <c r="V972" s="85" t="n"/>
      <c r="W972" s="85" t="n"/>
      <c r="X972" s="85" t="n"/>
      <c r="Y972" s="85" t="n"/>
      <c r="Z972" s="85" t="n"/>
    </row>
    <row r="973" ht="15.75" customHeight="1" s="86">
      <c r="T973" s="85" t="n"/>
      <c r="U973" s="85" t="n"/>
      <c r="V973" s="85" t="n"/>
      <c r="W973" s="85" t="n"/>
      <c r="X973" s="85" t="n"/>
      <c r="Y973" s="85" t="n"/>
      <c r="Z973" s="85" t="n"/>
    </row>
    <row r="974" ht="15.75" customHeight="1" s="86">
      <c r="T974" s="85" t="n"/>
      <c r="U974" s="85" t="n"/>
      <c r="V974" s="85" t="n"/>
      <c r="W974" s="85" t="n"/>
      <c r="X974" s="85" t="n"/>
      <c r="Y974" s="85" t="n"/>
      <c r="Z974" s="85" t="n"/>
    </row>
    <row r="975" ht="15.75" customHeight="1" s="86">
      <c r="T975" s="85" t="n"/>
      <c r="U975" s="85" t="n"/>
      <c r="V975" s="85" t="n"/>
      <c r="W975" s="85" t="n"/>
      <c r="X975" s="85" t="n"/>
      <c r="Y975" s="85" t="n"/>
      <c r="Z975" s="85" t="n"/>
    </row>
    <row r="976" ht="15.75" customHeight="1" s="86">
      <c r="T976" s="85" t="n"/>
      <c r="U976" s="85" t="n"/>
      <c r="V976" s="85" t="n"/>
      <c r="W976" s="85" t="n"/>
      <c r="X976" s="85" t="n"/>
      <c r="Y976" s="85" t="n"/>
      <c r="Z976" s="85" t="n"/>
    </row>
    <row r="977" ht="15.75" customHeight="1" s="86">
      <c r="T977" s="85" t="n"/>
      <c r="U977" s="85" t="n"/>
      <c r="V977" s="85" t="n"/>
      <c r="W977" s="85" t="n"/>
      <c r="X977" s="85" t="n"/>
      <c r="Y977" s="85" t="n"/>
      <c r="Z977" s="85" t="n"/>
    </row>
    <row r="978" ht="15.75" customHeight="1" s="86">
      <c r="T978" s="85" t="n"/>
      <c r="U978" s="85" t="n"/>
      <c r="V978" s="85" t="n"/>
      <c r="W978" s="85" t="n"/>
      <c r="X978" s="85" t="n"/>
      <c r="Y978" s="85" t="n"/>
      <c r="Z978" s="85" t="n"/>
    </row>
    <row r="979" ht="15.75" customHeight="1" s="86">
      <c r="T979" s="85" t="n"/>
      <c r="U979" s="85" t="n"/>
      <c r="V979" s="85" t="n"/>
      <c r="W979" s="85" t="n"/>
      <c r="X979" s="85" t="n"/>
      <c r="Y979" s="85" t="n"/>
      <c r="Z979" s="85" t="n"/>
    </row>
    <row r="980" ht="15.75" customHeight="1" s="86">
      <c r="T980" s="85" t="n"/>
      <c r="U980" s="85" t="n"/>
      <c r="V980" s="85" t="n"/>
      <c r="W980" s="85" t="n"/>
      <c r="X980" s="85" t="n"/>
      <c r="Y980" s="85" t="n"/>
      <c r="Z980" s="85" t="n"/>
    </row>
    <row r="981" ht="15.75" customHeight="1" s="86">
      <c r="T981" s="85" t="n"/>
      <c r="U981" s="85" t="n"/>
      <c r="V981" s="85" t="n"/>
      <c r="W981" s="85" t="n"/>
      <c r="X981" s="85" t="n"/>
      <c r="Y981" s="85" t="n"/>
      <c r="Z981" s="85" t="n"/>
    </row>
    <row r="982" ht="15.75" customHeight="1" s="86">
      <c r="T982" s="85" t="n"/>
      <c r="U982" s="85" t="n"/>
      <c r="V982" s="85" t="n"/>
      <c r="W982" s="85" t="n"/>
      <c r="X982" s="85" t="n"/>
      <c r="Y982" s="85" t="n"/>
      <c r="Z982" s="85" t="n"/>
    </row>
    <row r="983" ht="15.75" customHeight="1" s="86">
      <c r="T983" s="85" t="n"/>
      <c r="U983" s="85" t="n"/>
      <c r="V983" s="85" t="n"/>
      <c r="W983" s="85" t="n"/>
      <c r="X983" s="85" t="n"/>
      <c r="Y983" s="85" t="n"/>
      <c r="Z983" s="85" t="n"/>
    </row>
    <row r="984" ht="15.75" customHeight="1" s="86">
      <c r="T984" s="85" t="n"/>
      <c r="U984" s="85" t="n"/>
      <c r="V984" s="85" t="n"/>
      <c r="W984" s="85" t="n"/>
      <c r="X984" s="85" t="n"/>
      <c r="Y984" s="85" t="n"/>
      <c r="Z984" s="85" t="n"/>
    </row>
    <row r="985" ht="15.75" customHeight="1" s="86">
      <c r="T985" s="85" t="n"/>
      <c r="U985" s="85" t="n"/>
      <c r="V985" s="85" t="n"/>
      <c r="W985" s="85" t="n"/>
      <c r="X985" s="85" t="n"/>
      <c r="Y985" s="85" t="n"/>
      <c r="Z985" s="85" t="n"/>
    </row>
    <row r="986" ht="15.75" customHeight="1" s="86">
      <c r="T986" s="85" t="n"/>
      <c r="U986" s="85" t="n"/>
      <c r="V986" s="85" t="n"/>
      <c r="W986" s="85" t="n"/>
      <c r="X986" s="85" t="n"/>
      <c r="Y986" s="85" t="n"/>
      <c r="Z986" s="85" t="n"/>
    </row>
    <row r="987" ht="15.75" customHeight="1" s="86">
      <c r="T987" s="85" t="n"/>
      <c r="U987" s="85" t="n"/>
      <c r="V987" s="85" t="n"/>
      <c r="W987" s="85" t="n"/>
      <c r="X987" s="85" t="n"/>
      <c r="Y987" s="85" t="n"/>
      <c r="Z987" s="85" t="n"/>
    </row>
    <row r="988" ht="15.75" customHeight="1" s="86">
      <c r="T988" s="85" t="n"/>
      <c r="U988" s="85" t="n"/>
      <c r="V988" s="85" t="n"/>
      <c r="W988" s="85" t="n"/>
      <c r="X988" s="85" t="n"/>
      <c r="Y988" s="85" t="n"/>
      <c r="Z988" s="85" t="n"/>
    </row>
    <row r="989" ht="15.75" customHeight="1" s="86">
      <c r="T989" s="85" t="n"/>
      <c r="U989" s="85" t="n"/>
      <c r="V989" s="85" t="n"/>
      <c r="W989" s="85" t="n"/>
      <c r="X989" s="85" t="n"/>
      <c r="Y989" s="85" t="n"/>
      <c r="Z989" s="85" t="n"/>
    </row>
    <row r="990" ht="15.75" customHeight="1" s="86">
      <c r="T990" s="85" t="n"/>
      <c r="U990" s="85" t="n"/>
      <c r="V990" s="85" t="n"/>
      <c r="W990" s="85" t="n"/>
      <c r="X990" s="85" t="n"/>
      <c r="Y990" s="85" t="n"/>
      <c r="Z990" s="85" t="n"/>
    </row>
    <row r="991" ht="15.75" customHeight="1" s="86">
      <c r="T991" s="85" t="n"/>
      <c r="U991" s="85" t="n"/>
      <c r="V991" s="85" t="n"/>
      <c r="W991" s="85" t="n"/>
      <c r="X991" s="85" t="n"/>
      <c r="Y991" s="85" t="n"/>
      <c r="Z991" s="85" t="n"/>
    </row>
    <row r="992" ht="15.75" customHeight="1" s="86">
      <c r="T992" s="85" t="n"/>
      <c r="U992" s="85" t="n"/>
      <c r="V992" s="85" t="n"/>
      <c r="W992" s="85" t="n"/>
      <c r="X992" s="85" t="n"/>
      <c r="Y992" s="85" t="n"/>
      <c r="Z992" s="85" t="n"/>
    </row>
    <row r="993" ht="15.75" customHeight="1" s="86">
      <c r="T993" s="85" t="n"/>
      <c r="U993" s="85" t="n"/>
      <c r="V993" s="85" t="n"/>
      <c r="W993" s="85" t="n"/>
      <c r="X993" s="85" t="n"/>
      <c r="Y993" s="85" t="n"/>
      <c r="Z993" s="85" t="n"/>
    </row>
    <row r="994" ht="15.75" customHeight="1" s="86">
      <c r="T994" s="85" t="n"/>
      <c r="U994" s="85" t="n"/>
      <c r="V994" s="85" t="n"/>
      <c r="W994" s="85" t="n"/>
      <c r="X994" s="85" t="n"/>
      <c r="Y994" s="85" t="n"/>
      <c r="Z994" s="85" t="n"/>
    </row>
    <row r="995" ht="15.75" customHeight="1" s="86">
      <c r="T995" s="85" t="n"/>
      <c r="U995" s="85" t="n"/>
      <c r="V995" s="85" t="n"/>
      <c r="W995" s="85" t="n"/>
      <c r="X995" s="85" t="n"/>
      <c r="Y995" s="85" t="n"/>
      <c r="Z995" s="85" t="n"/>
    </row>
    <row r="996" ht="15.75" customHeight="1" s="86">
      <c r="T996" s="85" t="n"/>
      <c r="U996" s="85" t="n"/>
      <c r="V996" s="85" t="n"/>
      <c r="W996" s="85" t="n"/>
      <c r="X996" s="85" t="n"/>
      <c r="Y996" s="85" t="n"/>
      <c r="Z996" s="85" t="n"/>
    </row>
    <row r="997" ht="15.75" customHeight="1" s="86">
      <c r="T997" s="85" t="n"/>
      <c r="U997" s="85" t="n"/>
      <c r="V997" s="85" t="n"/>
      <c r="W997" s="85" t="n"/>
      <c r="X997" s="85" t="n"/>
      <c r="Y997" s="85" t="n"/>
      <c r="Z997" s="85" t="n"/>
    </row>
    <row r="998" ht="15.75" customHeight="1" s="86">
      <c r="T998" s="85" t="n"/>
      <c r="U998" s="85" t="n"/>
      <c r="V998" s="85" t="n"/>
      <c r="W998" s="85" t="n"/>
      <c r="X998" s="85" t="n"/>
      <c r="Y998" s="85" t="n"/>
      <c r="Z998" s="85" t="n"/>
    </row>
    <row r="999" ht="15.75" customHeight="1" s="86">
      <c r="T999" s="85" t="n"/>
      <c r="U999" s="85" t="n"/>
      <c r="V999" s="85" t="n"/>
      <c r="W999" s="85" t="n"/>
      <c r="X999" s="85" t="n"/>
      <c r="Y999" s="85" t="n"/>
      <c r="Z999" s="85" t="n"/>
    </row>
    <row r="1000" ht="15.75" customHeight="1" s="86">
      <c r="T1000" s="85" t="n"/>
      <c r="U1000" s="85" t="n"/>
      <c r="V1000" s="85" t="n"/>
      <c r="W1000" s="85" t="n"/>
      <c r="X1000" s="85" t="n"/>
      <c r="Y1000" s="85" t="n"/>
      <c r="Z1000" s="85" t="n"/>
    </row>
    <row r="1001" ht="15" customHeight="1" s="86">
      <c r="T1001" s="85" t="n"/>
      <c r="U1001" s="85" t="n"/>
      <c r="V1001" s="85" t="n"/>
      <c r="W1001" s="85" t="n"/>
      <c r="X1001" s="85" t="n"/>
      <c r="Y1001" s="85" t="n"/>
      <c r="Z1001" s="85" t="n"/>
    </row>
    <row r="1002" ht="15" customHeight="1" s="86">
      <c r="T1002" s="85" t="n"/>
      <c r="U1002" s="85" t="n"/>
      <c r="V1002" s="85" t="n"/>
      <c r="W1002" s="85" t="n"/>
      <c r="X1002" s="85" t="n"/>
      <c r="Y1002" s="85" t="n"/>
      <c r="Z1002" s="8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4">
    <mergeCell ref="A9:H9"/>
    <mergeCell ref="A4:H4"/>
    <mergeCell ref="C6:H6"/>
    <mergeCell ref="C10:H10"/>
    <mergeCell ref="C11:H11"/>
    <mergeCell ref="C16:H16"/>
    <mergeCell ref="A1:H1"/>
    <mergeCell ref="A15:H15"/>
    <mergeCell ref="C5:H5"/>
    <mergeCell ref="A2:H2"/>
    <mergeCell ref="C13:H13"/>
    <mergeCell ref="C17:H17"/>
    <mergeCell ref="C12:H12"/>
    <mergeCell ref="C7:H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" customWidth="1" style="85" min="1" max="1"/>
    <col width="22" customWidth="1" style="85" min="2" max="2"/>
    <col width="10" customWidth="1" style="85" min="3" max="3"/>
    <col width="22" customWidth="1" style="85" min="4" max="4"/>
    <col width="13.57" customWidth="1" style="85" min="5" max="5"/>
    <col width="12" customWidth="1" style="85" min="6" max="6"/>
    <col hidden="1" width="2" customWidth="1" style="85" min="7" max="7"/>
    <col hidden="1" width="20" customWidth="1" style="85" min="8" max="8"/>
    <col hidden="1" width="13" customWidth="1" style="85" min="9" max="9"/>
    <col hidden="1" width="2" customWidth="1" style="85" min="10" max="10"/>
    <col hidden="1" width="22" customWidth="1" style="85" min="11" max="11"/>
    <col hidden="1" width="10" customWidth="1" style="85" min="12" max="12"/>
    <col width="22" customWidth="1" style="85" min="13" max="13"/>
    <col width="14" customWidth="1" style="85" min="14" max="14"/>
    <col width="8.710000000000001" customWidth="1" style="85" min="15" max="19"/>
  </cols>
  <sheetData>
    <row r="1" ht="42" customHeight="1" s="86">
      <c r="A1" s="87" t="inlineStr">
        <is>
          <t>Setup</t>
        </is>
      </c>
      <c r="M1" s="88" t="n"/>
      <c r="N1" s="88" t="n"/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  <c r="Z1" s="88" t="n"/>
    </row>
    <row r="2" ht="21.75" customHeight="1" s="86">
      <c r="A2" s="89" t="inlineStr">
        <is>
          <t>Edit once — your year, currency, categories and accounts.</t>
        </is>
      </c>
      <c r="M2" s="166" t="inlineStr">
        <is>
          <t>COUPLE SETUP</t>
        </is>
      </c>
      <c r="N2" s="88" t="n"/>
      <c r="O2" s="88" t="n"/>
      <c r="P2" s="88" t="n"/>
      <c r="Q2" s="88" t="n"/>
      <c r="R2" s="88" t="n"/>
      <c r="S2" s="88" t="n"/>
      <c r="T2" s="88" t="n"/>
      <c r="U2" s="88" t="n"/>
      <c r="V2" s="88" t="n"/>
      <c r="W2" s="88" t="n"/>
      <c r="X2" s="88" t="n"/>
      <c r="Y2" s="88" t="n"/>
      <c r="Z2" s="88" t="n"/>
    </row>
    <row r="3" ht="15" customHeight="1" s="86">
      <c r="A3" s="88" t="n"/>
      <c r="B3" s="88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167" t="inlineStr">
        <is>
          <t>Partner A name</t>
        </is>
      </c>
      <c r="N3" s="183" t="inlineStr">
        <is>
          <t>Alex</t>
        </is>
      </c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</row>
    <row r="4" ht="15" customHeight="1" s="86">
      <c r="A4" s="88" t="n"/>
      <c r="B4" s="91" t="inlineStr">
        <is>
          <t>Currency</t>
        </is>
      </c>
      <c r="C4" s="95" t="inlineStr">
        <is>
          <t>$</t>
        </is>
      </c>
      <c r="D4" s="88" t="n"/>
      <c r="E4" s="91" t="inlineStr">
        <is>
          <t>Budget year</t>
        </is>
      </c>
      <c r="F4" s="96" t="n">
        <v>2026</v>
      </c>
      <c r="G4" s="88" t="n"/>
      <c r="H4" s="91" t="inlineStr">
        <is>
          <t>Monthly income (for 50/30/20)</t>
        </is>
      </c>
      <c r="I4" s="88" t="n"/>
      <c r="J4" s="97" t="n"/>
      <c r="K4" s="88" t="n"/>
      <c r="L4" s="88" t="n"/>
      <c r="M4" s="167" t="inlineStr">
        <is>
          <t>Partner B name</t>
        </is>
      </c>
      <c r="N4" s="183" t="inlineStr">
        <is>
          <t>Sam</t>
        </is>
      </c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</row>
    <row r="5" ht="15" customHeight="1" s="86">
      <c r="A5" s="88" t="n"/>
      <c r="B5" s="88" t="n"/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</row>
    <row r="6" ht="27.75" customHeight="1" s="86">
      <c r="A6" s="88" t="n"/>
      <c r="B6" s="98" t="inlineStr">
        <is>
          <t>INCOME SOURCES</t>
        </is>
      </c>
      <c r="C6" s="88" t="n"/>
      <c r="D6" s="99" t="inlineStr">
        <is>
          <t>EXPENSE CATEGORIES</t>
        </is>
      </c>
      <c r="E6" s="88" t="n"/>
      <c r="F6" s="100" t="inlineStr">
        <is>
          <t>ACCOUNTS</t>
        </is>
      </c>
      <c r="G6" s="88" t="n"/>
      <c r="H6" s="101" t="inlineStr">
        <is>
          <t>CATEGORY</t>
        </is>
      </c>
      <c r="I6" s="101" t="inlineStr">
        <is>
          <t>50/30/20 type</t>
        </is>
      </c>
      <c r="J6" s="88" t="n"/>
      <c r="K6" s="101" t="inlineStr">
        <is>
          <t>all categories (dropdown)</t>
        </is>
      </c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</row>
    <row r="7" ht="15" customHeight="1" s="86">
      <c r="A7" s="88" t="n"/>
      <c r="B7" s="102" t="inlineStr">
        <is>
          <t>Salary</t>
        </is>
      </c>
      <c r="C7" s="88" t="n"/>
      <c r="D7" s="102" t="inlineStr">
        <is>
          <t>Rent or Mortgage</t>
        </is>
      </c>
      <c r="E7" s="88" t="n"/>
      <c r="F7" s="102" t="inlineStr">
        <is>
          <t>Checking</t>
        </is>
      </c>
      <c r="G7" s="88" t="n"/>
      <c r="H7" s="103">
        <f>IF(D7="","",D7)</f>
        <v/>
      </c>
      <c r="I7" s="95" t="inlineStr">
        <is>
          <t>needs</t>
        </is>
      </c>
      <c r="J7" s="88" t="n"/>
      <c r="K7" s="104" t="inlineStr">
        <is>
          <t>Salary</t>
        </is>
      </c>
      <c r="L7" s="88" t="n"/>
      <c r="M7" s="187" t="inlineStr">
        <is>
          <t>Paid-by options</t>
        </is>
      </c>
      <c r="N7" s="169">
        <f>IF($N$3="","Partner A",$N$3)</f>
        <v/>
      </c>
      <c r="O7" s="88" t="n"/>
      <c r="P7" s="88" t="n"/>
      <c r="Q7" s="88" t="n"/>
      <c r="R7" s="88" t="n"/>
      <c r="S7" s="88" t="n"/>
      <c r="T7" s="88" t="n"/>
      <c r="U7" s="88" t="n"/>
      <c r="V7" s="88" t="n"/>
      <c r="W7" s="88" t="n"/>
      <c r="X7" s="88" t="n"/>
      <c r="Y7" s="88" t="n"/>
      <c r="Z7" s="88" t="n"/>
    </row>
    <row r="8" ht="15" customHeight="1" s="86">
      <c r="A8" s="88" t="n"/>
      <c r="B8" s="102" t="inlineStr">
        <is>
          <t>Side income</t>
        </is>
      </c>
      <c r="C8" s="88" t="n"/>
      <c r="D8" s="102" t="inlineStr">
        <is>
          <t>Utilities</t>
        </is>
      </c>
      <c r="E8" s="88" t="n"/>
      <c r="F8" s="102" t="inlineStr">
        <is>
          <t>Savings</t>
        </is>
      </c>
      <c r="G8" s="88" t="n"/>
      <c r="H8" s="103">
        <f>IF(D8="","",D8)</f>
        <v/>
      </c>
      <c r="I8" s="95" t="inlineStr">
        <is>
          <t>needs</t>
        </is>
      </c>
      <c r="J8" s="88" t="n"/>
      <c r="K8" s="104" t="inlineStr">
        <is>
          <t>Side income</t>
        </is>
      </c>
      <c r="L8" s="88" t="n"/>
      <c r="M8" s="88" t="n"/>
      <c r="N8" s="169">
        <f>IF($N$4="","Partner B",$N$4)</f>
        <v/>
      </c>
      <c r="O8" s="88" t="n"/>
      <c r="P8" s="88" t="n"/>
      <c r="Q8" s="88" t="n"/>
      <c r="R8" s="88" t="n"/>
      <c r="S8" s="88" t="n"/>
      <c r="T8" s="88" t="n"/>
      <c r="U8" s="88" t="n"/>
      <c r="V8" s="88" t="n"/>
      <c r="W8" s="88" t="n"/>
      <c r="X8" s="88" t="n"/>
      <c r="Y8" s="88" t="n"/>
      <c r="Z8" s="88" t="n"/>
    </row>
    <row r="9" ht="15" customHeight="1" s="86">
      <c r="A9" s="88" t="n"/>
      <c r="B9" s="102" t="inlineStr">
        <is>
          <t>Other income</t>
        </is>
      </c>
      <c r="C9" s="88" t="n"/>
      <c r="D9" s="102" t="inlineStr">
        <is>
          <t>Groceries</t>
        </is>
      </c>
      <c r="E9" s="88" t="n"/>
      <c r="F9" s="102" t="inlineStr">
        <is>
          <t>Cash</t>
        </is>
      </c>
      <c r="G9" s="88" t="n"/>
      <c r="H9" s="103">
        <f>IF(D9="","",D9)</f>
        <v/>
      </c>
      <c r="I9" s="95" t="inlineStr">
        <is>
          <t>needs</t>
        </is>
      </c>
      <c r="J9" s="88" t="n"/>
      <c r="K9" s="104" t="inlineStr">
        <is>
          <t>Other income</t>
        </is>
      </c>
      <c r="L9" s="88" t="n"/>
      <c r="M9" s="88" t="n"/>
      <c r="N9" s="169" t="inlineStr">
        <is>
          <t>Joint</t>
        </is>
      </c>
      <c r="O9" s="88" t="n"/>
      <c r="P9" s="88" t="n"/>
      <c r="Q9" s="88" t="n"/>
      <c r="R9" s="88" t="n"/>
      <c r="S9" s="88" t="n"/>
      <c r="T9" s="88" t="n"/>
      <c r="U9" s="88" t="n"/>
      <c r="V9" s="88" t="n"/>
      <c r="W9" s="88" t="n"/>
      <c r="X9" s="88" t="n"/>
      <c r="Y9" s="88" t="n"/>
      <c r="Z9" s="88" t="n"/>
    </row>
    <row r="10" ht="15" customHeight="1" s="86">
      <c r="A10" s="88" t="n"/>
      <c r="B10" s="102" t="n"/>
      <c r="C10" s="88" t="n"/>
      <c r="D10" s="102" t="inlineStr">
        <is>
          <t>Transport</t>
        </is>
      </c>
      <c r="E10" s="88" t="n"/>
      <c r="F10" s="102" t="inlineStr">
        <is>
          <t>Credit Card</t>
        </is>
      </c>
      <c r="G10" s="88" t="n"/>
      <c r="H10" s="103">
        <f>IF(D10="","",D10)</f>
        <v/>
      </c>
      <c r="I10" s="95" t="inlineStr">
        <is>
          <t>needs</t>
        </is>
      </c>
      <c r="J10" s="88" t="n"/>
      <c r="K10" s="104" t="inlineStr">
        <is>
          <t>Rent or Mortgage</t>
        </is>
      </c>
      <c r="L10" s="88" t="n"/>
      <c r="M10" s="88" t="n"/>
      <c r="N10" s="88" t="n"/>
      <c r="O10" s="88" t="n"/>
      <c r="P10" s="88" t="n"/>
      <c r="Q10" s="88" t="n"/>
      <c r="R10" s="88" t="n"/>
      <c r="S10" s="88" t="n"/>
      <c r="T10" s="88" t="n"/>
      <c r="U10" s="88" t="n"/>
      <c r="V10" s="88" t="n"/>
      <c r="W10" s="88" t="n"/>
      <c r="X10" s="88" t="n"/>
      <c r="Y10" s="88" t="n"/>
      <c r="Z10" s="88" t="n"/>
    </row>
    <row r="11" ht="15" customHeight="1" s="86">
      <c r="A11" s="88" t="n"/>
      <c r="B11" s="88" t="n"/>
      <c r="C11" s="88" t="n"/>
      <c r="D11" s="102" t="inlineStr">
        <is>
          <t>Dining out</t>
        </is>
      </c>
      <c r="E11" s="88" t="n"/>
      <c r="F11" s="102" t="n"/>
      <c r="G11" s="88" t="n"/>
      <c r="H11" s="103">
        <f>IF(D11="","",D11)</f>
        <v/>
      </c>
      <c r="I11" s="95" t="inlineStr">
        <is>
          <t>wants</t>
        </is>
      </c>
      <c r="J11" s="88" t="n"/>
      <c r="K11" s="104" t="inlineStr">
        <is>
          <t>Utilities</t>
        </is>
      </c>
      <c r="L11" s="88" t="n"/>
      <c r="M11" s="167" t="inlineStr">
        <is>
          <t>Partner A income /mo</t>
        </is>
      </c>
      <c r="N11" s="183">
        <v>5200</v>
      </c>
      <c r="O11" s="88" t="n"/>
      <c r="P11" s="88" t="n"/>
      <c r="Q11" s="88" t="n"/>
      <c r="R11" s="88" t="n"/>
      <c r="S11" s="88" t="n"/>
      <c r="T11" s="88" t="n"/>
      <c r="U11" s="88" t="n"/>
      <c r="V11" s="88" t="n"/>
      <c r="W11" s="88" t="n"/>
      <c r="X11" s="88" t="n"/>
      <c r="Y11" s="88" t="n"/>
      <c r="Z11" s="88" t="n"/>
    </row>
    <row r="12" ht="15" customHeight="1" s="86">
      <c r="A12" s="88" t="n"/>
      <c r="B12" s="88" t="n"/>
      <c r="C12" s="88" t="n"/>
      <c r="D12" s="102" t="inlineStr">
        <is>
          <t>Subscriptions</t>
        </is>
      </c>
      <c r="E12" s="88" t="n"/>
      <c r="F12" s="102" t="n"/>
      <c r="G12" s="88" t="n"/>
      <c r="H12" s="103">
        <f>IF(D12="","",D12)</f>
        <v/>
      </c>
      <c r="I12" s="95" t="inlineStr">
        <is>
          <t>wants</t>
        </is>
      </c>
      <c r="J12" s="88" t="n"/>
      <c r="K12" s="104" t="inlineStr">
        <is>
          <t>Groceries</t>
        </is>
      </c>
      <c r="L12" s="88" t="n"/>
      <c r="M12" s="167" t="inlineStr">
        <is>
          <t>Partner B income /mo</t>
        </is>
      </c>
      <c r="N12" s="183">
        <v>3800</v>
      </c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 t="n"/>
      <c r="Z12" s="88" t="n"/>
    </row>
    <row r="13" ht="15" customHeight="1" s="86">
      <c r="A13" s="88" t="n"/>
      <c r="B13" s="88" t="n"/>
      <c r="C13" s="88" t="n"/>
      <c r="D13" s="102" t="inlineStr">
        <is>
          <t>Health</t>
        </is>
      </c>
      <c r="E13" s="88" t="n"/>
      <c r="F13" s="88" t="n"/>
      <c r="G13" s="88" t="n"/>
      <c r="H13" s="103">
        <f>IF(D13="","",D13)</f>
        <v/>
      </c>
      <c r="I13" s="95" t="inlineStr">
        <is>
          <t>needs</t>
        </is>
      </c>
      <c r="J13" s="88" t="n"/>
      <c r="K13" s="104" t="inlineStr">
        <is>
          <t>Transport</t>
        </is>
      </c>
      <c r="L13" s="88" t="n"/>
      <c r="M13" s="167" t="inlineStr">
        <is>
          <t>Split mode</t>
        </is>
      </c>
      <c r="N13" s="183" t="inlineStr">
        <is>
          <t>By income</t>
        </is>
      </c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  <c r="Y13" s="88" t="n"/>
      <c r="Z13" s="88" t="n"/>
    </row>
    <row r="14" ht="15" customHeight="1" s="86">
      <c r="A14" s="88" t="n"/>
      <c r="B14" s="88" t="n"/>
      <c r="C14" s="88" t="n"/>
      <c r="D14" s="102" t="inlineStr">
        <is>
          <t>Insurance</t>
        </is>
      </c>
      <c r="E14" s="88" t="n"/>
      <c r="F14" s="88" t="n"/>
      <c r="G14" s="88" t="n"/>
      <c r="H14" s="103">
        <f>IF(D14="","",D14)</f>
        <v/>
      </c>
      <c r="I14" s="95" t="inlineStr">
        <is>
          <t>needs</t>
        </is>
      </c>
      <c r="J14" s="88" t="n"/>
      <c r="K14" s="104" t="inlineStr">
        <is>
          <t>Dining out</t>
        </is>
      </c>
      <c r="L14" s="88" t="n"/>
      <c r="M14" s="167" t="inlineStr">
        <is>
          <t>Custom Partner A %</t>
        </is>
      </c>
      <c r="N14" s="183" t="n">
        <v>50</v>
      </c>
      <c r="O14" s="88" t="n"/>
      <c r="P14" s="88" t="n"/>
      <c r="Q14" s="88" t="n"/>
      <c r="R14" s="88" t="n"/>
      <c r="S14" s="88" t="n"/>
      <c r="T14" s="88" t="n"/>
      <c r="U14" s="88" t="n"/>
      <c r="V14" s="88" t="n"/>
      <c r="W14" s="88" t="n"/>
      <c r="X14" s="88" t="n"/>
      <c r="Y14" s="88" t="n"/>
      <c r="Z14" s="88" t="n"/>
    </row>
    <row r="15" ht="15" customHeight="1" s="86">
      <c r="A15" s="88" t="n"/>
      <c r="B15" s="88" t="n"/>
      <c r="C15" s="88" t="n"/>
      <c r="D15" s="102" t="inlineStr">
        <is>
          <t>Phone and Internet</t>
        </is>
      </c>
      <c r="E15" s="88" t="n"/>
      <c r="F15" s="88" t="n"/>
      <c r="G15" s="88" t="n"/>
      <c r="H15" s="103">
        <f>IF(D15="","",D15)</f>
        <v/>
      </c>
      <c r="I15" s="95" t="inlineStr">
        <is>
          <t>needs</t>
        </is>
      </c>
      <c r="J15" s="88" t="n"/>
      <c r="K15" s="104" t="inlineStr">
        <is>
          <t>Subscriptions</t>
        </is>
      </c>
      <c r="L15" s="88" t="n"/>
      <c r="M15" s="88" t="n"/>
      <c r="N15" s="88" t="n"/>
      <c r="O15" s="88" t="n"/>
      <c r="P15" s="88" t="n"/>
      <c r="Q15" s="88" t="n"/>
      <c r="R15" s="88" t="n"/>
      <c r="S15" s="88" t="n"/>
      <c r="T15" s="88" t="n"/>
      <c r="U15" s="88" t="n"/>
      <c r="V15" s="88" t="n"/>
      <c r="W15" s="88" t="n"/>
      <c r="X15" s="88" t="n"/>
      <c r="Y15" s="88" t="n"/>
      <c r="Z15" s="88" t="n"/>
    </row>
    <row r="16" ht="15" customHeight="1" s="86">
      <c r="A16" s="88" t="n"/>
      <c r="B16" s="88" t="n"/>
      <c r="C16" s="88" t="n"/>
      <c r="D16" s="102" t="inlineStr">
        <is>
          <t>Shopping</t>
        </is>
      </c>
      <c r="E16" s="88" t="n"/>
      <c r="F16" s="88" t="n"/>
      <c r="G16" s="88" t="n"/>
      <c r="H16" s="103">
        <f>IF(D16="","",D16)</f>
        <v/>
      </c>
      <c r="I16" s="95" t="inlineStr">
        <is>
          <t>wants</t>
        </is>
      </c>
      <c r="J16" s="88" t="n"/>
      <c r="K16" s="104" t="inlineStr">
        <is>
          <t>Health</t>
        </is>
      </c>
      <c r="L16" s="88" t="n"/>
      <c r="M16" s="167" t="inlineStr">
        <is>
          <t>Partner A share</t>
        </is>
      </c>
      <c r="N16" s="170">
        <f>IF(N13="50/50",0.5,IF(N13="By income",IF((N11+N12)=0,0.5,N11/(N11+N12)),IF(N13="Custom",N14/100,0.5)))</f>
        <v/>
      </c>
      <c r="O16" s="88" t="n"/>
      <c r="P16" s="88" t="n"/>
      <c r="Q16" s="88" t="n"/>
      <c r="R16" s="88" t="n"/>
      <c r="S16" s="88" t="n"/>
      <c r="T16" s="88" t="n"/>
      <c r="U16" s="88" t="n"/>
      <c r="V16" s="88" t="n"/>
      <c r="W16" s="88" t="n"/>
      <c r="X16" s="88" t="n"/>
      <c r="Y16" s="88" t="n"/>
      <c r="Z16" s="88" t="n"/>
    </row>
    <row r="17" ht="15" customHeight="1" s="86">
      <c r="A17" s="88" t="n"/>
      <c r="B17" s="88" t="n"/>
      <c r="C17" s="88" t="n"/>
      <c r="D17" s="102" t="inlineStr">
        <is>
          <t>Fun and Leisure</t>
        </is>
      </c>
      <c r="E17" s="88" t="n"/>
      <c r="F17" s="88" t="n"/>
      <c r="G17" s="88" t="n"/>
      <c r="H17" s="103">
        <f>IF(D17="","",D17)</f>
        <v/>
      </c>
      <c r="I17" s="95" t="inlineStr">
        <is>
          <t>wants</t>
        </is>
      </c>
      <c r="J17" s="88" t="n"/>
      <c r="K17" s="104" t="inlineStr">
        <is>
          <t>Insurance</t>
        </is>
      </c>
      <c r="L17" s="88" t="n"/>
      <c r="M17" s="167" t="inlineStr">
        <is>
          <t>Partner B share</t>
        </is>
      </c>
      <c r="N17" s="170">
        <f>1-N16</f>
        <v/>
      </c>
      <c r="O17" s="88" t="n"/>
      <c r="P17" s="88" t="n"/>
      <c r="Q17" s="88" t="n"/>
      <c r="R17" s="88" t="n"/>
      <c r="S17" s="88" t="n"/>
      <c r="T17" s="88" t="n"/>
      <c r="U17" s="88" t="n"/>
      <c r="V17" s="88" t="n"/>
      <c r="W17" s="88" t="n"/>
      <c r="X17" s="88" t="n"/>
      <c r="Y17" s="88" t="n"/>
      <c r="Z17" s="88" t="n"/>
    </row>
    <row r="18" ht="15" customHeight="1" s="86">
      <c r="A18" s="88" t="n"/>
      <c r="B18" s="88" t="n"/>
      <c r="C18" s="88" t="n"/>
      <c r="D18" s="102" t="inlineStr">
        <is>
          <t>Gifts</t>
        </is>
      </c>
      <c r="E18" s="88" t="n"/>
      <c r="F18" s="88" t="n"/>
      <c r="G18" s="88" t="n"/>
      <c r="H18" s="103">
        <f>IF(D18="","",D18)</f>
        <v/>
      </c>
      <c r="I18" s="95" t="inlineStr">
        <is>
          <t>wants</t>
        </is>
      </c>
      <c r="J18" s="88" t="n"/>
      <c r="K18" s="104" t="inlineStr">
        <is>
          <t>Phone and Internet</t>
        </is>
      </c>
      <c r="L18" s="88" t="n"/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  <c r="Y18" s="88" t="n"/>
      <c r="Z18" s="88" t="n"/>
    </row>
    <row r="19" ht="15" customHeight="1" s="86">
      <c r="A19" s="88" t="n"/>
      <c r="B19" s="88" t="n"/>
      <c r="C19" s="88" t="n"/>
      <c r="D19" s="102" t="inlineStr">
        <is>
          <t>Savings</t>
        </is>
      </c>
      <c r="E19" s="88" t="n"/>
      <c r="F19" s="88" t="n"/>
      <c r="G19" s="88" t="n"/>
      <c r="H19" s="103">
        <f>IF(D19="","",D19)</f>
        <v/>
      </c>
      <c r="I19" s="95" t="inlineStr">
        <is>
          <t>savings</t>
        </is>
      </c>
      <c r="J19" s="88" t="n"/>
      <c r="K19" s="104" t="inlineStr">
        <is>
          <t>Shopping</t>
        </is>
      </c>
      <c r="L19" s="88" t="n"/>
      <c r="M19" s="88" t="n"/>
      <c r="N19" s="88" t="n"/>
      <c r="O19" s="88" t="n"/>
      <c r="P19" s="88" t="n"/>
      <c r="Q19" s="88" t="n"/>
      <c r="R19" s="88" t="n"/>
      <c r="S19" s="88" t="n"/>
      <c r="T19" s="88" t="n"/>
      <c r="U19" s="88" t="n"/>
      <c r="V19" s="88" t="n"/>
      <c r="W19" s="88" t="n"/>
      <c r="X19" s="88" t="n"/>
      <c r="Y19" s="88" t="n"/>
      <c r="Z19" s="88" t="n"/>
    </row>
    <row r="20" ht="15" customHeight="1" s="86">
      <c r="A20" s="88" t="n"/>
      <c r="B20" s="88" t="n"/>
      <c r="C20" s="88" t="n"/>
      <c r="D20" s="102" t="inlineStr">
        <is>
          <t>Debt</t>
        </is>
      </c>
      <c r="E20" s="88" t="n"/>
      <c r="F20" s="88" t="n"/>
      <c r="G20" s="88" t="n"/>
      <c r="H20" s="103">
        <f>IF(D20="","",D20)</f>
        <v/>
      </c>
      <c r="I20" s="95" t="inlineStr">
        <is>
          <t>needs</t>
        </is>
      </c>
      <c r="J20" s="88" t="n"/>
      <c r="K20" s="104" t="inlineStr">
        <is>
          <t>Fun and Leisure</t>
        </is>
      </c>
      <c r="L20" s="88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  <c r="Z20" s="88" t="n"/>
    </row>
    <row r="21" ht="15" customHeight="1" s="86">
      <c r="A21" s="88" t="n"/>
      <c r="B21" s="88" t="n"/>
      <c r="C21" s="88" t="n"/>
      <c r="D21" s="102" t="n"/>
      <c r="E21" s="88" t="n"/>
      <c r="F21" s="88" t="n"/>
      <c r="G21" s="88" t="n"/>
      <c r="H21" s="88" t="n"/>
      <c r="I21" s="88" t="n"/>
      <c r="J21" s="88" t="n"/>
      <c r="K21" s="104" t="inlineStr">
        <is>
          <t>Gifts</t>
        </is>
      </c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</row>
    <row r="22" ht="15" customHeight="1" s="86">
      <c r="A22" s="88" t="n"/>
      <c r="B22" s="88" t="n"/>
      <c r="C22" s="88" t="n"/>
      <c r="D22" s="102" t="n"/>
      <c r="E22" s="88" t="n"/>
      <c r="F22" s="88" t="n"/>
      <c r="G22" s="88" t="n"/>
      <c r="H22" s="88" t="n"/>
      <c r="I22" s="88" t="n"/>
      <c r="J22" s="88" t="n"/>
      <c r="K22" s="104" t="inlineStr">
        <is>
          <t>Savings</t>
        </is>
      </c>
      <c r="L22" s="88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</row>
    <row r="23" ht="15" customHeight="1" s="86">
      <c r="A23" s="88" t="n"/>
      <c r="B23" s="88" t="n"/>
      <c r="C23" s="88" t="n"/>
      <c r="D23" s="88" t="n"/>
      <c r="E23" s="88" t="n"/>
      <c r="F23" s="88" t="n"/>
      <c r="G23" s="88" t="n"/>
      <c r="H23" s="88" t="n"/>
      <c r="I23" s="88" t="n"/>
      <c r="J23" s="88" t="n"/>
      <c r="K23" s="104" t="inlineStr">
        <is>
          <t>Debt</t>
        </is>
      </c>
      <c r="L23" s="88" t="n"/>
      <c r="M23" s="88" t="n"/>
      <c r="N23" s="88" t="n"/>
      <c r="O23" s="88" t="n"/>
      <c r="P23" s="88" t="n"/>
      <c r="Q23" s="88" t="n"/>
      <c r="R23" s="88" t="n"/>
      <c r="S23" s="88" t="n"/>
      <c r="T23" s="88" t="n"/>
      <c r="U23" s="88" t="n"/>
      <c r="V23" s="88" t="n"/>
      <c r="W23" s="88" t="n"/>
      <c r="X23" s="88" t="n"/>
      <c r="Y23" s="88" t="n"/>
      <c r="Z23" s="88" t="n"/>
    </row>
    <row r="24" ht="15" customHeight="1" s="86">
      <c r="A24" s="88" t="n"/>
      <c r="B24" s="88" t="n"/>
      <c r="C24" s="88" t="n"/>
      <c r="D24" s="88" t="n"/>
      <c r="E24" s="88" t="n"/>
      <c r="F24" s="88" t="n"/>
      <c r="G24" s="88" t="n"/>
      <c r="H24" s="88" t="n"/>
      <c r="I24" s="88" t="n"/>
      <c r="J24" s="88" t="n"/>
      <c r="K24" s="105">
        <f>IF('Savings &amp; Net Worth'!A6="","",'Savings &amp; Net Worth'!A6)</f>
        <v/>
      </c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8" t="n"/>
      <c r="W24" s="88" t="n"/>
      <c r="X24" s="88" t="n"/>
      <c r="Y24" s="88" t="n"/>
      <c r="Z24" s="88" t="n"/>
    </row>
    <row r="25" ht="15" customHeight="1" s="86">
      <c r="A25" s="88" t="n"/>
      <c r="B25" s="88" t="n"/>
      <c r="C25" s="88" t="n"/>
      <c r="D25" s="88" t="n"/>
      <c r="E25" s="88" t="n"/>
      <c r="F25" s="88" t="n"/>
      <c r="G25" s="88" t="n"/>
      <c r="H25" s="88" t="n"/>
      <c r="I25" s="88" t="n"/>
      <c r="J25" s="88" t="n"/>
      <c r="K25" s="88">
        <f>IF('Savings &amp; Net Worth'!A7="","",'Savings &amp; Net Worth'!A7)</f>
        <v/>
      </c>
      <c r="L25" s="88" t="n"/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8" t="n"/>
      <c r="W25" s="88" t="n"/>
      <c r="X25" s="88" t="n"/>
      <c r="Y25" s="88" t="n"/>
      <c r="Z25" s="88" t="n"/>
    </row>
    <row r="26" ht="15" customHeight="1" s="86">
      <c r="A26" s="88" t="n"/>
      <c r="B26" s="88" t="n"/>
      <c r="C26" s="88" t="n"/>
      <c r="D26" s="88" t="n"/>
      <c r="E26" s="88" t="n"/>
      <c r="F26" s="88" t="n"/>
      <c r="G26" s="88" t="n"/>
      <c r="H26" s="88" t="n"/>
      <c r="I26" s="88" t="n"/>
      <c r="J26" s="88" t="n"/>
      <c r="K26" s="88">
        <f>IF('Savings &amp; Net Worth'!A8="","",'Savings &amp; Net Worth'!A8)</f>
        <v/>
      </c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8" t="n"/>
      <c r="W26" s="88" t="n"/>
      <c r="X26" s="88" t="n"/>
      <c r="Y26" s="88" t="n"/>
      <c r="Z26" s="88" t="n"/>
    </row>
    <row r="27" ht="15" customHeight="1" s="86">
      <c r="A27" s="88" t="n"/>
      <c r="B27" s="88" t="n"/>
      <c r="C27" s="88" t="n"/>
      <c r="D27" s="88" t="n"/>
      <c r="E27" s="88" t="n"/>
      <c r="F27" s="88" t="n"/>
      <c r="G27" s="88" t="n"/>
      <c r="H27" s="88" t="n"/>
      <c r="I27" s="88" t="n"/>
      <c r="J27" s="88" t="n"/>
      <c r="K27" s="88">
        <f>IF('Savings &amp; Net Worth'!A9="","",'Savings &amp; Net Worth'!A9)</f>
        <v/>
      </c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8" t="n"/>
      <c r="W27" s="88" t="n"/>
      <c r="X27" s="88" t="n"/>
      <c r="Y27" s="88" t="n"/>
      <c r="Z27" s="88" t="n"/>
    </row>
    <row r="28" ht="15" customHeight="1" s="86">
      <c r="A28" s="88" t="n"/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>
        <f>IF('Savings &amp; Net Worth'!A10="","",'Savings &amp; Net Worth'!A10)</f>
        <v/>
      </c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  <c r="Z28" s="88" t="n"/>
    </row>
    <row r="29" ht="15" customHeight="1" s="86">
      <c r="A29" s="88" t="n"/>
      <c r="B29" s="88" t="n"/>
      <c r="C29" s="88" t="n"/>
      <c r="D29" s="88" t="n"/>
      <c r="E29" s="88" t="n"/>
      <c r="F29" s="88" t="n"/>
      <c r="G29" s="88" t="n"/>
      <c r="H29" s="88" t="n"/>
      <c r="I29" s="88" t="n"/>
      <c r="J29" s="88" t="n"/>
      <c r="K29" s="88">
        <f>IF('Savings &amp; Net Worth'!A11="","",'Savings &amp; Net Worth'!A11)</f>
        <v/>
      </c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8" t="n"/>
      <c r="Z29" s="88" t="n"/>
    </row>
    <row r="30" ht="15" customHeight="1" s="86">
      <c r="A30" s="88" t="n"/>
      <c r="B30" s="88" t="n"/>
      <c r="C30" s="88" t="n"/>
      <c r="D30" s="88" t="n"/>
      <c r="E30" s="88" t="n"/>
      <c r="F30" s="88" t="n"/>
      <c r="G30" s="88" t="n"/>
      <c r="H30" s="88" t="n"/>
      <c r="I30" s="88" t="n"/>
      <c r="J30" s="88" t="n"/>
      <c r="K30" s="88">
        <f>IF('Savings &amp; Net Worth'!A12="","",'Savings &amp; Net Worth'!A12)</f>
        <v/>
      </c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  <c r="Y30" s="88" t="n"/>
      <c r="Z30" s="88" t="n"/>
    </row>
    <row r="31" ht="15" customHeight="1" s="86">
      <c r="A31" s="88" t="n"/>
      <c r="B31" s="88" t="n"/>
      <c r="C31" s="88" t="n"/>
      <c r="D31" s="88" t="n"/>
      <c r="E31" s="88" t="n"/>
      <c r="F31" s="88" t="n"/>
      <c r="G31" s="88" t="n"/>
      <c r="H31" s="88" t="n"/>
      <c r="I31" s="88" t="n"/>
      <c r="J31" s="88" t="n"/>
      <c r="K31" s="88">
        <f>IF('Savings &amp; Net Worth'!A13="","",'Savings &amp; Net Worth'!A13)</f>
        <v/>
      </c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  <c r="Y31" s="88" t="n"/>
      <c r="Z31" s="88" t="n"/>
    </row>
    <row r="32" ht="15" customHeight="1" s="86">
      <c r="A32" s="88" t="n"/>
      <c r="B32" s="88" t="n"/>
      <c r="C32" s="88" t="n"/>
      <c r="D32" s="88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8" t="n"/>
      <c r="W32" s="88" t="n"/>
      <c r="X32" s="88" t="n"/>
      <c r="Y32" s="88" t="n"/>
      <c r="Z32" s="88" t="n"/>
    </row>
    <row r="33" ht="15" customHeight="1" s="86">
      <c r="A33" s="88" t="n"/>
      <c r="B33" s="88" t="n"/>
      <c r="C33" s="88" t="n"/>
      <c r="D33" s="88" t="n"/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8" t="n"/>
      <c r="W33" s="88" t="n"/>
      <c r="X33" s="88" t="n"/>
      <c r="Y33" s="88" t="n"/>
      <c r="Z33" s="88" t="n"/>
    </row>
    <row r="34" ht="15" customHeight="1" s="86">
      <c r="A34" s="88" t="n"/>
      <c r="B34" s="88" t="n"/>
      <c r="C34" s="88" t="n"/>
      <c r="D34" s="88" t="n"/>
      <c r="E34" s="88" t="n"/>
      <c r="F34" s="88" t="n"/>
      <c r="G34" s="88" t="n"/>
      <c r="H34" s="88" t="n"/>
      <c r="I34" s="88" t="n"/>
      <c r="J34" s="88" t="n"/>
      <c r="K34" s="88" t="inlineStr">
        <is>
          <t>helper — you can hide columns H:K</t>
        </is>
      </c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8" t="n"/>
      <c r="W34" s="88" t="n"/>
      <c r="X34" s="88" t="n"/>
      <c r="Y34" s="88" t="n"/>
      <c r="Z34" s="88" t="n"/>
    </row>
    <row r="35" ht="15" customHeight="1" s="86">
      <c r="A35" s="88" t="n"/>
      <c r="B35" s="88" t="n"/>
      <c r="C35" s="88" t="n"/>
      <c r="D35" s="88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8" t="n"/>
      <c r="X35" s="88" t="n"/>
      <c r="Y35" s="88" t="n"/>
      <c r="Z35" s="88" t="n"/>
    </row>
    <row r="36" ht="15" customHeight="1" s="86">
      <c r="A36" s="88" t="n"/>
      <c r="B36" s="88" t="n"/>
      <c r="C36" s="88" t="n"/>
      <c r="D36" s="88" t="n"/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  <c r="Y36" s="88" t="n"/>
      <c r="Z36" s="88" t="n"/>
    </row>
    <row r="37" ht="15" customHeight="1" s="86">
      <c r="A37" s="88" t="n"/>
      <c r="B37" s="88" t="n"/>
      <c r="C37" s="88" t="n"/>
      <c r="D37" s="88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8" t="n"/>
      <c r="X37" s="88" t="n"/>
      <c r="Y37" s="88" t="n"/>
      <c r="Z37" s="88" t="n"/>
    </row>
    <row r="38" ht="15" customHeight="1" s="86">
      <c r="A38" s="88" t="n"/>
      <c r="B38" s="88" t="n"/>
      <c r="C38" s="88" t="n"/>
      <c r="D38" s="88" t="n"/>
      <c r="E38" s="88" t="n"/>
      <c r="F38" s="88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8" t="n"/>
      <c r="W38" s="88" t="n"/>
      <c r="X38" s="88" t="n"/>
      <c r="Y38" s="88" t="n"/>
      <c r="Z38" s="88" t="n"/>
    </row>
    <row r="39" ht="15" customHeight="1" s="86">
      <c r="A39" s="88" t="n"/>
      <c r="B39" s="88" t="n"/>
      <c r="C39" s="88" t="n"/>
      <c r="D39" s="88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8" t="n"/>
      <c r="X39" s="88" t="n"/>
      <c r="Y39" s="88" t="n"/>
      <c r="Z39" s="88" t="n"/>
    </row>
    <row r="40" ht="15" customHeight="1" s="86">
      <c r="A40" s="88" t="n"/>
      <c r="B40" s="88" t="n"/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8" t="n"/>
      <c r="X40" s="88" t="n"/>
      <c r="Y40" s="88" t="n"/>
      <c r="Z40" s="88" t="n"/>
    </row>
    <row r="41" ht="15" customHeight="1" s="86">
      <c r="A41" s="88" t="n"/>
      <c r="B41" s="88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8" t="n"/>
      <c r="X41" s="88" t="n"/>
      <c r="Y41" s="88" t="n"/>
      <c r="Z41" s="88" t="n"/>
    </row>
    <row r="42" ht="15" customHeight="1" s="86">
      <c r="A42" s="88" t="n"/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8" t="n"/>
      <c r="X42" s="88" t="n"/>
      <c r="Y42" s="88" t="n"/>
      <c r="Z42" s="88" t="n"/>
    </row>
    <row r="43" ht="15" customHeight="1" s="86">
      <c r="A43" s="88" t="n"/>
      <c r="B43" s="88" t="n"/>
      <c r="C43" s="88" t="n"/>
      <c r="D43" s="88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8" t="n"/>
      <c r="W43" s="88" t="n"/>
      <c r="X43" s="88" t="n"/>
      <c r="Y43" s="88" t="n"/>
      <c r="Z43" s="88" t="n"/>
    </row>
    <row r="44" ht="15" customHeight="1" s="86">
      <c r="A44" s="88" t="n"/>
      <c r="B44" s="88" t="n"/>
      <c r="C44" s="88" t="n"/>
      <c r="D44" s="88" t="n"/>
      <c r="E44" s="88" t="n"/>
      <c r="F44" s="88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8" t="n"/>
      <c r="W44" s="88" t="n"/>
      <c r="X44" s="88" t="n"/>
      <c r="Y44" s="88" t="n"/>
      <c r="Z44" s="88" t="n"/>
    </row>
    <row r="45" ht="15" customHeight="1" s="86">
      <c r="A45" s="88" t="n"/>
      <c r="B45" s="88" t="n"/>
      <c r="C45" s="88" t="n"/>
      <c r="D45" s="88" t="n"/>
      <c r="E45" s="88" t="n"/>
      <c r="F45" s="88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8" t="n"/>
      <c r="W45" s="88" t="n"/>
      <c r="X45" s="88" t="n"/>
      <c r="Y45" s="88" t="n"/>
      <c r="Z45" s="88" t="n"/>
    </row>
    <row r="46" ht="15" customHeight="1" s="86">
      <c r="A46" s="88" t="n"/>
      <c r="B46" s="88" t="n"/>
      <c r="C46" s="88" t="n"/>
      <c r="D46" s="88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8" t="n"/>
      <c r="W46" s="88" t="n"/>
      <c r="X46" s="88" t="n"/>
      <c r="Y46" s="88" t="n"/>
      <c r="Z46" s="88" t="n"/>
    </row>
    <row r="47" ht="15" customHeight="1" s="86">
      <c r="A47" s="88" t="n"/>
      <c r="B47" s="88" t="n"/>
      <c r="C47" s="88" t="n"/>
      <c r="D47" s="88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8" t="n"/>
      <c r="X47" s="88" t="n"/>
      <c r="Y47" s="88" t="n"/>
      <c r="Z47" s="88" t="n"/>
    </row>
    <row r="48" ht="15" customHeight="1" s="86">
      <c r="A48" s="88" t="n"/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</row>
    <row r="49" ht="15" customHeight="1" s="86">
      <c r="A49" s="88" t="n"/>
      <c r="B49" s="88" t="n"/>
      <c r="C49" s="88" t="n"/>
      <c r="D49" s="88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8" t="n"/>
      <c r="X49" s="88" t="n"/>
      <c r="Y49" s="88" t="n"/>
      <c r="Z49" s="88" t="n"/>
    </row>
    <row r="50" ht="15" customHeight="1" s="86">
      <c r="A50" s="88" t="n"/>
      <c r="B50" s="88" t="n"/>
      <c r="C50" s="88" t="n"/>
      <c r="D50" s="88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8" t="n"/>
      <c r="X50" s="88" t="n"/>
      <c r="Y50" s="88" t="n"/>
      <c r="Z50" s="88" t="n"/>
    </row>
    <row r="51" ht="15" customHeight="1" s="86">
      <c r="A51" s="88" t="n"/>
      <c r="B51" s="88" t="n"/>
      <c r="C51" s="88" t="n"/>
      <c r="D51" s="88" t="n"/>
      <c r="E51" s="88" t="n"/>
      <c r="F51" s="88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8" t="n"/>
      <c r="X51" s="88" t="n"/>
      <c r="Y51" s="88" t="n"/>
      <c r="Z51" s="88" t="n"/>
    </row>
    <row r="52" ht="15" customHeight="1" s="86">
      <c r="A52" s="88" t="n"/>
      <c r="B52" s="88" t="n"/>
      <c r="C52" s="88" t="n"/>
      <c r="D52" s="88" t="n"/>
      <c r="E52" s="88" t="n"/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8" t="n"/>
      <c r="X52" s="88" t="n"/>
      <c r="Y52" s="88" t="n"/>
      <c r="Z52" s="88" t="n"/>
    </row>
    <row r="53" ht="15" customHeight="1" s="86">
      <c r="A53" s="88" t="n"/>
      <c r="B53" s="88" t="n"/>
      <c r="C53" s="88" t="n"/>
      <c r="D53" s="88" t="n"/>
      <c r="E53" s="88" t="n"/>
      <c r="F53" s="88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8" t="n"/>
      <c r="W53" s="88" t="n"/>
      <c r="X53" s="88" t="n"/>
      <c r="Y53" s="88" t="n"/>
      <c r="Z53" s="88" t="n"/>
    </row>
    <row r="54" ht="15" customHeight="1" s="86">
      <c r="A54" s="88" t="n"/>
      <c r="B54" s="88" t="n"/>
      <c r="C54" s="88" t="n"/>
      <c r="D54" s="88" t="n"/>
      <c r="E54" s="88" t="n"/>
      <c r="F54" s="88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8" t="n"/>
      <c r="W54" s="88" t="n"/>
      <c r="X54" s="88" t="n"/>
      <c r="Y54" s="88" t="n"/>
      <c r="Z54" s="88" t="n"/>
    </row>
    <row r="55" ht="15" customHeight="1" s="86">
      <c r="A55" s="88" t="n"/>
      <c r="B55" s="88" t="n"/>
      <c r="C55" s="88" t="n"/>
      <c r="D55" s="88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8" t="n"/>
      <c r="Y55" s="88" t="n"/>
      <c r="Z55" s="88" t="n"/>
    </row>
    <row r="56" ht="15" customHeight="1" s="86">
      <c r="A56" s="88" t="n"/>
      <c r="B56" s="88" t="n"/>
      <c r="C56" s="88" t="n"/>
      <c r="D56" s="88" t="n"/>
      <c r="E56" s="88" t="n"/>
      <c r="F56" s="88" t="n"/>
      <c r="G56" s="88" t="n"/>
      <c r="H56" s="88" t="n"/>
      <c r="I56" s="88" t="n"/>
      <c r="J56" s="88" t="n"/>
      <c r="K56" s="88" t="n"/>
      <c r="L56" s="88" t="n"/>
      <c r="M56" s="88" t="n"/>
      <c r="N56" s="88" t="n"/>
      <c r="O56" s="88" t="n"/>
      <c r="P56" s="88" t="n"/>
      <c r="Q56" s="88" t="n"/>
      <c r="R56" s="88" t="n"/>
      <c r="S56" s="88" t="n"/>
      <c r="T56" s="88" t="n"/>
      <c r="U56" s="88" t="n"/>
      <c r="V56" s="88" t="n"/>
      <c r="W56" s="88" t="n"/>
      <c r="X56" s="88" t="n"/>
      <c r="Y56" s="88" t="n"/>
      <c r="Z56" s="88" t="n"/>
    </row>
    <row r="57" ht="15" customHeight="1" s="86">
      <c r="A57" s="88" t="n"/>
      <c r="B57" s="88" t="n"/>
      <c r="C57" s="88" t="n"/>
      <c r="D57" s="88" t="n"/>
      <c r="E57" s="88" t="n"/>
      <c r="F57" s="88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88" t="n"/>
      <c r="Q57" s="88" t="n"/>
      <c r="R57" s="88" t="n"/>
      <c r="S57" s="88" t="n"/>
      <c r="T57" s="88" t="n"/>
      <c r="U57" s="88" t="n"/>
      <c r="V57" s="88" t="n"/>
      <c r="W57" s="88" t="n"/>
      <c r="X57" s="88" t="n"/>
      <c r="Y57" s="88" t="n"/>
      <c r="Z57" s="88" t="n"/>
    </row>
    <row r="58" ht="15" customHeight="1" s="86">
      <c r="A58" s="88" t="n"/>
      <c r="B58" s="88" t="n"/>
      <c r="C58" s="88" t="n"/>
      <c r="D58" s="88" t="n"/>
      <c r="E58" s="88" t="n"/>
      <c r="F58" s="88" t="n"/>
      <c r="G58" s="88" t="n"/>
      <c r="H58" s="88" t="n"/>
      <c r="I58" s="88" t="n"/>
      <c r="J58" s="88" t="n"/>
      <c r="K58" s="88" t="n"/>
      <c r="L58" s="88" t="n"/>
      <c r="M58" s="88" t="n"/>
      <c r="N58" s="88" t="n"/>
      <c r="O58" s="88" t="n"/>
      <c r="P58" s="88" t="n"/>
      <c r="Q58" s="88" t="n"/>
      <c r="R58" s="88" t="n"/>
      <c r="S58" s="88" t="n"/>
      <c r="T58" s="88" t="n"/>
      <c r="U58" s="88" t="n"/>
      <c r="V58" s="88" t="n"/>
      <c r="W58" s="88" t="n"/>
      <c r="X58" s="88" t="n"/>
      <c r="Y58" s="88" t="n"/>
      <c r="Z58" s="88" t="n"/>
    </row>
    <row r="59" ht="15" customHeight="1" s="86">
      <c r="A59" s="88" t="n"/>
      <c r="B59" s="88" t="n"/>
      <c r="C59" s="88" t="n"/>
      <c r="D59" s="88" t="n"/>
      <c r="E59" s="88" t="n"/>
      <c r="F59" s="88" t="n"/>
      <c r="G59" s="88" t="n"/>
      <c r="H59" s="88" t="n"/>
      <c r="I59" s="88" t="n"/>
      <c r="J59" s="88" t="n"/>
      <c r="K59" s="88" t="n"/>
      <c r="L59" s="88" t="n"/>
      <c r="M59" s="88" t="n"/>
      <c r="N59" s="88" t="n"/>
      <c r="O59" s="88" t="n"/>
      <c r="P59" s="88" t="n"/>
      <c r="Q59" s="88" t="n"/>
      <c r="R59" s="88" t="n"/>
      <c r="S59" s="88" t="n"/>
      <c r="T59" s="88" t="n"/>
      <c r="U59" s="88" t="n"/>
      <c r="V59" s="88" t="n"/>
      <c r="W59" s="88" t="n"/>
      <c r="X59" s="88" t="n"/>
      <c r="Y59" s="88" t="n"/>
      <c r="Z59" s="88" t="n"/>
    </row>
    <row r="60" ht="15" customHeight="1" s="86">
      <c r="A60" s="88" t="n"/>
      <c r="B60" s="88" t="n"/>
      <c r="C60" s="88" t="n"/>
      <c r="D60" s="88" t="n"/>
      <c r="E60" s="88" t="n"/>
      <c r="F60" s="88" t="n"/>
      <c r="G60" s="88" t="n"/>
      <c r="H60" s="88" t="n"/>
      <c r="I60" s="88" t="n"/>
      <c r="J60" s="88" t="n"/>
      <c r="K60" s="88" t="n"/>
      <c r="L60" s="88" t="n"/>
      <c r="M60" s="88" t="n"/>
      <c r="N60" s="88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  <c r="Y60" s="88" t="n"/>
      <c r="Z60" s="88" t="n"/>
    </row>
    <row r="61" ht="15" customHeight="1" s="86">
      <c r="A61" s="88" t="n"/>
      <c r="B61" s="88" t="n"/>
      <c r="C61" s="88" t="n"/>
      <c r="D61" s="88" t="n"/>
      <c r="E61" s="88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8" t="n"/>
      <c r="Y61" s="88" t="n"/>
      <c r="Z61" s="88" t="n"/>
    </row>
    <row r="62" ht="15" customHeight="1" s="86">
      <c r="A62" s="88" t="n"/>
      <c r="B62" s="88" t="n"/>
      <c r="C62" s="88" t="n"/>
      <c r="D62" s="88" t="n"/>
      <c r="E62" s="88" t="n"/>
      <c r="F62" s="88" t="n"/>
      <c r="G62" s="88" t="n"/>
      <c r="H62" s="88" t="n"/>
      <c r="I62" s="88" t="n"/>
      <c r="J62" s="88" t="n"/>
      <c r="K62" s="88" t="n"/>
      <c r="L62" s="88" t="n"/>
      <c r="M62" s="88" t="n"/>
      <c r="N62" s="88" t="n"/>
      <c r="O62" s="88" t="n"/>
      <c r="P62" s="88" t="n"/>
      <c r="Q62" s="88" t="n"/>
      <c r="R62" s="88" t="n"/>
      <c r="S62" s="88" t="n"/>
      <c r="T62" s="88" t="n"/>
      <c r="U62" s="88" t="n"/>
      <c r="V62" s="88" t="n"/>
      <c r="W62" s="88" t="n"/>
      <c r="X62" s="88" t="n"/>
      <c r="Y62" s="88" t="n"/>
      <c r="Z62" s="88" t="n"/>
    </row>
    <row r="63" ht="15" customHeight="1" s="86">
      <c r="A63" s="88" t="n"/>
      <c r="B63" s="88" t="n"/>
      <c r="C63" s="88" t="n"/>
      <c r="D63" s="88" t="n"/>
      <c r="E63" s="88" t="n"/>
      <c r="F63" s="88" t="n"/>
      <c r="G63" s="88" t="n"/>
      <c r="H63" s="88" t="n"/>
      <c r="I63" s="88" t="n"/>
      <c r="J63" s="88" t="n"/>
      <c r="K63" s="88" t="n"/>
      <c r="L63" s="88" t="n"/>
      <c r="M63" s="88" t="n"/>
      <c r="N63" s="88" t="n"/>
      <c r="O63" s="88" t="n"/>
      <c r="P63" s="88" t="n"/>
      <c r="Q63" s="88" t="n"/>
      <c r="R63" s="88" t="n"/>
      <c r="S63" s="88" t="n"/>
      <c r="T63" s="88" t="n"/>
      <c r="U63" s="88" t="n"/>
      <c r="V63" s="88" t="n"/>
      <c r="W63" s="88" t="n"/>
      <c r="X63" s="88" t="n"/>
      <c r="Y63" s="88" t="n"/>
      <c r="Z63" s="88" t="n"/>
    </row>
    <row r="64" ht="15.75" customHeight="1" s="86">
      <c r="T64" s="85" t="n"/>
      <c r="U64" s="85" t="n"/>
      <c r="V64" s="85" t="n"/>
      <c r="W64" s="85" t="n"/>
      <c r="X64" s="85" t="n"/>
      <c r="Y64" s="85" t="n"/>
      <c r="Z64" s="85" t="n"/>
    </row>
    <row r="65" ht="15.75" customHeight="1" s="86">
      <c r="T65" s="85" t="n"/>
      <c r="U65" s="85" t="n"/>
      <c r="V65" s="85" t="n"/>
      <c r="W65" s="85" t="n"/>
      <c r="X65" s="85" t="n"/>
      <c r="Y65" s="85" t="n"/>
      <c r="Z65" s="85" t="n"/>
    </row>
    <row r="66" ht="15.75" customHeight="1" s="86">
      <c r="T66" s="85" t="n"/>
      <c r="U66" s="85" t="n"/>
      <c r="V66" s="85" t="n"/>
      <c r="W66" s="85" t="n"/>
      <c r="X66" s="85" t="n"/>
      <c r="Y66" s="85" t="n"/>
      <c r="Z66" s="85" t="n"/>
    </row>
    <row r="67" ht="15.75" customHeight="1" s="86">
      <c r="T67" s="85" t="n"/>
      <c r="U67" s="85" t="n"/>
      <c r="V67" s="85" t="n"/>
      <c r="W67" s="85" t="n"/>
      <c r="X67" s="85" t="n"/>
      <c r="Y67" s="85" t="n"/>
      <c r="Z67" s="85" t="n"/>
    </row>
    <row r="68" ht="15.75" customHeight="1" s="86">
      <c r="T68" s="85" t="n"/>
      <c r="U68" s="85" t="n"/>
      <c r="V68" s="85" t="n"/>
      <c r="W68" s="85" t="n"/>
      <c r="X68" s="85" t="n"/>
      <c r="Y68" s="85" t="n"/>
      <c r="Z68" s="85" t="n"/>
    </row>
    <row r="69" ht="15.75" customHeight="1" s="86">
      <c r="T69" s="85" t="n"/>
      <c r="U69" s="85" t="n"/>
      <c r="V69" s="85" t="n"/>
      <c r="W69" s="85" t="n"/>
      <c r="X69" s="85" t="n"/>
      <c r="Y69" s="85" t="n"/>
      <c r="Z69" s="85" t="n"/>
    </row>
    <row r="70" ht="15.75" customHeight="1" s="86">
      <c r="T70" s="85" t="n"/>
      <c r="U70" s="85" t="n"/>
      <c r="V70" s="85" t="n"/>
      <c r="W70" s="85" t="n"/>
      <c r="X70" s="85" t="n"/>
      <c r="Y70" s="85" t="n"/>
      <c r="Z70" s="85" t="n"/>
    </row>
    <row r="71" ht="15.75" customHeight="1" s="86">
      <c r="T71" s="85" t="n"/>
      <c r="U71" s="85" t="n"/>
      <c r="V71" s="85" t="n"/>
      <c r="W71" s="85" t="n"/>
      <c r="X71" s="85" t="n"/>
      <c r="Y71" s="85" t="n"/>
      <c r="Z71" s="85" t="n"/>
    </row>
    <row r="72" ht="15.75" customHeight="1" s="86">
      <c r="T72" s="85" t="n"/>
      <c r="U72" s="85" t="n"/>
      <c r="V72" s="85" t="n"/>
      <c r="W72" s="85" t="n"/>
      <c r="X72" s="85" t="n"/>
      <c r="Y72" s="85" t="n"/>
      <c r="Z72" s="85" t="n"/>
    </row>
    <row r="73" ht="15.75" customHeight="1" s="86">
      <c r="T73" s="85" t="n"/>
      <c r="U73" s="85" t="n"/>
      <c r="V73" s="85" t="n"/>
      <c r="W73" s="85" t="n"/>
      <c r="X73" s="85" t="n"/>
      <c r="Y73" s="85" t="n"/>
      <c r="Z73" s="85" t="n"/>
    </row>
    <row r="74" ht="15.75" customHeight="1" s="86">
      <c r="T74" s="85" t="n"/>
      <c r="U74" s="85" t="n"/>
      <c r="V74" s="85" t="n"/>
      <c r="W74" s="85" t="n"/>
      <c r="X74" s="85" t="n"/>
      <c r="Y74" s="85" t="n"/>
      <c r="Z74" s="85" t="n"/>
    </row>
    <row r="75" ht="15.75" customHeight="1" s="86">
      <c r="T75" s="85" t="n"/>
      <c r="U75" s="85" t="n"/>
      <c r="V75" s="85" t="n"/>
      <c r="W75" s="85" t="n"/>
      <c r="X75" s="85" t="n"/>
      <c r="Y75" s="85" t="n"/>
      <c r="Z75" s="85" t="n"/>
    </row>
    <row r="76" ht="15.75" customHeight="1" s="86">
      <c r="T76" s="85" t="n"/>
      <c r="U76" s="85" t="n"/>
      <c r="V76" s="85" t="n"/>
      <c r="W76" s="85" t="n"/>
      <c r="X76" s="85" t="n"/>
      <c r="Y76" s="85" t="n"/>
      <c r="Z76" s="85" t="n"/>
    </row>
    <row r="77" ht="15.75" customHeight="1" s="86">
      <c r="T77" s="85" t="n"/>
      <c r="U77" s="85" t="n"/>
      <c r="V77" s="85" t="n"/>
      <c r="W77" s="85" t="n"/>
      <c r="X77" s="85" t="n"/>
      <c r="Y77" s="85" t="n"/>
      <c r="Z77" s="85" t="n"/>
    </row>
    <row r="78" ht="15.75" customHeight="1" s="86">
      <c r="T78" s="85" t="n"/>
      <c r="U78" s="85" t="n"/>
      <c r="V78" s="85" t="n"/>
      <c r="W78" s="85" t="n"/>
      <c r="X78" s="85" t="n"/>
      <c r="Y78" s="85" t="n"/>
      <c r="Z78" s="85" t="n"/>
    </row>
    <row r="79" ht="15.75" customHeight="1" s="86">
      <c r="T79" s="85" t="n"/>
      <c r="U79" s="85" t="n"/>
      <c r="V79" s="85" t="n"/>
      <c r="W79" s="85" t="n"/>
      <c r="X79" s="85" t="n"/>
      <c r="Y79" s="85" t="n"/>
      <c r="Z79" s="85" t="n"/>
    </row>
    <row r="80" ht="15.75" customHeight="1" s="86">
      <c r="T80" s="85" t="n"/>
      <c r="U80" s="85" t="n"/>
      <c r="V80" s="85" t="n"/>
      <c r="W80" s="85" t="n"/>
      <c r="X80" s="85" t="n"/>
      <c r="Y80" s="85" t="n"/>
      <c r="Z80" s="85" t="n"/>
    </row>
    <row r="81" ht="15.75" customHeight="1" s="86">
      <c r="T81" s="85" t="n"/>
      <c r="U81" s="85" t="n"/>
      <c r="V81" s="85" t="n"/>
      <c r="W81" s="85" t="n"/>
      <c r="X81" s="85" t="n"/>
      <c r="Y81" s="85" t="n"/>
      <c r="Z81" s="85" t="n"/>
    </row>
    <row r="82" ht="15.75" customHeight="1" s="86">
      <c r="T82" s="85" t="n"/>
      <c r="U82" s="85" t="n"/>
      <c r="V82" s="85" t="n"/>
      <c r="W82" s="85" t="n"/>
      <c r="X82" s="85" t="n"/>
      <c r="Y82" s="85" t="n"/>
      <c r="Z82" s="85" t="n"/>
    </row>
    <row r="83" ht="15.75" customHeight="1" s="86">
      <c r="T83" s="85" t="n"/>
      <c r="U83" s="85" t="n"/>
      <c r="V83" s="85" t="n"/>
      <c r="W83" s="85" t="n"/>
      <c r="X83" s="85" t="n"/>
      <c r="Y83" s="85" t="n"/>
      <c r="Z83" s="85" t="n"/>
    </row>
    <row r="84" ht="15.75" customHeight="1" s="86">
      <c r="T84" s="85" t="n"/>
      <c r="U84" s="85" t="n"/>
      <c r="V84" s="85" t="n"/>
      <c r="W84" s="85" t="n"/>
      <c r="X84" s="85" t="n"/>
      <c r="Y84" s="85" t="n"/>
      <c r="Z84" s="85" t="n"/>
    </row>
    <row r="85" ht="15.75" customHeight="1" s="86">
      <c r="T85" s="85" t="n"/>
      <c r="U85" s="85" t="n"/>
      <c r="V85" s="85" t="n"/>
      <c r="W85" s="85" t="n"/>
      <c r="X85" s="85" t="n"/>
      <c r="Y85" s="85" t="n"/>
      <c r="Z85" s="85" t="n"/>
    </row>
    <row r="86" ht="15.75" customHeight="1" s="86">
      <c r="T86" s="85" t="n"/>
      <c r="U86" s="85" t="n"/>
      <c r="V86" s="85" t="n"/>
      <c r="W86" s="85" t="n"/>
      <c r="X86" s="85" t="n"/>
      <c r="Y86" s="85" t="n"/>
      <c r="Z86" s="85" t="n"/>
    </row>
    <row r="87" ht="15.75" customHeight="1" s="86">
      <c r="T87" s="85" t="n"/>
      <c r="U87" s="85" t="n"/>
      <c r="V87" s="85" t="n"/>
      <c r="W87" s="85" t="n"/>
      <c r="X87" s="85" t="n"/>
      <c r="Y87" s="85" t="n"/>
      <c r="Z87" s="85" t="n"/>
    </row>
    <row r="88" ht="15.75" customHeight="1" s="86">
      <c r="T88" s="85" t="n"/>
      <c r="U88" s="85" t="n"/>
      <c r="V88" s="85" t="n"/>
      <c r="W88" s="85" t="n"/>
      <c r="X88" s="85" t="n"/>
      <c r="Y88" s="85" t="n"/>
      <c r="Z88" s="85" t="n"/>
    </row>
    <row r="89" ht="15.75" customHeight="1" s="86">
      <c r="T89" s="85" t="n"/>
      <c r="U89" s="85" t="n"/>
      <c r="V89" s="85" t="n"/>
      <c r="W89" s="85" t="n"/>
      <c r="X89" s="85" t="n"/>
      <c r="Y89" s="85" t="n"/>
      <c r="Z89" s="85" t="n"/>
    </row>
    <row r="90" ht="15.75" customHeight="1" s="86">
      <c r="T90" s="85" t="n"/>
      <c r="U90" s="85" t="n"/>
      <c r="V90" s="85" t="n"/>
      <c r="W90" s="85" t="n"/>
      <c r="X90" s="85" t="n"/>
      <c r="Y90" s="85" t="n"/>
      <c r="Z90" s="85" t="n"/>
    </row>
    <row r="91" ht="15.75" customHeight="1" s="86">
      <c r="T91" s="85" t="n"/>
      <c r="U91" s="85" t="n"/>
      <c r="V91" s="85" t="n"/>
      <c r="W91" s="85" t="n"/>
      <c r="X91" s="85" t="n"/>
      <c r="Y91" s="85" t="n"/>
      <c r="Z91" s="85" t="n"/>
    </row>
    <row r="92" ht="15.75" customHeight="1" s="86">
      <c r="T92" s="85" t="n"/>
      <c r="U92" s="85" t="n"/>
      <c r="V92" s="85" t="n"/>
      <c r="W92" s="85" t="n"/>
      <c r="X92" s="85" t="n"/>
      <c r="Y92" s="85" t="n"/>
      <c r="Z92" s="85" t="n"/>
    </row>
    <row r="93" ht="15.75" customHeight="1" s="86">
      <c r="T93" s="85" t="n"/>
      <c r="U93" s="85" t="n"/>
      <c r="V93" s="85" t="n"/>
      <c r="W93" s="85" t="n"/>
      <c r="X93" s="85" t="n"/>
      <c r="Y93" s="85" t="n"/>
      <c r="Z93" s="85" t="n"/>
    </row>
    <row r="94" ht="15.75" customHeight="1" s="86">
      <c r="T94" s="85" t="n"/>
      <c r="U94" s="85" t="n"/>
      <c r="V94" s="85" t="n"/>
      <c r="W94" s="85" t="n"/>
      <c r="X94" s="85" t="n"/>
      <c r="Y94" s="85" t="n"/>
      <c r="Z94" s="85" t="n"/>
    </row>
    <row r="95" ht="15.75" customHeight="1" s="86">
      <c r="T95" s="85" t="n"/>
      <c r="U95" s="85" t="n"/>
      <c r="V95" s="85" t="n"/>
      <c r="W95" s="85" t="n"/>
      <c r="X95" s="85" t="n"/>
      <c r="Y95" s="85" t="n"/>
      <c r="Z95" s="85" t="n"/>
    </row>
    <row r="96" ht="15.75" customHeight="1" s="86">
      <c r="T96" s="85" t="n"/>
      <c r="U96" s="85" t="n"/>
      <c r="V96" s="85" t="n"/>
      <c r="W96" s="85" t="n"/>
      <c r="X96" s="85" t="n"/>
      <c r="Y96" s="85" t="n"/>
      <c r="Z96" s="85" t="n"/>
    </row>
    <row r="97" ht="15.75" customHeight="1" s="86">
      <c r="T97" s="85" t="n"/>
      <c r="U97" s="85" t="n"/>
      <c r="V97" s="85" t="n"/>
      <c r="W97" s="85" t="n"/>
      <c r="X97" s="85" t="n"/>
      <c r="Y97" s="85" t="n"/>
      <c r="Z97" s="85" t="n"/>
    </row>
    <row r="98" ht="15.75" customHeight="1" s="86">
      <c r="T98" s="85" t="n"/>
      <c r="U98" s="85" t="n"/>
      <c r="V98" s="85" t="n"/>
      <c r="W98" s="85" t="n"/>
      <c r="X98" s="85" t="n"/>
      <c r="Y98" s="85" t="n"/>
      <c r="Z98" s="85" t="n"/>
    </row>
    <row r="99" ht="15.75" customHeight="1" s="86">
      <c r="T99" s="85" t="n"/>
      <c r="U99" s="85" t="n"/>
      <c r="V99" s="85" t="n"/>
      <c r="W99" s="85" t="n"/>
      <c r="X99" s="85" t="n"/>
      <c r="Y99" s="85" t="n"/>
      <c r="Z99" s="85" t="n"/>
    </row>
    <row r="100" ht="15.75" customHeight="1" s="86">
      <c r="T100" s="85" t="n"/>
      <c r="U100" s="85" t="n"/>
      <c r="V100" s="85" t="n"/>
      <c r="W100" s="85" t="n"/>
      <c r="X100" s="85" t="n"/>
      <c r="Y100" s="85" t="n"/>
      <c r="Z100" s="85" t="n"/>
    </row>
    <row r="101" ht="15.75" customHeight="1" s="86">
      <c r="T101" s="85" t="n"/>
      <c r="U101" s="85" t="n"/>
      <c r="V101" s="85" t="n"/>
      <c r="W101" s="85" t="n"/>
      <c r="X101" s="85" t="n"/>
      <c r="Y101" s="85" t="n"/>
      <c r="Z101" s="85" t="n"/>
    </row>
    <row r="102" ht="15.75" customHeight="1" s="86">
      <c r="T102" s="85" t="n"/>
      <c r="U102" s="85" t="n"/>
      <c r="V102" s="85" t="n"/>
      <c r="W102" s="85" t="n"/>
      <c r="X102" s="85" t="n"/>
      <c r="Y102" s="85" t="n"/>
      <c r="Z102" s="85" t="n"/>
    </row>
    <row r="103" ht="15.75" customHeight="1" s="86">
      <c r="T103" s="85" t="n"/>
      <c r="U103" s="85" t="n"/>
      <c r="V103" s="85" t="n"/>
      <c r="W103" s="85" t="n"/>
      <c r="X103" s="85" t="n"/>
      <c r="Y103" s="85" t="n"/>
      <c r="Z103" s="85" t="n"/>
    </row>
    <row r="104" ht="15.75" customHeight="1" s="86">
      <c r="T104" s="85" t="n"/>
      <c r="U104" s="85" t="n"/>
      <c r="V104" s="85" t="n"/>
      <c r="W104" s="85" t="n"/>
      <c r="X104" s="85" t="n"/>
      <c r="Y104" s="85" t="n"/>
      <c r="Z104" s="85" t="n"/>
    </row>
    <row r="105" ht="15.75" customHeight="1" s="86">
      <c r="T105" s="85" t="n"/>
      <c r="U105" s="85" t="n"/>
      <c r="V105" s="85" t="n"/>
      <c r="W105" s="85" t="n"/>
      <c r="X105" s="85" t="n"/>
      <c r="Y105" s="85" t="n"/>
      <c r="Z105" s="85" t="n"/>
    </row>
    <row r="106" ht="15.75" customHeight="1" s="86">
      <c r="T106" s="85" t="n"/>
      <c r="U106" s="85" t="n"/>
      <c r="V106" s="85" t="n"/>
      <c r="W106" s="85" t="n"/>
      <c r="X106" s="85" t="n"/>
      <c r="Y106" s="85" t="n"/>
      <c r="Z106" s="85" t="n"/>
    </row>
    <row r="107" ht="15.75" customHeight="1" s="86">
      <c r="T107" s="85" t="n"/>
      <c r="U107" s="85" t="n"/>
      <c r="V107" s="85" t="n"/>
      <c r="W107" s="85" t="n"/>
      <c r="X107" s="85" t="n"/>
      <c r="Y107" s="85" t="n"/>
      <c r="Z107" s="85" t="n"/>
    </row>
    <row r="108" ht="15.75" customHeight="1" s="86">
      <c r="T108" s="85" t="n"/>
      <c r="U108" s="85" t="n"/>
      <c r="V108" s="85" t="n"/>
      <c r="W108" s="85" t="n"/>
      <c r="X108" s="85" t="n"/>
      <c r="Y108" s="85" t="n"/>
      <c r="Z108" s="85" t="n"/>
    </row>
    <row r="109" ht="15.75" customHeight="1" s="86">
      <c r="T109" s="85" t="n"/>
      <c r="U109" s="85" t="n"/>
      <c r="V109" s="85" t="n"/>
      <c r="W109" s="85" t="n"/>
      <c r="X109" s="85" t="n"/>
      <c r="Y109" s="85" t="n"/>
      <c r="Z109" s="85" t="n"/>
    </row>
    <row r="110" ht="15.75" customHeight="1" s="86">
      <c r="T110" s="85" t="n"/>
      <c r="U110" s="85" t="n"/>
      <c r="V110" s="85" t="n"/>
      <c r="W110" s="85" t="n"/>
      <c r="X110" s="85" t="n"/>
      <c r="Y110" s="85" t="n"/>
      <c r="Z110" s="85" t="n"/>
    </row>
    <row r="111" ht="15.75" customHeight="1" s="86">
      <c r="T111" s="85" t="n"/>
      <c r="U111" s="85" t="n"/>
      <c r="V111" s="85" t="n"/>
      <c r="W111" s="85" t="n"/>
      <c r="X111" s="85" t="n"/>
      <c r="Y111" s="85" t="n"/>
      <c r="Z111" s="85" t="n"/>
    </row>
    <row r="112" ht="15.75" customHeight="1" s="86">
      <c r="T112" s="85" t="n"/>
      <c r="U112" s="85" t="n"/>
      <c r="V112" s="85" t="n"/>
      <c r="W112" s="85" t="n"/>
      <c r="X112" s="85" t="n"/>
      <c r="Y112" s="85" t="n"/>
      <c r="Z112" s="85" t="n"/>
    </row>
    <row r="113" ht="15.75" customHeight="1" s="86">
      <c r="T113" s="85" t="n"/>
      <c r="U113" s="85" t="n"/>
      <c r="V113" s="85" t="n"/>
      <c r="W113" s="85" t="n"/>
      <c r="X113" s="85" t="n"/>
      <c r="Y113" s="85" t="n"/>
      <c r="Z113" s="85" t="n"/>
    </row>
    <row r="114" ht="15.75" customHeight="1" s="86">
      <c r="T114" s="85" t="n"/>
      <c r="U114" s="85" t="n"/>
      <c r="V114" s="85" t="n"/>
      <c r="W114" s="85" t="n"/>
      <c r="X114" s="85" t="n"/>
      <c r="Y114" s="85" t="n"/>
      <c r="Z114" s="85" t="n"/>
    </row>
    <row r="115" ht="15.75" customHeight="1" s="86">
      <c r="T115" s="85" t="n"/>
      <c r="U115" s="85" t="n"/>
      <c r="V115" s="85" t="n"/>
      <c r="W115" s="85" t="n"/>
      <c r="X115" s="85" t="n"/>
      <c r="Y115" s="85" t="n"/>
      <c r="Z115" s="85" t="n"/>
    </row>
    <row r="116" ht="15.75" customHeight="1" s="86">
      <c r="T116" s="85" t="n"/>
      <c r="U116" s="85" t="n"/>
      <c r="V116" s="85" t="n"/>
      <c r="W116" s="85" t="n"/>
      <c r="X116" s="85" t="n"/>
      <c r="Y116" s="85" t="n"/>
      <c r="Z116" s="85" t="n"/>
    </row>
    <row r="117" ht="15.75" customHeight="1" s="86">
      <c r="T117" s="85" t="n"/>
      <c r="U117" s="85" t="n"/>
      <c r="V117" s="85" t="n"/>
      <c r="W117" s="85" t="n"/>
      <c r="X117" s="85" t="n"/>
      <c r="Y117" s="85" t="n"/>
      <c r="Z117" s="85" t="n"/>
    </row>
    <row r="118" ht="15.75" customHeight="1" s="86">
      <c r="T118" s="85" t="n"/>
      <c r="U118" s="85" t="n"/>
      <c r="V118" s="85" t="n"/>
      <c r="W118" s="85" t="n"/>
      <c r="X118" s="85" t="n"/>
      <c r="Y118" s="85" t="n"/>
      <c r="Z118" s="85" t="n"/>
    </row>
    <row r="119" ht="15.75" customHeight="1" s="86">
      <c r="T119" s="85" t="n"/>
      <c r="U119" s="85" t="n"/>
      <c r="V119" s="85" t="n"/>
      <c r="W119" s="85" t="n"/>
      <c r="X119" s="85" t="n"/>
      <c r="Y119" s="85" t="n"/>
      <c r="Z119" s="85" t="n"/>
    </row>
    <row r="120" ht="15.75" customHeight="1" s="86">
      <c r="T120" s="85" t="n"/>
      <c r="U120" s="85" t="n"/>
      <c r="V120" s="85" t="n"/>
      <c r="W120" s="85" t="n"/>
      <c r="X120" s="85" t="n"/>
      <c r="Y120" s="85" t="n"/>
      <c r="Z120" s="85" t="n"/>
    </row>
    <row r="121" ht="15.75" customHeight="1" s="86">
      <c r="T121" s="85" t="n"/>
      <c r="U121" s="85" t="n"/>
      <c r="V121" s="85" t="n"/>
      <c r="W121" s="85" t="n"/>
      <c r="X121" s="85" t="n"/>
      <c r="Y121" s="85" t="n"/>
      <c r="Z121" s="85" t="n"/>
    </row>
    <row r="122" ht="15.75" customHeight="1" s="86">
      <c r="T122" s="85" t="n"/>
      <c r="U122" s="85" t="n"/>
      <c r="V122" s="85" t="n"/>
      <c r="W122" s="85" t="n"/>
      <c r="X122" s="85" t="n"/>
      <c r="Y122" s="85" t="n"/>
      <c r="Z122" s="85" t="n"/>
    </row>
    <row r="123" ht="15.75" customHeight="1" s="86">
      <c r="T123" s="85" t="n"/>
      <c r="U123" s="85" t="n"/>
      <c r="V123" s="85" t="n"/>
      <c r="W123" s="85" t="n"/>
      <c r="X123" s="85" t="n"/>
      <c r="Y123" s="85" t="n"/>
      <c r="Z123" s="85" t="n"/>
    </row>
    <row r="124" ht="15.75" customHeight="1" s="86">
      <c r="T124" s="85" t="n"/>
      <c r="U124" s="85" t="n"/>
      <c r="V124" s="85" t="n"/>
      <c r="W124" s="85" t="n"/>
      <c r="X124" s="85" t="n"/>
      <c r="Y124" s="85" t="n"/>
      <c r="Z124" s="85" t="n"/>
    </row>
    <row r="125" ht="15.75" customHeight="1" s="86">
      <c r="T125" s="85" t="n"/>
      <c r="U125" s="85" t="n"/>
      <c r="V125" s="85" t="n"/>
      <c r="W125" s="85" t="n"/>
      <c r="X125" s="85" t="n"/>
      <c r="Y125" s="85" t="n"/>
      <c r="Z125" s="85" t="n"/>
    </row>
    <row r="126" ht="15.75" customHeight="1" s="86">
      <c r="T126" s="85" t="n"/>
      <c r="U126" s="85" t="n"/>
      <c r="V126" s="85" t="n"/>
      <c r="W126" s="85" t="n"/>
      <c r="X126" s="85" t="n"/>
      <c r="Y126" s="85" t="n"/>
      <c r="Z126" s="85" t="n"/>
    </row>
    <row r="127" ht="15.75" customHeight="1" s="86">
      <c r="T127" s="85" t="n"/>
      <c r="U127" s="85" t="n"/>
      <c r="V127" s="85" t="n"/>
      <c r="W127" s="85" t="n"/>
      <c r="X127" s="85" t="n"/>
      <c r="Y127" s="85" t="n"/>
      <c r="Z127" s="85" t="n"/>
    </row>
    <row r="128" ht="15.75" customHeight="1" s="86">
      <c r="T128" s="85" t="n"/>
      <c r="U128" s="85" t="n"/>
      <c r="V128" s="85" t="n"/>
      <c r="W128" s="85" t="n"/>
      <c r="X128" s="85" t="n"/>
      <c r="Y128" s="85" t="n"/>
      <c r="Z128" s="85" t="n"/>
    </row>
    <row r="129" ht="15.75" customHeight="1" s="86">
      <c r="T129" s="85" t="n"/>
      <c r="U129" s="85" t="n"/>
      <c r="V129" s="85" t="n"/>
      <c r="W129" s="85" t="n"/>
      <c r="X129" s="85" t="n"/>
      <c r="Y129" s="85" t="n"/>
      <c r="Z129" s="85" t="n"/>
    </row>
    <row r="130" ht="15.75" customHeight="1" s="86">
      <c r="T130" s="85" t="n"/>
      <c r="U130" s="85" t="n"/>
      <c r="V130" s="85" t="n"/>
      <c r="W130" s="85" t="n"/>
      <c r="X130" s="85" t="n"/>
      <c r="Y130" s="85" t="n"/>
      <c r="Z130" s="85" t="n"/>
    </row>
    <row r="131" ht="15.75" customHeight="1" s="86">
      <c r="T131" s="85" t="n"/>
      <c r="U131" s="85" t="n"/>
      <c r="V131" s="85" t="n"/>
      <c r="W131" s="85" t="n"/>
      <c r="X131" s="85" t="n"/>
      <c r="Y131" s="85" t="n"/>
      <c r="Z131" s="85" t="n"/>
    </row>
    <row r="132" ht="15.75" customHeight="1" s="86">
      <c r="T132" s="85" t="n"/>
      <c r="U132" s="85" t="n"/>
      <c r="V132" s="85" t="n"/>
      <c r="W132" s="85" t="n"/>
      <c r="X132" s="85" t="n"/>
      <c r="Y132" s="85" t="n"/>
      <c r="Z132" s="85" t="n"/>
    </row>
    <row r="133" ht="15.75" customHeight="1" s="86">
      <c r="T133" s="85" t="n"/>
      <c r="U133" s="85" t="n"/>
      <c r="V133" s="85" t="n"/>
      <c r="W133" s="85" t="n"/>
      <c r="X133" s="85" t="n"/>
      <c r="Y133" s="85" t="n"/>
      <c r="Z133" s="85" t="n"/>
    </row>
    <row r="134" ht="15.75" customHeight="1" s="86">
      <c r="T134" s="85" t="n"/>
      <c r="U134" s="85" t="n"/>
      <c r="V134" s="85" t="n"/>
      <c r="W134" s="85" t="n"/>
      <c r="X134" s="85" t="n"/>
      <c r="Y134" s="85" t="n"/>
      <c r="Z134" s="85" t="n"/>
    </row>
    <row r="135" ht="15.75" customHeight="1" s="86">
      <c r="T135" s="85" t="n"/>
      <c r="U135" s="85" t="n"/>
      <c r="V135" s="85" t="n"/>
      <c r="W135" s="85" t="n"/>
      <c r="X135" s="85" t="n"/>
      <c r="Y135" s="85" t="n"/>
      <c r="Z135" s="85" t="n"/>
    </row>
    <row r="136" ht="15.75" customHeight="1" s="86">
      <c r="T136" s="85" t="n"/>
      <c r="U136" s="85" t="n"/>
      <c r="V136" s="85" t="n"/>
      <c r="W136" s="85" t="n"/>
      <c r="X136" s="85" t="n"/>
      <c r="Y136" s="85" t="n"/>
      <c r="Z136" s="85" t="n"/>
    </row>
    <row r="137" ht="15.75" customHeight="1" s="86">
      <c r="T137" s="85" t="n"/>
      <c r="U137" s="85" t="n"/>
      <c r="V137" s="85" t="n"/>
      <c r="W137" s="85" t="n"/>
      <c r="X137" s="85" t="n"/>
      <c r="Y137" s="85" t="n"/>
      <c r="Z137" s="85" t="n"/>
    </row>
    <row r="138" ht="15.75" customHeight="1" s="86">
      <c r="T138" s="85" t="n"/>
      <c r="U138" s="85" t="n"/>
      <c r="V138" s="85" t="n"/>
      <c r="W138" s="85" t="n"/>
      <c r="X138" s="85" t="n"/>
      <c r="Y138" s="85" t="n"/>
      <c r="Z138" s="85" t="n"/>
    </row>
    <row r="139" ht="15.75" customHeight="1" s="86">
      <c r="T139" s="85" t="n"/>
      <c r="U139" s="85" t="n"/>
      <c r="V139" s="85" t="n"/>
      <c r="W139" s="85" t="n"/>
      <c r="X139" s="85" t="n"/>
      <c r="Y139" s="85" t="n"/>
      <c r="Z139" s="85" t="n"/>
    </row>
    <row r="140" ht="15.75" customHeight="1" s="86">
      <c r="T140" s="85" t="n"/>
      <c r="U140" s="85" t="n"/>
      <c r="V140" s="85" t="n"/>
      <c r="W140" s="85" t="n"/>
      <c r="X140" s="85" t="n"/>
      <c r="Y140" s="85" t="n"/>
      <c r="Z140" s="85" t="n"/>
    </row>
    <row r="141" ht="15.75" customHeight="1" s="86">
      <c r="T141" s="85" t="n"/>
      <c r="U141" s="85" t="n"/>
      <c r="V141" s="85" t="n"/>
      <c r="W141" s="85" t="n"/>
      <c r="X141" s="85" t="n"/>
      <c r="Y141" s="85" t="n"/>
      <c r="Z141" s="85" t="n"/>
    </row>
    <row r="142" ht="15.75" customHeight="1" s="86">
      <c r="T142" s="85" t="n"/>
      <c r="U142" s="85" t="n"/>
      <c r="V142" s="85" t="n"/>
      <c r="W142" s="85" t="n"/>
      <c r="X142" s="85" t="n"/>
      <c r="Y142" s="85" t="n"/>
      <c r="Z142" s="85" t="n"/>
    </row>
    <row r="143" ht="15.75" customHeight="1" s="86">
      <c r="T143" s="85" t="n"/>
      <c r="U143" s="85" t="n"/>
      <c r="V143" s="85" t="n"/>
      <c r="W143" s="85" t="n"/>
      <c r="X143" s="85" t="n"/>
      <c r="Y143" s="85" t="n"/>
      <c r="Z143" s="85" t="n"/>
    </row>
    <row r="144" ht="15.75" customHeight="1" s="86">
      <c r="T144" s="85" t="n"/>
      <c r="U144" s="85" t="n"/>
      <c r="V144" s="85" t="n"/>
      <c r="W144" s="85" t="n"/>
      <c r="X144" s="85" t="n"/>
      <c r="Y144" s="85" t="n"/>
      <c r="Z144" s="85" t="n"/>
    </row>
    <row r="145" ht="15.75" customHeight="1" s="86">
      <c r="T145" s="85" t="n"/>
      <c r="U145" s="85" t="n"/>
      <c r="V145" s="85" t="n"/>
      <c r="W145" s="85" t="n"/>
      <c r="X145" s="85" t="n"/>
      <c r="Y145" s="85" t="n"/>
      <c r="Z145" s="85" t="n"/>
    </row>
    <row r="146" ht="15.75" customHeight="1" s="86">
      <c r="T146" s="85" t="n"/>
      <c r="U146" s="85" t="n"/>
      <c r="V146" s="85" t="n"/>
      <c r="W146" s="85" t="n"/>
      <c r="X146" s="85" t="n"/>
      <c r="Y146" s="85" t="n"/>
      <c r="Z146" s="85" t="n"/>
    </row>
    <row r="147" ht="15.75" customHeight="1" s="86">
      <c r="T147" s="85" t="n"/>
      <c r="U147" s="85" t="n"/>
      <c r="V147" s="85" t="n"/>
      <c r="W147" s="85" t="n"/>
      <c r="X147" s="85" t="n"/>
      <c r="Y147" s="85" t="n"/>
      <c r="Z147" s="85" t="n"/>
    </row>
    <row r="148" ht="15.75" customHeight="1" s="86">
      <c r="T148" s="85" t="n"/>
      <c r="U148" s="85" t="n"/>
      <c r="V148" s="85" t="n"/>
      <c r="W148" s="85" t="n"/>
      <c r="X148" s="85" t="n"/>
      <c r="Y148" s="85" t="n"/>
      <c r="Z148" s="85" t="n"/>
    </row>
    <row r="149" ht="15.75" customHeight="1" s="86">
      <c r="T149" s="85" t="n"/>
      <c r="U149" s="85" t="n"/>
      <c r="V149" s="85" t="n"/>
      <c r="W149" s="85" t="n"/>
      <c r="X149" s="85" t="n"/>
      <c r="Y149" s="85" t="n"/>
      <c r="Z149" s="85" t="n"/>
    </row>
    <row r="150" ht="15.75" customHeight="1" s="86">
      <c r="T150" s="85" t="n"/>
      <c r="U150" s="85" t="n"/>
      <c r="V150" s="85" t="n"/>
      <c r="W150" s="85" t="n"/>
      <c r="X150" s="85" t="n"/>
      <c r="Y150" s="85" t="n"/>
      <c r="Z150" s="85" t="n"/>
    </row>
    <row r="151" ht="15.75" customHeight="1" s="86">
      <c r="T151" s="85" t="n"/>
      <c r="U151" s="85" t="n"/>
      <c r="V151" s="85" t="n"/>
      <c r="W151" s="85" t="n"/>
      <c r="X151" s="85" t="n"/>
      <c r="Y151" s="85" t="n"/>
      <c r="Z151" s="85" t="n"/>
    </row>
    <row r="152" ht="15.75" customHeight="1" s="86">
      <c r="T152" s="85" t="n"/>
      <c r="U152" s="85" t="n"/>
      <c r="V152" s="85" t="n"/>
      <c r="W152" s="85" t="n"/>
      <c r="X152" s="85" t="n"/>
      <c r="Y152" s="85" t="n"/>
      <c r="Z152" s="85" t="n"/>
    </row>
    <row r="153" ht="15.75" customHeight="1" s="86">
      <c r="T153" s="85" t="n"/>
      <c r="U153" s="85" t="n"/>
      <c r="V153" s="85" t="n"/>
      <c r="W153" s="85" t="n"/>
      <c r="X153" s="85" t="n"/>
      <c r="Y153" s="85" t="n"/>
      <c r="Z153" s="85" t="n"/>
    </row>
    <row r="154" ht="15.75" customHeight="1" s="86">
      <c r="T154" s="85" t="n"/>
      <c r="U154" s="85" t="n"/>
      <c r="V154" s="85" t="n"/>
      <c r="W154" s="85" t="n"/>
      <c r="X154" s="85" t="n"/>
      <c r="Y154" s="85" t="n"/>
      <c r="Z154" s="85" t="n"/>
    </row>
    <row r="155" ht="15.75" customHeight="1" s="86">
      <c r="T155" s="85" t="n"/>
      <c r="U155" s="85" t="n"/>
      <c r="V155" s="85" t="n"/>
      <c r="W155" s="85" t="n"/>
      <c r="X155" s="85" t="n"/>
      <c r="Y155" s="85" t="n"/>
      <c r="Z155" s="85" t="n"/>
    </row>
    <row r="156" ht="15.75" customHeight="1" s="86">
      <c r="T156" s="85" t="n"/>
      <c r="U156" s="85" t="n"/>
      <c r="V156" s="85" t="n"/>
      <c r="W156" s="85" t="n"/>
      <c r="X156" s="85" t="n"/>
      <c r="Y156" s="85" t="n"/>
      <c r="Z156" s="85" t="n"/>
    </row>
    <row r="157" ht="15.75" customHeight="1" s="86">
      <c r="T157" s="85" t="n"/>
      <c r="U157" s="85" t="n"/>
      <c r="V157" s="85" t="n"/>
      <c r="W157" s="85" t="n"/>
      <c r="X157" s="85" t="n"/>
      <c r="Y157" s="85" t="n"/>
      <c r="Z157" s="85" t="n"/>
    </row>
    <row r="158" ht="15.75" customHeight="1" s="86">
      <c r="T158" s="85" t="n"/>
      <c r="U158" s="85" t="n"/>
      <c r="V158" s="85" t="n"/>
      <c r="W158" s="85" t="n"/>
      <c r="X158" s="85" t="n"/>
      <c r="Y158" s="85" t="n"/>
      <c r="Z158" s="85" t="n"/>
    </row>
    <row r="159" ht="15.75" customHeight="1" s="86">
      <c r="T159" s="85" t="n"/>
      <c r="U159" s="85" t="n"/>
      <c r="V159" s="85" t="n"/>
      <c r="W159" s="85" t="n"/>
      <c r="X159" s="85" t="n"/>
      <c r="Y159" s="85" t="n"/>
      <c r="Z159" s="85" t="n"/>
    </row>
    <row r="160" ht="15.75" customHeight="1" s="86">
      <c r="T160" s="85" t="n"/>
      <c r="U160" s="85" t="n"/>
      <c r="V160" s="85" t="n"/>
      <c r="W160" s="85" t="n"/>
      <c r="X160" s="85" t="n"/>
      <c r="Y160" s="85" t="n"/>
      <c r="Z160" s="85" t="n"/>
    </row>
    <row r="161" ht="15.75" customHeight="1" s="86">
      <c r="T161" s="85" t="n"/>
      <c r="U161" s="85" t="n"/>
      <c r="V161" s="85" t="n"/>
      <c r="W161" s="85" t="n"/>
      <c r="X161" s="85" t="n"/>
      <c r="Y161" s="85" t="n"/>
      <c r="Z161" s="85" t="n"/>
    </row>
    <row r="162" ht="15.75" customHeight="1" s="86">
      <c r="T162" s="85" t="n"/>
      <c r="U162" s="85" t="n"/>
      <c r="V162" s="85" t="n"/>
      <c r="W162" s="85" t="n"/>
      <c r="X162" s="85" t="n"/>
      <c r="Y162" s="85" t="n"/>
      <c r="Z162" s="85" t="n"/>
    </row>
    <row r="163" ht="15.75" customHeight="1" s="86">
      <c r="T163" s="85" t="n"/>
      <c r="U163" s="85" t="n"/>
      <c r="V163" s="85" t="n"/>
      <c r="W163" s="85" t="n"/>
      <c r="X163" s="85" t="n"/>
      <c r="Y163" s="85" t="n"/>
      <c r="Z163" s="85" t="n"/>
    </row>
    <row r="164" ht="15.75" customHeight="1" s="86">
      <c r="T164" s="85" t="n"/>
      <c r="U164" s="85" t="n"/>
      <c r="V164" s="85" t="n"/>
      <c r="W164" s="85" t="n"/>
      <c r="X164" s="85" t="n"/>
      <c r="Y164" s="85" t="n"/>
      <c r="Z164" s="85" t="n"/>
    </row>
    <row r="165" ht="15.75" customHeight="1" s="86">
      <c r="T165" s="85" t="n"/>
      <c r="U165" s="85" t="n"/>
      <c r="V165" s="85" t="n"/>
      <c r="W165" s="85" t="n"/>
      <c r="X165" s="85" t="n"/>
      <c r="Y165" s="85" t="n"/>
      <c r="Z165" s="85" t="n"/>
    </row>
    <row r="166" ht="15.75" customHeight="1" s="86">
      <c r="T166" s="85" t="n"/>
      <c r="U166" s="85" t="n"/>
      <c r="V166" s="85" t="n"/>
      <c r="W166" s="85" t="n"/>
      <c r="X166" s="85" t="n"/>
      <c r="Y166" s="85" t="n"/>
      <c r="Z166" s="85" t="n"/>
    </row>
    <row r="167" ht="15.75" customHeight="1" s="86">
      <c r="T167" s="85" t="n"/>
      <c r="U167" s="85" t="n"/>
      <c r="V167" s="85" t="n"/>
      <c r="W167" s="85" t="n"/>
      <c r="X167" s="85" t="n"/>
      <c r="Y167" s="85" t="n"/>
      <c r="Z167" s="85" t="n"/>
    </row>
    <row r="168" ht="15.75" customHeight="1" s="86">
      <c r="T168" s="85" t="n"/>
      <c r="U168" s="85" t="n"/>
      <c r="V168" s="85" t="n"/>
      <c r="W168" s="85" t="n"/>
      <c r="X168" s="85" t="n"/>
      <c r="Y168" s="85" t="n"/>
      <c r="Z168" s="85" t="n"/>
    </row>
    <row r="169" ht="15.75" customHeight="1" s="86">
      <c r="T169" s="85" t="n"/>
      <c r="U169" s="85" t="n"/>
      <c r="V169" s="85" t="n"/>
      <c r="W169" s="85" t="n"/>
      <c r="X169" s="85" t="n"/>
      <c r="Y169" s="85" t="n"/>
      <c r="Z169" s="85" t="n"/>
    </row>
    <row r="170" ht="15.75" customHeight="1" s="86">
      <c r="T170" s="85" t="n"/>
      <c r="U170" s="85" t="n"/>
      <c r="V170" s="85" t="n"/>
      <c r="W170" s="85" t="n"/>
      <c r="X170" s="85" t="n"/>
      <c r="Y170" s="85" t="n"/>
      <c r="Z170" s="85" t="n"/>
    </row>
    <row r="171" ht="15.75" customHeight="1" s="86">
      <c r="T171" s="85" t="n"/>
      <c r="U171" s="85" t="n"/>
      <c r="V171" s="85" t="n"/>
      <c r="W171" s="85" t="n"/>
      <c r="X171" s="85" t="n"/>
      <c r="Y171" s="85" t="n"/>
      <c r="Z171" s="85" t="n"/>
    </row>
    <row r="172" ht="15.75" customHeight="1" s="86">
      <c r="T172" s="85" t="n"/>
      <c r="U172" s="85" t="n"/>
      <c r="V172" s="85" t="n"/>
      <c r="W172" s="85" t="n"/>
      <c r="X172" s="85" t="n"/>
      <c r="Y172" s="85" t="n"/>
      <c r="Z172" s="85" t="n"/>
    </row>
    <row r="173" ht="15.75" customHeight="1" s="86">
      <c r="T173" s="85" t="n"/>
      <c r="U173" s="85" t="n"/>
      <c r="V173" s="85" t="n"/>
      <c r="W173" s="85" t="n"/>
      <c r="X173" s="85" t="n"/>
      <c r="Y173" s="85" t="n"/>
      <c r="Z173" s="85" t="n"/>
    </row>
    <row r="174" ht="15.75" customHeight="1" s="86">
      <c r="T174" s="85" t="n"/>
      <c r="U174" s="85" t="n"/>
      <c r="V174" s="85" t="n"/>
      <c r="W174" s="85" t="n"/>
      <c r="X174" s="85" t="n"/>
      <c r="Y174" s="85" t="n"/>
      <c r="Z174" s="85" t="n"/>
    </row>
    <row r="175" ht="15.75" customHeight="1" s="86">
      <c r="T175" s="85" t="n"/>
      <c r="U175" s="85" t="n"/>
      <c r="V175" s="85" t="n"/>
      <c r="W175" s="85" t="n"/>
      <c r="X175" s="85" t="n"/>
      <c r="Y175" s="85" t="n"/>
      <c r="Z175" s="85" t="n"/>
    </row>
    <row r="176" ht="15.75" customHeight="1" s="86">
      <c r="T176" s="85" t="n"/>
      <c r="U176" s="85" t="n"/>
      <c r="V176" s="85" t="n"/>
      <c r="W176" s="85" t="n"/>
      <c r="X176" s="85" t="n"/>
      <c r="Y176" s="85" t="n"/>
      <c r="Z176" s="85" t="n"/>
    </row>
    <row r="177" ht="15.75" customHeight="1" s="86">
      <c r="T177" s="85" t="n"/>
      <c r="U177" s="85" t="n"/>
      <c r="V177" s="85" t="n"/>
      <c r="W177" s="85" t="n"/>
      <c r="X177" s="85" t="n"/>
      <c r="Y177" s="85" t="n"/>
      <c r="Z177" s="85" t="n"/>
    </row>
    <row r="178" ht="15.75" customHeight="1" s="86">
      <c r="T178" s="85" t="n"/>
      <c r="U178" s="85" t="n"/>
      <c r="V178" s="85" t="n"/>
      <c r="W178" s="85" t="n"/>
      <c r="X178" s="85" t="n"/>
      <c r="Y178" s="85" t="n"/>
      <c r="Z178" s="85" t="n"/>
    </row>
    <row r="179" ht="15.75" customHeight="1" s="86">
      <c r="T179" s="85" t="n"/>
      <c r="U179" s="85" t="n"/>
      <c r="V179" s="85" t="n"/>
      <c r="W179" s="85" t="n"/>
      <c r="X179" s="85" t="n"/>
      <c r="Y179" s="85" t="n"/>
      <c r="Z179" s="85" t="n"/>
    </row>
    <row r="180" ht="15.75" customHeight="1" s="86">
      <c r="T180" s="85" t="n"/>
      <c r="U180" s="85" t="n"/>
      <c r="V180" s="85" t="n"/>
      <c r="W180" s="85" t="n"/>
      <c r="X180" s="85" t="n"/>
      <c r="Y180" s="85" t="n"/>
      <c r="Z180" s="85" t="n"/>
    </row>
    <row r="181" ht="15.75" customHeight="1" s="86">
      <c r="T181" s="85" t="n"/>
      <c r="U181" s="85" t="n"/>
      <c r="V181" s="85" t="n"/>
      <c r="W181" s="85" t="n"/>
      <c r="X181" s="85" t="n"/>
      <c r="Y181" s="85" t="n"/>
      <c r="Z181" s="85" t="n"/>
    </row>
    <row r="182" ht="15.75" customHeight="1" s="86">
      <c r="T182" s="85" t="n"/>
      <c r="U182" s="85" t="n"/>
      <c r="V182" s="85" t="n"/>
      <c r="W182" s="85" t="n"/>
      <c r="X182" s="85" t="n"/>
      <c r="Y182" s="85" t="n"/>
      <c r="Z182" s="85" t="n"/>
    </row>
    <row r="183" ht="15.75" customHeight="1" s="86">
      <c r="T183" s="85" t="n"/>
      <c r="U183" s="85" t="n"/>
      <c r="V183" s="85" t="n"/>
      <c r="W183" s="85" t="n"/>
      <c r="X183" s="85" t="n"/>
      <c r="Y183" s="85" t="n"/>
      <c r="Z183" s="85" t="n"/>
    </row>
    <row r="184" ht="15.75" customHeight="1" s="86">
      <c r="T184" s="85" t="n"/>
      <c r="U184" s="85" t="n"/>
      <c r="V184" s="85" t="n"/>
      <c r="W184" s="85" t="n"/>
      <c r="X184" s="85" t="n"/>
      <c r="Y184" s="85" t="n"/>
      <c r="Z184" s="85" t="n"/>
    </row>
    <row r="185" ht="15.75" customHeight="1" s="86">
      <c r="T185" s="85" t="n"/>
      <c r="U185" s="85" t="n"/>
      <c r="V185" s="85" t="n"/>
      <c r="W185" s="85" t="n"/>
      <c r="X185" s="85" t="n"/>
      <c r="Y185" s="85" t="n"/>
      <c r="Z185" s="85" t="n"/>
    </row>
    <row r="186" ht="15.75" customHeight="1" s="86">
      <c r="T186" s="85" t="n"/>
      <c r="U186" s="85" t="n"/>
      <c r="V186" s="85" t="n"/>
      <c r="W186" s="85" t="n"/>
      <c r="X186" s="85" t="n"/>
      <c r="Y186" s="85" t="n"/>
      <c r="Z186" s="85" t="n"/>
    </row>
    <row r="187" ht="15.75" customHeight="1" s="86">
      <c r="T187" s="85" t="n"/>
      <c r="U187" s="85" t="n"/>
      <c r="V187" s="85" t="n"/>
      <c r="W187" s="85" t="n"/>
      <c r="X187" s="85" t="n"/>
      <c r="Y187" s="85" t="n"/>
      <c r="Z187" s="85" t="n"/>
    </row>
    <row r="188" ht="15.75" customHeight="1" s="86">
      <c r="T188" s="85" t="n"/>
      <c r="U188" s="85" t="n"/>
      <c r="V188" s="85" t="n"/>
      <c r="W188" s="85" t="n"/>
      <c r="X188" s="85" t="n"/>
      <c r="Y188" s="85" t="n"/>
      <c r="Z188" s="85" t="n"/>
    </row>
    <row r="189" ht="15.75" customHeight="1" s="86">
      <c r="T189" s="85" t="n"/>
      <c r="U189" s="85" t="n"/>
      <c r="V189" s="85" t="n"/>
      <c r="W189" s="85" t="n"/>
      <c r="X189" s="85" t="n"/>
      <c r="Y189" s="85" t="n"/>
      <c r="Z189" s="85" t="n"/>
    </row>
    <row r="190" ht="15.75" customHeight="1" s="86">
      <c r="T190" s="85" t="n"/>
      <c r="U190" s="85" t="n"/>
      <c r="V190" s="85" t="n"/>
      <c r="W190" s="85" t="n"/>
      <c r="X190" s="85" t="n"/>
      <c r="Y190" s="85" t="n"/>
      <c r="Z190" s="85" t="n"/>
    </row>
    <row r="191" ht="15.75" customHeight="1" s="86">
      <c r="T191" s="85" t="n"/>
      <c r="U191" s="85" t="n"/>
      <c r="V191" s="85" t="n"/>
      <c r="W191" s="85" t="n"/>
      <c r="X191" s="85" t="n"/>
      <c r="Y191" s="85" t="n"/>
      <c r="Z191" s="85" t="n"/>
    </row>
    <row r="192" ht="15.75" customHeight="1" s="86">
      <c r="T192" s="85" t="n"/>
      <c r="U192" s="85" t="n"/>
      <c r="V192" s="85" t="n"/>
      <c r="W192" s="85" t="n"/>
      <c r="X192" s="85" t="n"/>
      <c r="Y192" s="85" t="n"/>
      <c r="Z192" s="85" t="n"/>
    </row>
    <row r="193" ht="15.75" customHeight="1" s="86">
      <c r="T193" s="85" t="n"/>
      <c r="U193" s="85" t="n"/>
      <c r="V193" s="85" t="n"/>
      <c r="W193" s="85" t="n"/>
      <c r="X193" s="85" t="n"/>
      <c r="Y193" s="85" t="n"/>
      <c r="Z193" s="85" t="n"/>
    </row>
    <row r="194" ht="15.75" customHeight="1" s="86">
      <c r="T194" s="85" t="n"/>
      <c r="U194" s="85" t="n"/>
      <c r="V194" s="85" t="n"/>
      <c r="W194" s="85" t="n"/>
      <c r="X194" s="85" t="n"/>
      <c r="Y194" s="85" t="n"/>
      <c r="Z194" s="85" t="n"/>
    </row>
    <row r="195" ht="15.75" customHeight="1" s="86">
      <c r="T195" s="85" t="n"/>
      <c r="U195" s="85" t="n"/>
      <c r="V195" s="85" t="n"/>
      <c r="W195" s="85" t="n"/>
      <c r="X195" s="85" t="n"/>
      <c r="Y195" s="85" t="n"/>
      <c r="Z195" s="85" t="n"/>
    </row>
    <row r="196" ht="15.75" customHeight="1" s="86">
      <c r="T196" s="85" t="n"/>
      <c r="U196" s="85" t="n"/>
      <c r="V196" s="85" t="n"/>
      <c r="W196" s="85" t="n"/>
      <c r="X196" s="85" t="n"/>
      <c r="Y196" s="85" t="n"/>
      <c r="Z196" s="85" t="n"/>
    </row>
    <row r="197" ht="15.75" customHeight="1" s="86">
      <c r="T197" s="85" t="n"/>
      <c r="U197" s="85" t="n"/>
      <c r="V197" s="85" t="n"/>
      <c r="W197" s="85" t="n"/>
      <c r="X197" s="85" t="n"/>
      <c r="Y197" s="85" t="n"/>
      <c r="Z197" s="85" t="n"/>
    </row>
    <row r="198" ht="15.75" customHeight="1" s="86">
      <c r="T198" s="85" t="n"/>
      <c r="U198" s="85" t="n"/>
      <c r="V198" s="85" t="n"/>
      <c r="W198" s="85" t="n"/>
      <c r="X198" s="85" t="n"/>
      <c r="Y198" s="85" t="n"/>
      <c r="Z198" s="85" t="n"/>
    </row>
    <row r="199" ht="15.75" customHeight="1" s="86">
      <c r="T199" s="85" t="n"/>
      <c r="U199" s="85" t="n"/>
      <c r="V199" s="85" t="n"/>
      <c r="W199" s="85" t="n"/>
      <c r="X199" s="85" t="n"/>
      <c r="Y199" s="85" t="n"/>
      <c r="Z199" s="85" t="n"/>
    </row>
    <row r="200" ht="15.75" customHeight="1" s="86">
      <c r="T200" s="85" t="n"/>
      <c r="U200" s="85" t="n"/>
      <c r="V200" s="85" t="n"/>
      <c r="W200" s="85" t="n"/>
      <c r="X200" s="85" t="n"/>
      <c r="Y200" s="85" t="n"/>
      <c r="Z200" s="85" t="n"/>
    </row>
    <row r="201" ht="15.75" customHeight="1" s="86">
      <c r="T201" s="85" t="n"/>
      <c r="U201" s="85" t="n"/>
      <c r="V201" s="85" t="n"/>
      <c r="W201" s="85" t="n"/>
      <c r="X201" s="85" t="n"/>
      <c r="Y201" s="85" t="n"/>
      <c r="Z201" s="85" t="n"/>
    </row>
    <row r="202" ht="15.75" customHeight="1" s="86">
      <c r="T202" s="85" t="n"/>
      <c r="U202" s="85" t="n"/>
      <c r="V202" s="85" t="n"/>
      <c r="W202" s="85" t="n"/>
      <c r="X202" s="85" t="n"/>
      <c r="Y202" s="85" t="n"/>
      <c r="Z202" s="85" t="n"/>
    </row>
    <row r="203" ht="15.75" customHeight="1" s="86">
      <c r="T203" s="85" t="n"/>
      <c r="U203" s="85" t="n"/>
      <c r="V203" s="85" t="n"/>
      <c r="W203" s="85" t="n"/>
      <c r="X203" s="85" t="n"/>
      <c r="Y203" s="85" t="n"/>
      <c r="Z203" s="85" t="n"/>
    </row>
    <row r="204" ht="15.75" customHeight="1" s="86">
      <c r="T204" s="85" t="n"/>
      <c r="U204" s="85" t="n"/>
      <c r="V204" s="85" t="n"/>
      <c r="W204" s="85" t="n"/>
      <c r="X204" s="85" t="n"/>
      <c r="Y204" s="85" t="n"/>
      <c r="Z204" s="85" t="n"/>
    </row>
    <row r="205" ht="15.75" customHeight="1" s="86">
      <c r="T205" s="85" t="n"/>
      <c r="U205" s="85" t="n"/>
      <c r="V205" s="85" t="n"/>
      <c r="W205" s="85" t="n"/>
      <c r="X205" s="85" t="n"/>
      <c r="Y205" s="85" t="n"/>
      <c r="Z205" s="85" t="n"/>
    </row>
    <row r="206" ht="15.75" customHeight="1" s="86">
      <c r="T206" s="85" t="n"/>
      <c r="U206" s="85" t="n"/>
      <c r="V206" s="85" t="n"/>
      <c r="W206" s="85" t="n"/>
      <c r="X206" s="85" t="n"/>
      <c r="Y206" s="85" t="n"/>
      <c r="Z206" s="85" t="n"/>
    </row>
    <row r="207" ht="15.75" customHeight="1" s="86">
      <c r="T207" s="85" t="n"/>
      <c r="U207" s="85" t="n"/>
      <c r="V207" s="85" t="n"/>
      <c r="W207" s="85" t="n"/>
      <c r="X207" s="85" t="n"/>
      <c r="Y207" s="85" t="n"/>
      <c r="Z207" s="85" t="n"/>
    </row>
    <row r="208" ht="15.75" customHeight="1" s="86">
      <c r="T208" s="85" t="n"/>
      <c r="U208" s="85" t="n"/>
      <c r="V208" s="85" t="n"/>
      <c r="W208" s="85" t="n"/>
      <c r="X208" s="85" t="n"/>
      <c r="Y208" s="85" t="n"/>
      <c r="Z208" s="85" t="n"/>
    </row>
    <row r="209" ht="15.75" customHeight="1" s="86">
      <c r="T209" s="85" t="n"/>
      <c r="U209" s="85" t="n"/>
      <c r="V209" s="85" t="n"/>
      <c r="W209" s="85" t="n"/>
      <c r="X209" s="85" t="n"/>
      <c r="Y209" s="85" t="n"/>
      <c r="Z209" s="85" t="n"/>
    </row>
    <row r="210" ht="15.75" customHeight="1" s="86">
      <c r="T210" s="85" t="n"/>
      <c r="U210" s="85" t="n"/>
      <c r="V210" s="85" t="n"/>
      <c r="W210" s="85" t="n"/>
      <c r="X210" s="85" t="n"/>
      <c r="Y210" s="85" t="n"/>
      <c r="Z210" s="85" t="n"/>
    </row>
    <row r="211" ht="15.75" customHeight="1" s="86">
      <c r="T211" s="85" t="n"/>
      <c r="U211" s="85" t="n"/>
      <c r="V211" s="85" t="n"/>
      <c r="W211" s="85" t="n"/>
      <c r="X211" s="85" t="n"/>
      <c r="Y211" s="85" t="n"/>
      <c r="Z211" s="85" t="n"/>
    </row>
    <row r="212" ht="15.75" customHeight="1" s="86">
      <c r="T212" s="85" t="n"/>
      <c r="U212" s="85" t="n"/>
      <c r="V212" s="85" t="n"/>
      <c r="W212" s="85" t="n"/>
      <c r="X212" s="85" t="n"/>
      <c r="Y212" s="85" t="n"/>
      <c r="Z212" s="85" t="n"/>
    </row>
    <row r="213" ht="15.75" customHeight="1" s="86">
      <c r="T213" s="85" t="n"/>
      <c r="U213" s="85" t="n"/>
      <c r="V213" s="85" t="n"/>
      <c r="W213" s="85" t="n"/>
      <c r="X213" s="85" t="n"/>
      <c r="Y213" s="85" t="n"/>
      <c r="Z213" s="85" t="n"/>
    </row>
    <row r="214" ht="15.75" customHeight="1" s="86">
      <c r="T214" s="85" t="n"/>
      <c r="U214" s="85" t="n"/>
      <c r="V214" s="85" t="n"/>
      <c r="W214" s="85" t="n"/>
      <c r="X214" s="85" t="n"/>
      <c r="Y214" s="85" t="n"/>
      <c r="Z214" s="85" t="n"/>
    </row>
    <row r="215" ht="15.75" customHeight="1" s="86">
      <c r="T215" s="85" t="n"/>
      <c r="U215" s="85" t="n"/>
      <c r="V215" s="85" t="n"/>
      <c r="W215" s="85" t="n"/>
      <c r="X215" s="85" t="n"/>
      <c r="Y215" s="85" t="n"/>
      <c r="Z215" s="85" t="n"/>
    </row>
    <row r="216" ht="15.75" customHeight="1" s="86">
      <c r="T216" s="85" t="n"/>
      <c r="U216" s="85" t="n"/>
      <c r="V216" s="85" t="n"/>
      <c r="W216" s="85" t="n"/>
      <c r="X216" s="85" t="n"/>
      <c r="Y216" s="85" t="n"/>
      <c r="Z216" s="85" t="n"/>
    </row>
    <row r="217" ht="15.75" customHeight="1" s="86">
      <c r="T217" s="85" t="n"/>
      <c r="U217" s="85" t="n"/>
      <c r="V217" s="85" t="n"/>
      <c r="W217" s="85" t="n"/>
      <c r="X217" s="85" t="n"/>
      <c r="Y217" s="85" t="n"/>
      <c r="Z217" s="85" t="n"/>
    </row>
    <row r="218" ht="15.75" customHeight="1" s="86">
      <c r="T218" s="85" t="n"/>
      <c r="U218" s="85" t="n"/>
      <c r="V218" s="85" t="n"/>
      <c r="W218" s="85" t="n"/>
      <c r="X218" s="85" t="n"/>
      <c r="Y218" s="85" t="n"/>
      <c r="Z218" s="85" t="n"/>
    </row>
    <row r="219" ht="15.75" customHeight="1" s="86">
      <c r="T219" s="85" t="n"/>
      <c r="U219" s="85" t="n"/>
      <c r="V219" s="85" t="n"/>
      <c r="W219" s="85" t="n"/>
      <c r="X219" s="85" t="n"/>
      <c r="Y219" s="85" t="n"/>
      <c r="Z219" s="85" t="n"/>
    </row>
    <row r="220" ht="15.75" customHeight="1" s="86">
      <c r="T220" s="85" t="n"/>
      <c r="U220" s="85" t="n"/>
      <c r="V220" s="85" t="n"/>
      <c r="W220" s="85" t="n"/>
      <c r="X220" s="85" t="n"/>
      <c r="Y220" s="85" t="n"/>
      <c r="Z220" s="85" t="n"/>
    </row>
    <row r="221" ht="15.75" customHeight="1" s="86">
      <c r="T221" s="85" t="n"/>
      <c r="U221" s="85" t="n"/>
      <c r="V221" s="85" t="n"/>
      <c r="W221" s="85" t="n"/>
      <c r="X221" s="85" t="n"/>
      <c r="Y221" s="85" t="n"/>
      <c r="Z221" s="85" t="n"/>
    </row>
    <row r="222" ht="15.75" customHeight="1" s="86">
      <c r="T222" s="85" t="n"/>
      <c r="U222" s="85" t="n"/>
      <c r="V222" s="85" t="n"/>
      <c r="W222" s="85" t="n"/>
      <c r="X222" s="85" t="n"/>
      <c r="Y222" s="85" t="n"/>
      <c r="Z222" s="85" t="n"/>
    </row>
    <row r="223" ht="15.75" customHeight="1" s="86">
      <c r="T223" s="85" t="n"/>
      <c r="U223" s="85" t="n"/>
      <c r="V223" s="85" t="n"/>
      <c r="W223" s="85" t="n"/>
      <c r="X223" s="85" t="n"/>
      <c r="Y223" s="85" t="n"/>
      <c r="Z223" s="85" t="n"/>
    </row>
    <row r="224" ht="15.75" customHeight="1" s="86">
      <c r="T224" s="85" t="n"/>
      <c r="U224" s="85" t="n"/>
      <c r="V224" s="85" t="n"/>
      <c r="W224" s="85" t="n"/>
      <c r="X224" s="85" t="n"/>
      <c r="Y224" s="85" t="n"/>
      <c r="Z224" s="85" t="n"/>
    </row>
    <row r="225" ht="15.75" customHeight="1" s="86">
      <c r="T225" s="85" t="n"/>
      <c r="U225" s="85" t="n"/>
      <c r="V225" s="85" t="n"/>
      <c r="W225" s="85" t="n"/>
      <c r="X225" s="85" t="n"/>
      <c r="Y225" s="85" t="n"/>
      <c r="Z225" s="85" t="n"/>
    </row>
    <row r="226" ht="15.75" customHeight="1" s="86">
      <c r="T226" s="85" t="n"/>
      <c r="U226" s="85" t="n"/>
      <c r="V226" s="85" t="n"/>
      <c r="W226" s="85" t="n"/>
      <c r="X226" s="85" t="n"/>
      <c r="Y226" s="85" t="n"/>
      <c r="Z226" s="85" t="n"/>
    </row>
    <row r="227" ht="15.75" customHeight="1" s="86">
      <c r="T227" s="85" t="n"/>
      <c r="U227" s="85" t="n"/>
      <c r="V227" s="85" t="n"/>
      <c r="W227" s="85" t="n"/>
      <c r="X227" s="85" t="n"/>
      <c r="Y227" s="85" t="n"/>
      <c r="Z227" s="85" t="n"/>
    </row>
    <row r="228" ht="15.75" customHeight="1" s="86">
      <c r="T228" s="85" t="n"/>
      <c r="U228" s="85" t="n"/>
      <c r="V228" s="85" t="n"/>
      <c r="W228" s="85" t="n"/>
      <c r="X228" s="85" t="n"/>
      <c r="Y228" s="85" t="n"/>
      <c r="Z228" s="85" t="n"/>
    </row>
    <row r="229" ht="15.75" customHeight="1" s="86">
      <c r="T229" s="85" t="n"/>
      <c r="U229" s="85" t="n"/>
      <c r="V229" s="85" t="n"/>
      <c r="W229" s="85" t="n"/>
      <c r="X229" s="85" t="n"/>
      <c r="Y229" s="85" t="n"/>
      <c r="Z229" s="85" t="n"/>
    </row>
    <row r="230" ht="15.75" customHeight="1" s="86">
      <c r="T230" s="85" t="n"/>
      <c r="U230" s="85" t="n"/>
      <c r="V230" s="85" t="n"/>
      <c r="W230" s="85" t="n"/>
      <c r="X230" s="85" t="n"/>
      <c r="Y230" s="85" t="n"/>
      <c r="Z230" s="85" t="n"/>
    </row>
    <row r="231" ht="15.75" customHeight="1" s="86">
      <c r="T231" s="85" t="n"/>
      <c r="U231" s="85" t="n"/>
      <c r="V231" s="85" t="n"/>
      <c r="W231" s="85" t="n"/>
      <c r="X231" s="85" t="n"/>
      <c r="Y231" s="85" t="n"/>
      <c r="Z231" s="85" t="n"/>
    </row>
    <row r="232" ht="15.75" customHeight="1" s="86">
      <c r="T232" s="85" t="n"/>
      <c r="U232" s="85" t="n"/>
      <c r="V232" s="85" t="n"/>
      <c r="W232" s="85" t="n"/>
      <c r="X232" s="85" t="n"/>
      <c r="Y232" s="85" t="n"/>
      <c r="Z232" s="85" t="n"/>
    </row>
    <row r="233" ht="15.75" customHeight="1" s="86">
      <c r="T233" s="85" t="n"/>
      <c r="U233" s="85" t="n"/>
      <c r="V233" s="85" t="n"/>
      <c r="W233" s="85" t="n"/>
      <c r="X233" s="85" t="n"/>
      <c r="Y233" s="85" t="n"/>
      <c r="Z233" s="85" t="n"/>
    </row>
    <row r="234" ht="15.75" customHeight="1" s="86">
      <c r="T234" s="85" t="n"/>
      <c r="U234" s="85" t="n"/>
      <c r="V234" s="85" t="n"/>
      <c r="W234" s="85" t="n"/>
      <c r="X234" s="85" t="n"/>
      <c r="Y234" s="85" t="n"/>
      <c r="Z234" s="85" t="n"/>
    </row>
    <row r="235" ht="15.75" customHeight="1" s="86">
      <c r="T235" s="85" t="n"/>
      <c r="U235" s="85" t="n"/>
      <c r="V235" s="85" t="n"/>
      <c r="W235" s="85" t="n"/>
      <c r="X235" s="85" t="n"/>
      <c r="Y235" s="85" t="n"/>
      <c r="Z235" s="85" t="n"/>
    </row>
    <row r="236" ht="15.75" customHeight="1" s="86">
      <c r="T236" s="85" t="n"/>
      <c r="U236" s="85" t="n"/>
      <c r="V236" s="85" t="n"/>
      <c r="W236" s="85" t="n"/>
      <c r="X236" s="85" t="n"/>
      <c r="Y236" s="85" t="n"/>
      <c r="Z236" s="85" t="n"/>
    </row>
    <row r="237" ht="15.75" customHeight="1" s="86">
      <c r="T237" s="85" t="n"/>
      <c r="U237" s="85" t="n"/>
      <c r="V237" s="85" t="n"/>
      <c r="W237" s="85" t="n"/>
      <c r="X237" s="85" t="n"/>
      <c r="Y237" s="85" t="n"/>
      <c r="Z237" s="85" t="n"/>
    </row>
    <row r="238" ht="15.75" customHeight="1" s="86">
      <c r="T238" s="85" t="n"/>
      <c r="U238" s="85" t="n"/>
      <c r="V238" s="85" t="n"/>
      <c r="W238" s="85" t="n"/>
      <c r="X238" s="85" t="n"/>
      <c r="Y238" s="85" t="n"/>
      <c r="Z238" s="85" t="n"/>
    </row>
    <row r="239" ht="15.75" customHeight="1" s="86">
      <c r="T239" s="85" t="n"/>
      <c r="U239" s="85" t="n"/>
      <c r="V239" s="85" t="n"/>
      <c r="W239" s="85" t="n"/>
      <c r="X239" s="85" t="n"/>
      <c r="Y239" s="85" t="n"/>
      <c r="Z239" s="85" t="n"/>
    </row>
    <row r="240" ht="15.75" customHeight="1" s="86">
      <c r="T240" s="85" t="n"/>
      <c r="U240" s="85" t="n"/>
      <c r="V240" s="85" t="n"/>
      <c r="W240" s="85" t="n"/>
      <c r="X240" s="85" t="n"/>
      <c r="Y240" s="85" t="n"/>
      <c r="Z240" s="85" t="n"/>
    </row>
    <row r="241" ht="15.75" customHeight="1" s="86">
      <c r="T241" s="85" t="n"/>
      <c r="U241" s="85" t="n"/>
      <c r="V241" s="85" t="n"/>
      <c r="W241" s="85" t="n"/>
      <c r="X241" s="85" t="n"/>
      <c r="Y241" s="85" t="n"/>
      <c r="Z241" s="85" t="n"/>
    </row>
    <row r="242" ht="15.75" customHeight="1" s="86">
      <c r="T242" s="85" t="n"/>
      <c r="U242" s="85" t="n"/>
      <c r="V242" s="85" t="n"/>
      <c r="W242" s="85" t="n"/>
      <c r="X242" s="85" t="n"/>
      <c r="Y242" s="85" t="n"/>
      <c r="Z242" s="85" t="n"/>
    </row>
    <row r="243" ht="15.75" customHeight="1" s="86">
      <c r="T243" s="85" t="n"/>
      <c r="U243" s="85" t="n"/>
      <c r="V243" s="85" t="n"/>
      <c r="W243" s="85" t="n"/>
      <c r="X243" s="85" t="n"/>
      <c r="Y243" s="85" t="n"/>
      <c r="Z243" s="85" t="n"/>
    </row>
    <row r="244" ht="15.75" customHeight="1" s="86">
      <c r="T244" s="85" t="n"/>
      <c r="U244" s="85" t="n"/>
      <c r="V244" s="85" t="n"/>
      <c r="W244" s="85" t="n"/>
      <c r="X244" s="85" t="n"/>
      <c r="Y244" s="85" t="n"/>
      <c r="Z244" s="85" t="n"/>
    </row>
    <row r="245" ht="15.75" customHeight="1" s="86">
      <c r="T245" s="85" t="n"/>
      <c r="U245" s="85" t="n"/>
      <c r="V245" s="85" t="n"/>
      <c r="W245" s="85" t="n"/>
      <c r="X245" s="85" t="n"/>
      <c r="Y245" s="85" t="n"/>
      <c r="Z245" s="85" t="n"/>
    </row>
    <row r="246" ht="15.75" customHeight="1" s="86">
      <c r="T246" s="85" t="n"/>
      <c r="U246" s="85" t="n"/>
      <c r="V246" s="85" t="n"/>
      <c r="W246" s="85" t="n"/>
      <c r="X246" s="85" t="n"/>
      <c r="Y246" s="85" t="n"/>
      <c r="Z246" s="85" t="n"/>
    </row>
    <row r="247" ht="15.75" customHeight="1" s="86">
      <c r="T247" s="85" t="n"/>
      <c r="U247" s="85" t="n"/>
      <c r="V247" s="85" t="n"/>
      <c r="W247" s="85" t="n"/>
      <c r="X247" s="85" t="n"/>
      <c r="Y247" s="85" t="n"/>
      <c r="Z247" s="85" t="n"/>
    </row>
    <row r="248" ht="15.75" customHeight="1" s="86">
      <c r="T248" s="85" t="n"/>
      <c r="U248" s="85" t="n"/>
      <c r="V248" s="85" t="n"/>
      <c r="W248" s="85" t="n"/>
      <c r="X248" s="85" t="n"/>
      <c r="Y248" s="85" t="n"/>
      <c r="Z248" s="85" t="n"/>
    </row>
    <row r="249" ht="15.75" customHeight="1" s="86">
      <c r="T249" s="85" t="n"/>
      <c r="U249" s="85" t="n"/>
      <c r="V249" s="85" t="n"/>
      <c r="W249" s="85" t="n"/>
      <c r="X249" s="85" t="n"/>
      <c r="Y249" s="85" t="n"/>
      <c r="Z249" s="85" t="n"/>
    </row>
    <row r="250" ht="15.75" customHeight="1" s="86">
      <c r="T250" s="85" t="n"/>
      <c r="U250" s="85" t="n"/>
      <c r="V250" s="85" t="n"/>
      <c r="W250" s="85" t="n"/>
      <c r="X250" s="85" t="n"/>
      <c r="Y250" s="85" t="n"/>
      <c r="Z250" s="85" t="n"/>
    </row>
    <row r="251" ht="15.75" customHeight="1" s="86">
      <c r="T251" s="85" t="n"/>
      <c r="U251" s="85" t="n"/>
      <c r="V251" s="85" t="n"/>
      <c r="W251" s="85" t="n"/>
      <c r="X251" s="85" t="n"/>
      <c r="Y251" s="85" t="n"/>
      <c r="Z251" s="85" t="n"/>
    </row>
    <row r="252" ht="15.75" customHeight="1" s="86">
      <c r="T252" s="85" t="n"/>
      <c r="U252" s="85" t="n"/>
      <c r="V252" s="85" t="n"/>
      <c r="W252" s="85" t="n"/>
      <c r="X252" s="85" t="n"/>
      <c r="Y252" s="85" t="n"/>
      <c r="Z252" s="85" t="n"/>
    </row>
    <row r="253" ht="15.75" customHeight="1" s="86">
      <c r="T253" s="85" t="n"/>
      <c r="U253" s="85" t="n"/>
      <c r="V253" s="85" t="n"/>
      <c r="W253" s="85" t="n"/>
      <c r="X253" s="85" t="n"/>
      <c r="Y253" s="85" t="n"/>
      <c r="Z253" s="85" t="n"/>
    </row>
    <row r="254" ht="15.75" customHeight="1" s="86">
      <c r="T254" s="85" t="n"/>
      <c r="U254" s="85" t="n"/>
      <c r="V254" s="85" t="n"/>
      <c r="W254" s="85" t="n"/>
      <c r="X254" s="85" t="n"/>
      <c r="Y254" s="85" t="n"/>
      <c r="Z254" s="85" t="n"/>
    </row>
    <row r="255" ht="15.75" customHeight="1" s="86">
      <c r="T255" s="85" t="n"/>
      <c r="U255" s="85" t="n"/>
      <c r="V255" s="85" t="n"/>
      <c r="W255" s="85" t="n"/>
      <c r="X255" s="85" t="n"/>
      <c r="Y255" s="85" t="n"/>
      <c r="Z255" s="85" t="n"/>
    </row>
    <row r="256" ht="15.75" customHeight="1" s="86">
      <c r="T256" s="85" t="n"/>
      <c r="U256" s="85" t="n"/>
      <c r="V256" s="85" t="n"/>
      <c r="W256" s="85" t="n"/>
      <c r="X256" s="85" t="n"/>
      <c r="Y256" s="85" t="n"/>
      <c r="Z256" s="85" t="n"/>
    </row>
    <row r="257" ht="15.75" customHeight="1" s="86">
      <c r="T257" s="85" t="n"/>
      <c r="U257" s="85" t="n"/>
      <c r="V257" s="85" t="n"/>
      <c r="W257" s="85" t="n"/>
      <c r="X257" s="85" t="n"/>
      <c r="Y257" s="85" t="n"/>
      <c r="Z257" s="85" t="n"/>
    </row>
    <row r="258" ht="15.75" customHeight="1" s="86">
      <c r="T258" s="85" t="n"/>
      <c r="U258" s="85" t="n"/>
      <c r="V258" s="85" t="n"/>
      <c r="W258" s="85" t="n"/>
      <c r="X258" s="85" t="n"/>
      <c r="Y258" s="85" t="n"/>
      <c r="Z258" s="85" t="n"/>
    </row>
    <row r="259" ht="15.75" customHeight="1" s="86">
      <c r="T259" s="85" t="n"/>
      <c r="U259" s="85" t="n"/>
      <c r="V259" s="85" t="n"/>
      <c r="W259" s="85" t="n"/>
      <c r="X259" s="85" t="n"/>
      <c r="Y259" s="85" t="n"/>
      <c r="Z259" s="85" t="n"/>
    </row>
    <row r="260" ht="15.75" customHeight="1" s="86">
      <c r="T260" s="85" t="n"/>
      <c r="U260" s="85" t="n"/>
      <c r="V260" s="85" t="n"/>
      <c r="W260" s="85" t="n"/>
      <c r="X260" s="85" t="n"/>
      <c r="Y260" s="85" t="n"/>
      <c r="Z260" s="85" t="n"/>
    </row>
    <row r="261" ht="15.75" customHeight="1" s="86">
      <c r="T261" s="85" t="n"/>
      <c r="U261" s="85" t="n"/>
      <c r="V261" s="85" t="n"/>
      <c r="W261" s="85" t="n"/>
      <c r="X261" s="85" t="n"/>
      <c r="Y261" s="85" t="n"/>
      <c r="Z261" s="85" t="n"/>
    </row>
    <row r="262" ht="15.75" customHeight="1" s="86">
      <c r="T262" s="85" t="n"/>
      <c r="U262" s="85" t="n"/>
      <c r="V262" s="85" t="n"/>
      <c r="W262" s="85" t="n"/>
      <c r="X262" s="85" t="n"/>
      <c r="Y262" s="85" t="n"/>
      <c r="Z262" s="85" t="n"/>
    </row>
    <row r="263" ht="15.75" customHeight="1" s="86">
      <c r="T263" s="85" t="n"/>
      <c r="U263" s="85" t="n"/>
      <c r="V263" s="85" t="n"/>
      <c r="W263" s="85" t="n"/>
      <c r="X263" s="85" t="n"/>
      <c r="Y263" s="85" t="n"/>
      <c r="Z263" s="85" t="n"/>
    </row>
    <row r="264" ht="15.75" customHeight="1" s="86">
      <c r="T264" s="85" t="n"/>
      <c r="U264" s="85" t="n"/>
      <c r="V264" s="85" t="n"/>
      <c r="W264" s="85" t="n"/>
      <c r="X264" s="85" t="n"/>
      <c r="Y264" s="85" t="n"/>
      <c r="Z264" s="85" t="n"/>
    </row>
    <row r="265" ht="15.75" customHeight="1" s="86">
      <c r="T265" s="85" t="n"/>
      <c r="U265" s="85" t="n"/>
      <c r="V265" s="85" t="n"/>
      <c r="W265" s="85" t="n"/>
      <c r="X265" s="85" t="n"/>
      <c r="Y265" s="85" t="n"/>
      <c r="Z265" s="85" t="n"/>
    </row>
    <row r="266" ht="15.75" customHeight="1" s="86">
      <c r="T266" s="85" t="n"/>
      <c r="U266" s="85" t="n"/>
      <c r="V266" s="85" t="n"/>
      <c r="W266" s="85" t="n"/>
      <c r="X266" s="85" t="n"/>
      <c r="Y266" s="85" t="n"/>
      <c r="Z266" s="85" t="n"/>
    </row>
    <row r="267" ht="15.75" customHeight="1" s="86">
      <c r="T267" s="85" t="n"/>
      <c r="U267" s="85" t="n"/>
      <c r="V267" s="85" t="n"/>
      <c r="W267" s="85" t="n"/>
      <c r="X267" s="85" t="n"/>
      <c r="Y267" s="85" t="n"/>
      <c r="Z267" s="85" t="n"/>
    </row>
    <row r="268" ht="15.75" customHeight="1" s="86">
      <c r="T268" s="85" t="n"/>
      <c r="U268" s="85" t="n"/>
      <c r="V268" s="85" t="n"/>
      <c r="W268" s="85" t="n"/>
      <c r="X268" s="85" t="n"/>
      <c r="Y268" s="85" t="n"/>
      <c r="Z268" s="85" t="n"/>
    </row>
    <row r="269" ht="15.75" customHeight="1" s="86">
      <c r="T269" s="85" t="n"/>
      <c r="U269" s="85" t="n"/>
      <c r="V269" s="85" t="n"/>
      <c r="W269" s="85" t="n"/>
      <c r="X269" s="85" t="n"/>
      <c r="Y269" s="85" t="n"/>
      <c r="Z269" s="85" t="n"/>
    </row>
    <row r="270" ht="15.75" customHeight="1" s="86">
      <c r="T270" s="85" t="n"/>
      <c r="U270" s="85" t="n"/>
      <c r="V270" s="85" t="n"/>
      <c r="W270" s="85" t="n"/>
      <c r="X270" s="85" t="n"/>
      <c r="Y270" s="85" t="n"/>
      <c r="Z270" s="85" t="n"/>
    </row>
    <row r="271" ht="15.75" customHeight="1" s="86">
      <c r="T271" s="85" t="n"/>
      <c r="U271" s="85" t="n"/>
      <c r="V271" s="85" t="n"/>
      <c r="W271" s="85" t="n"/>
      <c r="X271" s="85" t="n"/>
      <c r="Y271" s="85" t="n"/>
      <c r="Z271" s="85" t="n"/>
    </row>
    <row r="272" ht="15.75" customHeight="1" s="86">
      <c r="T272" s="85" t="n"/>
      <c r="U272" s="85" t="n"/>
      <c r="V272" s="85" t="n"/>
      <c r="W272" s="85" t="n"/>
      <c r="X272" s="85" t="n"/>
      <c r="Y272" s="85" t="n"/>
      <c r="Z272" s="85" t="n"/>
    </row>
    <row r="273" ht="15.75" customHeight="1" s="86">
      <c r="T273" s="85" t="n"/>
      <c r="U273" s="85" t="n"/>
      <c r="V273" s="85" t="n"/>
      <c r="W273" s="85" t="n"/>
      <c r="X273" s="85" t="n"/>
      <c r="Y273" s="85" t="n"/>
      <c r="Z273" s="85" t="n"/>
    </row>
    <row r="274" ht="15.75" customHeight="1" s="86">
      <c r="T274" s="85" t="n"/>
      <c r="U274" s="85" t="n"/>
      <c r="V274" s="85" t="n"/>
      <c r="W274" s="85" t="n"/>
      <c r="X274" s="85" t="n"/>
      <c r="Y274" s="85" t="n"/>
      <c r="Z274" s="85" t="n"/>
    </row>
    <row r="275" ht="15.75" customHeight="1" s="86">
      <c r="T275" s="85" t="n"/>
      <c r="U275" s="85" t="n"/>
      <c r="V275" s="85" t="n"/>
      <c r="W275" s="85" t="n"/>
      <c r="X275" s="85" t="n"/>
      <c r="Y275" s="85" t="n"/>
      <c r="Z275" s="85" t="n"/>
    </row>
    <row r="276" ht="15.75" customHeight="1" s="86">
      <c r="T276" s="85" t="n"/>
      <c r="U276" s="85" t="n"/>
      <c r="V276" s="85" t="n"/>
      <c r="W276" s="85" t="n"/>
      <c r="X276" s="85" t="n"/>
      <c r="Y276" s="85" t="n"/>
      <c r="Z276" s="85" t="n"/>
    </row>
    <row r="277" ht="15.75" customHeight="1" s="86">
      <c r="T277" s="85" t="n"/>
      <c r="U277" s="85" t="n"/>
      <c r="V277" s="85" t="n"/>
      <c r="W277" s="85" t="n"/>
      <c r="X277" s="85" t="n"/>
      <c r="Y277" s="85" t="n"/>
      <c r="Z277" s="85" t="n"/>
    </row>
    <row r="278" ht="15.75" customHeight="1" s="86">
      <c r="T278" s="85" t="n"/>
      <c r="U278" s="85" t="n"/>
      <c r="V278" s="85" t="n"/>
      <c r="W278" s="85" t="n"/>
      <c r="X278" s="85" t="n"/>
      <c r="Y278" s="85" t="n"/>
      <c r="Z278" s="85" t="n"/>
    </row>
    <row r="279" ht="15.75" customHeight="1" s="86">
      <c r="T279" s="85" t="n"/>
      <c r="U279" s="85" t="n"/>
      <c r="V279" s="85" t="n"/>
      <c r="W279" s="85" t="n"/>
      <c r="X279" s="85" t="n"/>
      <c r="Y279" s="85" t="n"/>
      <c r="Z279" s="85" t="n"/>
    </row>
    <row r="280" ht="15.75" customHeight="1" s="86">
      <c r="T280" s="85" t="n"/>
      <c r="U280" s="85" t="n"/>
      <c r="V280" s="85" t="n"/>
      <c r="W280" s="85" t="n"/>
      <c r="X280" s="85" t="n"/>
      <c r="Y280" s="85" t="n"/>
      <c r="Z280" s="85" t="n"/>
    </row>
    <row r="281" ht="15.75" customHeight="1" s="86">
      <c r="T281" s="85" t="n"/>
      <c r="U281" s="85" t="n"/>
      <c r="V281" s="85" t="n"/>
      <c r="W281" s="85" t="n"/>
      <c r="X281" s="85" t="n"/>
      <c r="Y281" s="85" t="n"/>
      <c r="Z281" s="85" t="n"/>
    </row>
    <row r="282" ht="15.75" customHeight="1" s="86">
      <c r="T282" s="85" t="n"/>
      <c r="U282" s="85" t="n"/>
      <c r="V282" s="85" t="n"/>
      <c r="W282" s="85" t="n"/>
      <c r="X282" s="85" t="n"/>
      <c r="Y282" s="85" t="n"/>
      <c r="Z282" s="85" t="n"/>
    </row>
    <row r="283" ht="15.75" customHeight="1" s="86">
      <c r="T283" s="85" t="n"/>
      <c r="U283" s="85" t="n"/>
      <c r="V283" s="85" t="n"/>
      <c r="W283" s="85" t="n"/>
      <c r="X283" s="85" t="n"/>
      <c r="Y283" s="85" t="n"/>
      <c r="Z283" s="85" t="n"/>
    </row>
    <row r="284" ht="15.75" customHeight="1" s="86">
      <c r="T284" s="85" t="n"/>
      <c r="U284" s="85" t="n"/>
      <c r="V284" s="85" t="n"/>
      <c r="W284" s="85" t="n"/>
      <c r="X284" s="85" t="n"/>
      <c r="Y284" s="85" t="n"/>
      <c r="Z284" s="85" t="n"/>
    </row>
    <row r="285" ht="15.75" customHeight="1" s="86">
      <c r="T285" s="85" t="n"/>
      <c r="U285" s="85" t="n"/>
      <c r="V285" s="85" t="n"/>
      <c r="W285" s="85" t="n"/>
      <c r="X285" s="85" t="n"/>
      <c r="Y285" s="85" t="n"/>
      <c r="Z285" s="85" t="n"/>
    </row>
    <row r="286" ht="15.75" customHeight="1" s="86">
      <c r="T286" s="85" t="n"/>
      <c r="U286" s="85" t="n"/>
      <c r="V286" s="85" t="n"/>
      <c r="W286" s="85" t="n"/>
      <c r="X286" s="85" t="n"/>
      <c r="Y286" s="85" t="n"/>
      <c r="Z286" s="85" t="n"/>
    </row>
    <row r="287" ht="15.75" customHeight="1" s="86">
      <c r="T287" s="85" t="n"/>
      <c r="U287" s="85" t="n"/>
      <c r="V287" s="85" t="n"/>
      <c r="W287" s="85" t="n"/>
      <c r="X287" s="85" t="n"/>
      <c r="Y287" s="85" t="n"/>
      <c r="Z287" s="85" t="n"/>
    </row>
    <row r="288" ht="15.75" customHeight="1" s="86">
      <c r="T288" s="85" t="n"/>
      <c r="U288" s="85" t="n"/>
      <c r="V288" s="85" t="n"/>
      <c r="W288" s="85" t="n"/>
      <c r="X288" s="85" t="n"/>
      <c r="Y288" s="85" t="n"/>
      <c r="Z288" s="85" t="n"/>
    </row>
    <row r="289" ht="15.75" customHeight="1" s="86">
      <c r="T289" s="85" t="n"/>
      <c r="U289" s="85" t="n"/>
      <c r="V289" s="85" t="n"/>
      <c r="W289" s="85" t="n"/>
      <c r="X289" s="85" t="n"/>
      <c r="Y289" s="85" t="n"/>
      <c r="Z289" s="85" t="n"/>
    </row>
    <row r="290" ht="15.75" customHeight="1" s="86">
      <c r="T290" s="85" t="n"/>
      <c r="U290" s="85" t="n"/>
      <c r="V290" s="85" t="n"/>
      <c r="W290" s="85" t="n"/>
      <c r="X290" s="85" t="n"/>
      <c r="Y290" s="85" t="n"/>
      <c r="Z290" s="85" t="n"/>
    </row>
    <row r="291" ht="15.75" customHeight="1" s="86">
      <c r="T291" s="85" t="n"/>
      <c r="U291" s="85" t="n"/>
      <c r="V291" s="85" t="n"/>
      <c r="W291" s="85" t="n"/>
      <c r="X291" s="85" t="n"/>
      <c r="Y291" s="85" t="n"/>
      <c r="Z291" s="85" t="n"/>
    </row>
    <row r="292" ht="15.75" customHeight="1" s="86">
      <c r="T292" s="85" t="n"/>
      <c r="U292" s="85" t="n"/>
      <c r="V292" s="85" t="n"/>
      <c r="W292" s="85" t="n"/>
      <c r="X292" s="85" t="n"/>
      <c r="Y292" s="85" t="n"/>
      <c r="Z292" s="85" t="n"/>
    </row>
    <row r="293" ht="15.75" customHeight="1" s="86">
      <c r="T293" s="85" t="n"/>
      <c r="U293" s="85" t="n"/>
      <c r="V293" s="85" t="n"/>
      <c r="W293" s="85" t="n"/>
      <c r="X293" s="85" t="n"/>
      <c r="Y293" s="85" t="n"/>
      <c r="Z293" s="85" t="n"/>
    </row>
    <row r="294" ht="15.75" customHeight="1" s="86">
      <c r="T294" s="85" t="n"/>
      <c r="U294" s="85" t="n"/>
      <c r="V294" s="85" t="n"/>
      <c r="W294" s="85" t="n"/>
      <c r="X294" s="85" t="n"/>
      <c r="Y294" s="85" t="n"/>
      <c r="Z294" s="85" t="n"/>
    </row>
    <row r="295" ht="15.75" customHeight="1" s="86">
      <c r="T295" s="85" t="n"/>
      <c r="U295" s="85" t="n"/>
      <c r="V295" s="85" t="n"/>
      <c r="W295" s="85" t="n"/>
      <c r="X295" s="85" t="n"/>
      <c r="Y295" s="85" t="n"/>
      <c r="Z295" s="85" t="n"/>
    </row>
    <row r="296" ht="15.75" customHeight="1" s="86">
      <c r="T296" s="85" t="n"/>
      <c r="U296" s="85" t="n"/>
      <c r="V296" s="85" t="n"/>
      <c r="W296" s="85" t="n"/>
      <c r="X296" s="85" t="n"/>
      <c r="Y296" s="85" t="n"/>
      <c r="Z296" s="85" t="n"/>
    </row>
    <row r="297" ht="15.75" customHeight="1" s="86">
      <c r="T297" s="85" t="n"/>
      <c r="U297" s="85" t="n"/>
      <c r="V297" s="85" t="n"/>
      <c r="W297" s="85" t="n"/>
      <c r="X297" s="85" t="n"/>
      <c r="Y297" s="85" t="n"/>
      <c r="Z297" s="85" t="n"/>
    </row>
    <row r="298" ht="15.75" customHeight="1" s="86">
      <c r="T298" s="85" t="n"/>
      <c r="U298" s="85" t="n"/>
      <c r="V298" s="85" t="n"/>
      <c r="W298" s="85" t="n"/>
      <c r="X298" s="85" t="n"/>
      <c r="Y298" s="85" t="n"/>
      <c r="Z298" s="85" t="n"/>
    </row>
    <row r="299" ht="15.75" customHeight="1" s="86">
      <c r="T299" s="85" t="n"/>
      <c r="U299" s="85" t="n"/>
      <c r="V299" s="85" t="n"/>
      <c r="W299" s="85" t="n"/>
      <c r="X299" s="85" t="n"/>
      <c r="Y299" s="85" t="n"/>
      <c r="Z299" s="85" t="n"/>
    </row>
    <row r="300" ht="15.75" customHeight="1" s="86">
      <c r="T300" s="85" t="n"/>
      <c r="U300" s="85" t="n"/>
      <c r="V300" s="85" t="n"/>
      <c r="W300" s="85" t="n"/>
      <c r="X300" s="85" t="n"/>
      <c r="Y300" s="85" t="n"/>
      <c r="Z300" s="85" t="n"/>
    </row>
    <row r="301" ht="15.75" customHeight="1" s="86">
      <c r="T301" s="85" t="n"/>
      <c r="U301" s="85" t="n"/>
      <c r="V301" s="85" t="n"/>
      <c r="W301" s="85" t="n"/>
      <c r="X301" s="85" t="n"/>
      <c r="Y301" s="85" t="n"/>
      <c r="Z301" s="85" t="n"/>
    </row>
    <row r="302" ht="15.75" customHeight="1" s="86">
      <c r="T302" s="85" t="n"/>
      <c r="U302" s="85" t="n"/>
      <c r="V302" s="85" t="n"/>
      <c r="W302" s="85" t="n"/>
      <c r="X302" s="85" t="n"/>
      <c r="Y302" s="85" t="n"/>
      <c r="Z302" s="85" t="n"/>
    </row>
    <row r="303" ht="15.75" customHeight="1" s="86">
      <c r="T303" s="85" t="n"/>
      <c r="U303" s="85" t="n"/>
      <c r="V303" s="85" t="n"/>
      <c r="W303" s="85" t="n"/>
      <c r="X303" s="85" t="n"/>
      <c r="Y303" s="85" t="n"/>
      <c r="Z303" s="85" t="n"/>
    </row>
    <row r="304" ht="15.75" customHeight="1" s="86">
      <c r="T304" s="85" t="n"/>
      <c r="U304" s="85" t="n"/>
      <c r="V304" s="85" t="n"/>
      <c r="W304" s="85" t="n"/>
      <c r="X304" s="85" t="n"/>
      <c r="Y304" s="85" t="n"/>
      <c r="Z304" s="85" t="n"/>
    </row>
    <row r="305" ht="15.75" customHeight="1" s="86">
      <c r="T305" s="85" t="n"/>
      <c r="U305" s="85" t="n"/>
      <c r="V305" s="85" t="n"/>
      <c r="W305" s="85" t="n"/>
      <c r="X305" s="85" t="n"/>
      <c r="Y305" s="85" t="n"/>
      <c r="Z305" s="85" t="n"/>
    </row>
    <row r="306" ht="15.75" customHeight="1" s="86">
      <c r="T306" s="85" t="n"/>
      <c r="U306" s="85" t="n"/>
      <c r="V306" s="85" t="n"/>
      <c r="W306" s="85" t="n"/>
      <c r="X306" s="85" t="n"/>
      <c r="Y306" s="85" t="n"/>
      <c r="Z306" s="85" t="n"/>
    </row>
    <row r="307" ht="15.75" customHeight="1" s="86">
      <c r="T307" s="85" t="n"/>
      <c r="U307" s="85" t="n"/>
      <c r="V307" s="85" t="n"/>
      <c r="W307" s="85" t="n"/>
      <c r="X307" s="85" t="n"/>
      <c r="Y307" s="85" t="n"/>
      <c r="Z307" s="85" t="n"/>
    </row>
    <row r="308" ht="15.75" customHeight="1" s="86">
      <c r="T308" s="85" t="n"/>
      <c r="U308" s="85" t="n"/>
      <c r="V308" s="85" t="n"/>
      <c r="W308" s="85" t="n"/>
      <c r="X308" s="85" t="n"/>
      <c r="Y308" s="85" t="n"/>
      <c r="Z308" s="85" t="n"/>
    </row>
    <row r="309" ht="15.75" customHeight="1" s="86">
      <c r="T309" s="85" t="n"/>
      <c r="U309" s="85" t="n"/>
      <c r="V309" s="85" t="n"/>
      <c r="W309" s="85" t="n"/>
      <c r="X309" s="85" t="n"/>
      <c r="Y309" s="85" t="n"/>
      <c r="Z309" s="85" t="n"/>
    </row>
    <row r="310" ht="15.75" customHeight="1" s="86">
      <c r="T310" s="85" t="n"/>
      <c r="U310" s="85" t="n"/>
      <c r="V310" s="85" t="n"/>
      <c r="W310" s="85" t="n"/>
      <c r="X310" s="85" t="n"/>
      <c r="Y310" s="85" t="n"/>
      <c r="Z310" s="85" t="n"/>
    </row>
    <row r="311" ht="15.75" customHeight="1" s="86">
      <c r="T311" s="85" t="n"/>
      <c r="U311" s="85" t="n"/>
      <c r="V311" s="85" t="n"/>
      <c r="W311" s="85" t="n"/>
      <c r="X311" s="85" t="n"/>
      <c r="Y311" s="85" t="n"/>
      <c r="Z311" s="85" t="n"/>
    </row>
    <row r="312" ht="15.75" customHeight="1" s="86">
      <c r="T312" s="85" t="n"/>
      <c r="U312" s="85" t="n"/>
      <c r="V312" s="85" t="n"/>
      <c r="W312" s="85" t="n"/>
      <c r="X312" s="85" t="n"/>
      <c r="Y312" s="85" t="n"/>
      <c r="Z312" s="85" t="n"/>
    </row>
    <row r="313" ht="15.75" customHeight="1" s="86">
      <c r="T313" s="85" t="n"/>
      <c r="U313" s="85" t="n"/>
      <c r="V313" s="85" t="n"/>
      <c r="W313" s="85" t="n"/>
      <c r="X313" s="85" t="n"/>
      <c r="Y313" s="85" t="n"/>
      <c r="Z313" s="85" t="n"/>
    </row>
    <row r="314" ht="15.75" customHeight="1" s="86">
      <c r="T314" s="85" t="n"/>
      <c r="U314" s="85" t="n"/>
      <c r="V314" s="85" t="n"/>
      <c r="W314" s="85" t="n"/>
      <c r="X314" s="85" t="n"/>
      <c r="Y314" s="85" t="n"/>
      <c r="Z314" s="85" t="n"/>
    </row>
    <row r="315" ht="15.75" customHeight="1" s="86">
      <c r="T315" s="85" t="n"/>
      <c r="U315" s="85" t="n"/>
      <c r="V315" s="85" t="n"/>
      <c r="W315" s="85" t="n"/>
      <c r="X315" s="85" t="n"/>
      <c r="Y315" s="85" t="n"/>
      <c r="Z315" s="85" t="n"/>
    </row>
    <row r="316" ht="15.75" customHeight="1" s="86">
      <c r="T316" s="85" t="n"/>
      <c r="U316" s="85" t="n"/>
      <c r="V316" s="85" t="n"/>
      <c r="W316" s="85" t="n"/>
      <c r="X316" s="85" t="n"/>
      <c r="Y316" s="85" t="n"/>
      <c r="Z316" s="85" t="n"/>
    </row>
    <row r="317" ht="15.75" customHeight="1" s="86">
      <c r="T317" s="85" t="n"/>
      <c r="U317" s="85" t="n"/>
      <c r="V317" s="85" t="n"/>
      <c r="W317" s="85" t="n"/>
      <c r="X317" s="85" t="n"/>
      <c r="Y317" s="85" t="n"/>
      <c r="Z317" s="85" t="n"/>
    </row>
    <row r="318" ht="15.75" customHeight="1" s="86">
      <c r="T318" s="85" t="n"/>
      <c r="U318" s="85" t="n"/>
      <c r="V318" s="85" t="n"/>
      <c r="W318" s="85" t="n"/>
      <c r="X318" s="85" t="n"/>
      <c r="Y318" s="85" t="n"/>
      <c r="Z318" s="85" t="n"/>
    </row>
    <row r="319" ht="15.75" customHeight="1" s="86">
      <c r="T319" s="85" t="n"/>
      <c r="U319" s="85" t="n"/>
      <c r="V319" s="85" t="n"/>
      <c r="W319" s="85" t="n"/>
      <c r="X319" s="85" t="n"/>
      <c r="Y319" s="85" t="n"/>
      <c r="Z319" s="85" t="n"/>
    </row>
    <row r="320" ht="15.75" customHeight="1" s="86">
      <c r="T320" s="85" t="n"/>
      <c r="U320" s="85" t="n"/>
      <c r="V320" s="85" t="n"/>
      <c r="W320" s="85" t="n"/>
      <c r="X320" s="85" t="n"/>
      <c r="Y320" s="85" t="n"/>
      <c r="Z320" s="85" t="n"/>
    </row>
    <row r="321" ht="15.75" customHeight="1" s="86">
      <c r="T321" s="85" t="n"/>
      <c r="U321" s="85" t="n"/>
      <c r="V321" s="85" t="n"/>
      <c r="W321" s="85" t="n"/>
      <c r="X321" s="85" t="n"/>
      <c r="Y321" s="85" t="n"/>
      <c r="Z321" s="85" t="n"/>
    </row>
    <row r="322" ht="15.75" customHeight="1" s="86">
      <c r="T322" s="85" t="n"/>
      <c r="U322" s="85" t="n"/>
      <c r="V322" s="85" t="n"/>
      <c r="W322" s="85" t="n"/>
      <c r="X322" s="85" t="n"/>
      <c r="Y322" s="85" t="n"/>
      <c r="Z322" s="85" t="n"/>
    </row>
    <row r="323" ht="15.75" customHeight="1" s="86">
      <c r="T323" s="85" t="n"/>
      <c r="U323" s="85" t="n"/>
      <c r="V323" s="85" t="n"/>
      <c r="W323" s="85" t="n"/>
      <c r="X323" s="85" t="n"/>
      <c r="Y323" s="85" t="n"/>
      <c r="Z323" s="85" t="n"/>
    </row>
    <row r="324" ht="15.75" customHeight="1" s="86">
      <c r="T324" s="85" t="n"/>
      <c r="U324" s="85" t="n"/>
      <c r="V324" s="85" t="n"/>
      <c r="W324" s="85" t="n"/>
      <c r="X324" s="85" t="n"/>
      <c r="Y324" s="85" t="n"/>
      <c r="Z324" s="85" t="n"/>
    </row>
    <row r="325" ht="15.75" customHeight="1" s="86">
      <c r="T325" s="85" t="n"/>
      <c r="U325" s="85" t="n"/>
      <c r="V325" s="85" t="n"/>
      <c r="W325" s="85" t="n"/>
      <c r="X325" s="85" t="n"/>
      <c r="Y325" s="85" t="n"/>
      <c r="Z325" s="85" t="n"/>
    </row>
    <row r="326" ht="15.75" customHeight="1" s="86">
      <c r="T326" s="85" t="n"/>
      <c r="U326" s="85" t="n"/>
      <c r="V326" s="85" t="n"/>
      <c r="W326" s="85" t="n"/>
      <c r="X326" s="85" t="n"/>
      <c r="Y326" s="85" t="n"/>
      <c r="Z326" s="85" t="n"/>
    </row>
    <row r="327" ht="15.75" customHeight="1" s="86">
      <c r="T327" s="85" t="n"/>
      <c r="U327" s="85" t="n"/>
      <c r="V327" s="85" t="n"/>
      <c r="W327" s="85" t="n"/>
      <c r="X327" s="85" t="n"/>
      <c r="Y327" s="85" t="n"/>
      <c r="Z327" s="85" t="n"/>
    </row>
    <row r="328" ht="15.75" customHeight="1" s="86">
      <c r="T328" s="85" t="n"/>
      <c r="U328" s="85" t="n"/>
      <c r="V328" s="85" t="n"/>
      <c r="W328" s="85" t="n"/>
      <c r="X328" s="85" t="n"/>
      <c r="Y328" s="85" t="n"/>
      <c r="Z328" s="85" t="n"/>
    </row>
    <row r="329" ht="15.75" customHeight="1" s="86">
      <c r="T329" s="85" t="n"/>
      <c r="U329" s="85" t="n"/>
      <c r="V329" s="85" t="n"/>
      <c r="W329" s="85" t="n"/>
      <c r="X329" s="85" t="n"/>
      <c r="Y329" s="85" t="n"/>
      <c r="Z329" s="85" t="n"/>
    </row>
    <row r="330" ht="15.75" customHeight="1" s="86">
      <c r="T330" s="85" t="n"/>
      <c r="U330" s="85" t="n"/>
      <c r="V330" s="85" t="n"/>
      <c r="W330" s="85" t="n"/>
      <c r="X330" s="85" t="n"/>
      <c r="Y330" s="85" t="n"/>
      <c r="Z330" s="85" t="n"/>
    </row>
    <row r="331" ht="15.75" customHeight="1" s="86">
      <c r="T331" s="85" t="n"/>
      <c r="U331" s="85" t="n"/>
      <c r="V331" s="85" t="n"/>
      <c r="W331" s="85" t="n"/>
      <c r="X331" s="85" t="n"/>
      <c r="Y331" s="85" t="n"/>
      <c r="Z331" s="85" t="n"/>
    </row>
    <row r="332" ht="15.75" customHeight="1" s="86">
      <c r="T332" s="85" t="n"/>
      <c r="U332" s="85" t="n"/>
      <c r="V332" s="85" t="n"/>
      <c r="W332" s="85" t="n"/>
      <c r="X332" s="85" t="n"/>
      <c r="Y332" s="85" t="n"/>
      <c r="Z332" s="85" t="n"/>
    </row>
    <row r="333" ht="15.75" customHeight="1" s="86">
      <c r="T333" s="85" t="n"/>
      <c r="U333" s="85" t="n"/>
      <c r="V333" s="85" t="n"/>
      <c r="W333" s="85" t="n"/>
      <c r="X333" s="85" t="n"/>
      <c r="Y333" s="85" t="n"/>
      <c r="Z333" s="85" t="n"/>
    </row>
    <row r="334" ht="15.75" customHeight="1" s="86">
      <c r="T334" s="85" t="n"/>
      <c r="U334" s="85" t="n"/>
      <c r="V334" s="85" t="n"/>
      <c r="W334" s="85" t="n"/>
      <c r="X334" s="85" t="n"/>
      <c r="Y334" s="85" t="n"/>
      <c r="Z334" s="85" t="n"/>
    </row>
    <row r="335" ht="15.75" customHeight="1" s="86">
      <c r="T335" s="85" t="n"/>
      <c r="U335" s="85" t="n"/>
      <c r="V335" s="85" t="n"/>
      <c r="W335" s="85" t="n"/>
      <c r="X335" s="85" t="n"/>
      <c r="Y335" s="85" t="n"/>
      <c r="Z335" s="85" t="n"/>
    </row>
    <row r="336" ht="15.75" customHeight="1" s="86">
      <c r="T336" s="85" t="n"/>
      <c r="U336" s="85" t="n"/>
      <c r="V336" s="85" t="n"/>
      <c r="W336" s="85" t="n"/>
      <c r="X336" s="85" t="n"/>
      <c r="Y336" s="85" t="n"/>
      <c r="Z336" s="85" t="n"/>
    </row>
    <row r="337" ht="15.75" customHeight="1" s="86">
      <c r="T337" s="85" t="n"/>
      <c r="U337" s="85" t="n"/>
      <c r="V337" s="85" t="n"/>
      <c r="W337" s="85" t="n"/>
      <c r="X337" s="85" t="n"/>
      <c r="Y337" s="85" t="n"/>
      <c r="Z337" s="85" t="n"/>
    </row>
    <row r="338" ht="15.75" customHeight="1" s="86">
      <c r="T338" s="85" t="n"/>
      <c r="U338" s="85" t="n"/>
      <c r="V338" s="85" t="n"/>
      <c r="W338" s="85" t="n"/>
      <c r="X338" s="85" t="n"/>
      <c r="Y338" s="85" t="n"/>
      <c r="Z338" s="85" t="n"/>
    </row>
    <row r="339" ht="15.75" customHeight="1" s="86">
      <c r="T339" s="85" t="n"/>
      <c r="U339" s="85" t="n"/>
      <c r="V339" s="85" t="n"/>
      <c r="W339" s="85" t="n"/>
      <c r="X339" s="85" t="n"/>
      <c r="Y339" s="85" t="n"/>
      <c r="Z339" s="85" t="n"/>
    </row>
    <row r="340" ht="15.75" customHeight="1" s="86">
      <c r="T340" s="85" t="n"/>
      <c r="U340" s="85" t="n"/>
      <c r="V340" s="85" t="n"/>
      <c r="W340" s="85" t="n"/>
      <c r="X340" s="85" t="n"/>
      <c r="Y340" s="85" t="n"/>
      <c r="Z340" s="85" t="n"/>
    </row>
    <row r="341" ht="15.75" customHeight="1" s="86">
      <c r="T341" s="85" t="n"/>
      <c r="U341" s="85" t="n"/>
      <c r="V341" s="85" t="n"/>
      <c r="W341" s="85" t="n"/>
      <c r="X341" s="85" t="n"/>
      <c r="Y341" s="85" t="n"/>
      <c r="Z341" s="85" t="n"/>
    </row>
    <row r="342" ht="15.75" customHeight="1" s="86">
      <c r="T342" s="85" t="n"/>
      <c r="U342" s="85" t="n"/>
      <c r="V342" s="85" t="n"/>
      <c r="W342" s="85" t="n"/>
      <c r="X342" s="85" t="n"/>
      <c r="Y342" s="85" t="n"/>
      <c r="Z342" s="85" t="n"/>
    </row>
    <row r="343" ht="15.75" customHeight="1" s="86">
      <c r="T343" s="85" t="n"/>
      <c r="U343" s="85" t="n"/>
      <c r="V343" s="85" t="n"/>
      <c r="W343" s="85" t="n"/>
      <c r="X343" s="85" t="n"/>
      <c r="Y343" s="85" t="n"/>
      <c r="Z343" s="85" t="n"/>
    </row>
    <row r="344" ht="15.75" customHeight="1" s="86">
      <c r="T344" s="85" t="n"/>
      <c r="U344" s="85" t="n"/>
      <c r="V344" s="85" t="n"/>
      <c r="W344" s="85" t="n"/>
      <c r="X344" s="85" t="n"/>
      <c r="Y344" s="85" t="n"/>
      <c r="Z344" s="85" t="n"/>
    </row>
    <row r="345" ht="15.75" customHeight="1" s="86">
      <c r="T345" s="85" t="n"/>
      <c r="U345" s="85" t="n"/>
      <c r="V345" s="85" t="n"/>
      <c r="W345" s="85" t="n"/>
      <c r="X345" s="85" t="n"/>
      <c r="Y345" s="85" t="n"/>
      <c r="Z345" s="85" t="n"/>
    </row>
    <row r="346" ht="15.75" customHeight="1" s="86">
      <c r="T346" s="85" t="n"/>
      <c r="U346" s="85" t="n"/>
      <c r="V346" s="85" t="n"/>
      <c r="W346" s="85" t="n"/>
      <c r="X346" s="85" t="n"/>
      <c r="Y346" s="85" t="n"/>
      <c r="Z346" s="85" t="n"/>
    </row>
    <row r="347" ht="15.75" customHeight="1" s="86">
      <c r="T347" s="85" t="n"/>
      <c r="U347" s="85" t="n"/>
      <c r="V347" s="85" t="n"/>
      <c r="W347" s="85" t="n"/>
      <c r="X347" s="85" t="n"/>
      <c r="Y347" s="85" t="n"/>
      <c r="Z347" s="85" t="n"/>
    </row>
    <row r="348" ht="15.75" customHeight="1" s="86">
      <c r="T348" s="85" t="n"/>
      <c r="U348" s="85" t="n"/>
      <c r="V348" s="85" t="n"/>
      <c r="W348" s="85" t="n"/>
      <c r="X348" s="85" t="n"/>
      <c r="Y348" s="85" t="n"/>
      <c r="Z348" s="85" t="n"/>
    </row>
    <row r="349" ht="15.75" customHeight="1" s="86">
      <c r="T349" s="85" t="n"/>
      <c r="U349" s="85" t="n"/>
      <c r="V349" s="85" t="n"/>
      <c r="W349" s="85" t="n"/>
      <c r="X349" s="85" t="n"/>
      <c r="Y349" s="85" t="n"/>
      <c r="Z349" s="85" t="n"/>
    </row>
    <row r="350" ht="15.75" customHeight="1" s="86">
      <c r="T350" s="85" t="n"/>
      <c r="U350" s="85" t="n"/>
      <c r="V350" s="85" t="n"/>
      <c r="W350" s="85" t="n"/>
      <c r="X350" s="85" t="n"/>
      <c r="Y350" s="85" t="n"/>
      <c r="Z350" s="85" t="n"/>
    </row>
    <row r="351" ht="15.75" customHeight="1" s="86">
      <c r="T351" s="85" t="n"/>
      <c r="U351" s="85" t="n"/>
      <c r="V351" s="85" t="n"/>
      <c r="W351" s="85" t="n"/>
      <c r="X351" s="85" t="n"/>
      <c r="Y351" s="85" t="n"/>
      <c r="Z351" s="85" t="n"/>
    </row>
    <row r="352" ht="15.75" customHeight="1" s="86">
      <c r="T352" s="85" t="n"/>
      <c r="U352" s="85" t="n"/>
      <c r="V352" s="85" t="n"/>
      <c r="W352" s="85" t="n"/>
      <c r="X352" s="85" t="n"/>
      <c r="Y352" s="85" t="n"/>
      <c r="Z352" s="85" t="n"/>
    </row>
    <row r="353" ht="15.75" customHeight="1" s="86">
      <c r="T353" s="85" t="n"/>
      <c r="U353" s="85" t="n"/>
      <c r="V353" s="85" t="n"/>
      <c r="W353" s="85" t="n"/>
      <c r="X353" s="85" t="n"/>
      <c r="Y353" s="85" t="n"/>
      <c r="Z353" s="85" t="n"/>
    </row>
    <row r="354" ht="15.75" customHeight="1" s="86">
      <c r="T354" s="85" t="n"/>
      <c r="U354" s="85" t="n"/>
      <c r="V354" s="85" t="n"/>
      <c r="W354" s="85" t="n"/>
      <c r="X354" s="85" t="n"/>
      <c r="Y354" s="85" t="n"/>
      <c r="Z354" s="85" t="n"/>
    </row>
    <row r="355" ht="15.75" customHeight="1" s="86">
      <c r="T355" s="85" t="n"/>
      <c r="U355" s="85" t="n"/>
      <c r="V355" s="85" t="n"/>
      <c r="W355" s="85" t="n"/>
      <c r="X355" s="85" t="n"/>
      <c r="Y355" s="85" t="n"/>
      <c r="Z355" s="85" t="n"/>
    </row>
    <row r="356" ht="15.75" customHeight="1" s="86">
      <c r="T356" s="85" t="n"/>
      <c r="U356" s="85" t="n"/>
      <c r="V356" s="85" t="n"/>
      <c r="W356" s="85" t="n"/>
      <c r="X356" s="85" t="n"/>
      <c r="Y356" s="85" t="n"/>
      <c r="Z356" s="85" t="n"/>
    </row>
    <row r="357" ht="15.75" customHeight="1" s="86">
      <c r="T357" s="85" t="n"/>
      <c r="U357" s="85" t="n"/>
      <c r="V357" s="85" t="n"/>
      <c r="W357" s="85" t="n"/>
      <c r="X357" s="85" t="n"/>
      <c r="Y357" s="85" t="n"/>
      <c r="Z357" s="85" t="n"/>
    </row>
    <row r="358" ht="15.75" customHeight="1" s="86">
      <c r="T358" s="85" t="n"/>
      <c r="U358" s="85" t="n"/>
      <c r="V358" s="85" t="n"/>
      <c r="W358" s="85" t="n"/>
      <c r="X358" s="85" t="n"/>
      <c r="Y358" s="85" t="n"/>
      <c r="Z358" s="85" t="n"/>
    </row>
    <row r="359" ht="15.75" customHeight="1" s="86">
      <c r="T359" s="85" t="n"/>
      <c r="U359" s="85" t="n"/>
      <c r="V359" s="85" t="n"/>
      <c r="W359" s="85" t="n"/>
      <c r="X359" s="85" t="n"/>
      <c r="Y359" s="85" t="n"/>
      <c r="Z359" s="85" t="n"/>
    </row>
    <row r="360" ht="15.75" customHeight="1" s="86">
      <c r="T360" s="85" t="n"/>
      <c r="U360" s="85" t="n"/>
      <c r="V360" s="85" t="n"/>
      <c r="W360" s="85" t="n"/>
      <c r="X360" s="85" t="n"/>
      <c r="Y360" s="85" t="n"/>
      <c r="Z360" s="85" t="n"/>
    </row>
    <row r="361" ht="15.75" customHeight="1" s="86">
      <c r="T361" s="85" t="n"/>
      <c r="U361" s="85" t="n"/>
      <c r="V361" s="85" t="n"/>
      <c r="W361" s="85" t="n"/>
      <c r="X361" s="85" t="n"/>
      <c r="Y361" s="85" t="n"/>
      <c r="Z361" s="85" t="n"/>
    </row>
    <row r="362" ht="15.75" customHeight="1" s="86">
      <c r="T362" s="85" t="n"/>
      <c r="U362" s="85" t="n"/>
      <c r="V362" s="85" t="n"/>
      <c r="W362" s="85" t="n"/>
      <c r="X362" s="85" t="n"/>
      <c r="Y362" s="85" t="n"/>
      <c r="Z362" s="85" t="n"/>
    </row>
    <row r="363" ht="15.75" customHeight="1" s="86">
      <c r="T363" s="85" t="n"/>
      <c r="U363" s="85" t="n"/>
      <c r="V363" s="85" t="n"/>
      <c r="W363" s="85" t="n"/>
      <c r="X363" s="85" t="n"/>
      <c r="Y363" s="85" t="n"/>
      <c r="Z363" s="85" t="n"/>
    </row>
    <row r="364" ht="15.75" customHeight="1" s="86">
      <c r="T364" s="85" t="n"/>
      <c r="U364" s="85" t="n"/>
      <c r="V364" s="85" t="n"/>
      <c r="W364" s="85" t="n"/>
      <c r="X364" s="85" t="n"/>
      <c r="Y364" s="85" t="n"/>
      <c r="Z364" s="85" t="n"/>
    </row>
    <row r="365" ht="15.75" customHeight="1" s="86">
      <c r="T365" s="85" t="n"/>
      <c r="U365" s="85" t="n"/>
      <c r="V365" s="85" t="n"/>
      <c r="W365" s="85" t="n"/>
      <c r="X365" s="85" t="n"/>
      <c r="Y365" s="85" t="n"/>
      <c r="Z365" s="85" t="n"/>
    </row>
    <row r="366" ht="15.75" customHeight="1" s="86">
      <c r="T366" s="85" t="n"/>
      <c r="U366" s="85" t="n"/>
      <c r="V366" s="85" t="n"/>
      <c r="W366" s="85" t="n"/>
      <c r="X366" s="85" t="n"/>
      <c r="Y366" s="85" t="n"/>
      <c r="Z366" s="85" t="n"/>
    </row>
    <row r="367" ht="15.75" customHeight="1" s="86">
      <c r="T367" s="85" t="n"/>
      <c r="U367" s="85" t="n"/>
      <c r="V367" s="85" t="n"/>
      <c r="W367" s="85" t="n"/>
      <c r="X367" s="85" t="n"/>
      <c r="Y367" s="85" t="n"/>
      <c r="Z367" s="85" t="n"/>
    </row>
    <row r="368" ht="15.75" customHeight="1" s="86">
      <c r="T368" s="85" t="n"/>
      <c r="U368" s="85" t="n"/>
      <c r="V368" s="85" t="n"/>
      <c r="W368" s="85" t="n"/>
      <c r="X368" s="85" t="n"/>
      <c r="Y368" s="85" t="n"/>
      <c r="Z368" s="85" t="n"/>
    </row>
    <row r="369" ht="15.75" customHeight="1" s="86">
      <c r="T369" s="85" t="n"/>
      <c r="U369" s="85" t="n"/>
      <c r="V369" s="85" t="n"/>
      <c r="W369" s="85" t="n"/>
      <c r="X369" s="85" t="n"/>
      <c r="Y369" s="85" t="n"/>
      <c r="Z369" s="85" t="n"/>
    </row>
    <row r="370" ht="15.75" customHeight="1" s="86">
      <c r="T370" s="85" t="n"/>
      <c r="U370" s="85" t="n"/>
      <c r="V370" s="85" t="n"/>
      <c r="W370" s="85" t="n"/>
      <c r="X370" s="85" t="n"/>
      <c r="Y370" s="85" t="n"/>
      <c r="Z370" s="85" t="n"/>
    </row>
    <row r="371" ht="15.75" customHeight="1" s="86">
      <c r="T371" s="85" t="n"/>
      <c r="U371" s="85" t="n"/>
      <c r="V371" s="85" t="n"/>
      <c r="W371" s="85" t="n"/>
      <c r="X371" s="85" t="n"/>
      <c r="Y371" s="85" t="n"/>
      <c r="Z371" s="85" t="n"/>
    </row>
    <row r="372" ht="15.75" customHeight="1" s="86">
      <c r="T372" s="85" t="n"/>
      <c r="U372" s="85" t="n"/>
      <c r="V372" s="85" t="n"/>
      <c r="W372" s="85" t="n"/>
      <c r="X372" s="85" t="n"/>
      <c r="Y372" s="85" t="n"/>
      <c r="Z372" s="85" t="n"/>
    </row>
    <row r="373" ht="15.75" customHeight="1" s="86">
      <c r="T373" s="85" t="n"/>
      <c r="U373" s="85" t="n"/>
      <c r="V373" s="85" t="n"/>
      <c r="W373" s="85" t="n"/>
      <c r="X373" s="85" t="n"/>
      <c r="Y373" s="85" t="n"/>
      <c r="Z373" s="85" t="n"/>
    </row>
    <row r="374" ht="15.75" customHeight="1" s="86">
      <c r="T374" s="85" t="n"/>
      <c r="U374" s="85" t="n"/>
      <c r="V374" s="85" t="n"/>
      <c r="W374" s="85" t="n"/>
      <c r="X374" s="85" t="n"/>
      <c r="Y374" s="85" t="n"/>
      <c r="Z374" s="85" t="n"/>
    </row>
    <row r="375" ht="15.75" customHeight="1" s="86">
      <c r="T375" s="85" t="n"/>
      <c r="U375" s="85" t="n"/>
      <c r="V375" s="85" t="n"/>
      <c r="W375" s="85" t="n"/>
      <c r="X375" s="85" t="n"/>
      <c r="Y375" s="85" t="n"/>
      <c r="Z375" s="85" t="n"/>
    </row>
    <row r="376" ht="15.75" customHeight="1" s="86">
      <c r="T376" s="85" t="n"/>
      <c r="U376" s="85" t="n"/>
      <c r="V376" s="85" t="n"/>
      <c r="W376" s="85" t="n"/>
      <c r="X376" s="85" t="n"/>
      <c r="Y376" s="85" t="n"/>
      <c r="Z376" s="85" t="n"/>
    </row>
    <row r="377" ht="15.75" customHeight="1" s="86">
      <c r="T377" s="85" t="n"/>
      <c r="U377" s="85" t="n"/>
      <c r="V377" s="85" t="n"/>
      <c r="W377" s="85" t="n"/>
      <c r="X377" s="85" t="n"/>
      <c r="Y377" s="85" t="n"/>
      <c r="Z377" s="85" t="n"/>
    </row>
    <row r="378" ht="15.75" customHeight="1" s="86">
      <c r="T378" s="85" t="n"/>
      <c r="U378" s="85" t="n"/>
      <c r="V378" s="85" t="n"/>
      <c r="W378" s="85" t="n"/>
      <c r="X378" s="85" t="n"/>
      <c r="Y378" s="85" t="n"/>
      <c r="Z378" s="85" t="n"/>
    </row>
    <row r="379" ht="15.75" customHeight="1" s="86">
      <c r="T379" s="85" t="n"/>
      <c r="U379" s="85" t="n"/>
      <c r="V379" s="85" t="n"/>
      <c r="W379" s="85" t="n"/>
      <c r="X379" s="85" t="n"/>
      <c r="Y379" s="85" t="n"/>
      <c r="Z379" s="85" t="n"/>
    </row>
    <row r="380" ht="15.75" customHeight="1" s="86">
      <c r="T380" s="85" t="n"/>
      <c r="U380" s="85" t="n"/>
      <c r="V380" s="85" t="n"/>
      <c r="W380" s="85" t="n"/>
      <c r="X380" s="85" t="n"/>
      <c r="Y380" s="85" t="n"/>
      <c r="Z380" s="85" t="n"/>
    </row>
    <row r="381" ht="15.75" customHeight="1" s="86">
      <c r="T381" s="85" t="n"/>
      <c r="U381" s="85" t="n"/>
      <c r="V381" s="85" t="n"/>
      <c r="W381" s="85" t="n"/>
      <c r="X381" s="85" t="n"/>
      <c r="Y381" s="85" t="n"/>
      <c r="Z381" s="85" t="n"/>
    </row>
    <row r="382" ht="15.75" customHeight="1" s="86">
      <c r="T382" s="85" t="n"/>
      <c r="U382" s="85" t="n"/>
      <c r="V382" s="85" t="n"/>
      <c r="W382" s="85" t="n"/>
      <c r="X382" s="85" t="n"/>
      <c r="Y382" s="85" t="n"/>
      <c r="Z382" s="85" t="n"/>
    </row>
    <row r="383" ht="15.75" customHeight="1" s="86">
      <c r="T383" s="85" t="n"/>
      <c r="U383" s="85" t="n"/>
      <c r="V383" s="85" t="n"/>
      <c r="W383" s="85" t="n"/>
      <c r="X383" s="85" t="n"/>
      <c r="Y383" s="85" t="n"/>
      <c r="Z383" s="85" t="n"/>
    </row>
    <row r="384" ht="15.75" customHeight="1" s="86">
      <c r="T384" s="85" t="n"/>
      <c r="U384" s="85" t="n"/>
      <c r="V384" s="85" t="n"/>
      <c r="W384" s="85" t="n"/>
      <c r="X384" s="85" t="n"/>
      <c r="Y384" s="85" t="n"/>
      <c r="Z384" s="85" t="n"/>
    </row>
    <row r="385" ht="15.75" customHeight="1" s="86">
      <c r="T385" s="85" t="n"/>
      <c r="U385" s="85" t="n"/>
      <c r="V385" s="85" t="n"/>
      <c r="W385" s="85" t="n"/>
      <c r="X385" s="85" t="n"/>
      <c r="Y385" s="85" t="n"/>
      <c r="Z385" s="85" t="n"/>
    </row>
    <row r="386" ht="15.75" customHeight="1" s="86">
      <c r="T386" s="85" t="n"/>
      <c r="U386" s="85" t="n"/>
      <c r="V386" s="85" t="n"/>
      <c r="W386" s="85" t="n"/>
      <c r="X386" s="85" t="n"/>
      <c r="Y386" s="85" t="n"/>
      <c r="Z386" s="85" t="n"/>
    </row>
    <row r="387" ht="15.75" customHeight="1" s="86">
      <c r="T387" s="85" t="n"/>
      <c r="U387" s="85" t="n"/>
      <c r="V387" s="85" t="n"/>
      <c r="W387" s="85" t="n"/>
      <c r="X387" s="85" t="n"/>
      <c r="Y387" s="85" t="n"/>
      <c r="Z387" s="85" t="n"/>
    </row>
    <row r="388" ht="15.75" customHeight="1" s="86">
      <c r="T388" s="85" t="n"/>
      <c r="U388" s="85" t="n"/>
      <c r="V388" s="85" t="n"/>
      <c r="W388" s="85" t="n"/>
      <c r="X388" s="85" t="n"/>
      <c r="Y388" s="85" t="n"/>
      <c r="Z388" s="85" t="n"/>
    </row>
    <row r="389" ht="15.75" customHeight="1" s="86">
      <c r="T389" s="85" t="n"/>
      <c r="U389" s="85" t="n"/>
      <c r="V389" s="85" t="n"/>
      <c r="W389" s="85" t="n"/>
      <c r="X389" s="85" t="n"/>
      <c r="Y389" s="85" t="n"/>
      <c r="Z389" s="85" t="n"/>
    </row>
    <row r="390" ht="15.75" customHeight="1" s="86">
      <c r="T390" s="85" t="n"/>
      <c r="U390" s="85" t="n"/>
      <c r="V390" s="85" t="n"/>
      <c r="W390" s="85" t="n"/>
      <c r="X390" s="85" t="n"/>
      <c r="Y390" s="85" t="n"/>
      <c r="Z390" s="85" t="n"/>
    </row>
    <row r="391" ht="15.75" customHeight="1" s="86">
      <c r="T391" s="85" t="n"/>
      <c r="U391" s="85" t="n"/>
      <c r="V391" s="85" t="n"/>
      <c r="W391" s="85" t="n"/>
      <c r="X391" s="85" t="n"/>
      <c r="Y391" s="85" t="n"/>
      <c r="Z391" s="85" t="n"/>
    </row>
    <row r="392" ht="15.75" customHeight="1" s="86">
      <c r="T392" s="85" t="n"/>
      <c r="U392" s="85" t="n"/>
      <c r="V392" s="85" t="n"/>
      <c r="W392" s="85" t="n"/>
      <c r="X392" s="85" t="n"/>
      <c r="Y392" s="85" t="n"/>
      <c r="Z392" s="85" t="n"/>
    </row>
    <row r="393" ht="15.75" customHeight="1" s="86">
      <c r="T393" s="85" t="n"/>
      <c r="U393" s="85" t="n"/>
      <c r="V393" s="85" t="n"/>
      <c r="W393" s="85" t="n"/>
      <c r="X393" s="85" t="n"/>
      <c r="Y393" s="85" t="n"/>
      <c r="Z393" s="85" t="n"/>
    </row>
    <row r="394" ht="15.75" customHeight="1" s="86">
      <c r="T394" s="85" t="n"/>
      <c r="U394" s="85" t="n"/>
      <c r="V394" s="85" t="n"/>
      <c r="W394" s="85" t="n"/>
      <c r="X394" s="85" t="n"/>
      <c r="Y394" s="85" t="n"/>
      <c r="Z394" s="85" t="n"/>
    </row>
    <row r="395" ht="15.75" customHeight="1" s="86">
      <c r="T395" s="85" t="n"/>
      <c r="U395" s="85" t="n"/>
      <c r="V395" s="85" t="n"/>
      <c r="W395" s="85" t="n"/>
      <c r="X395" s="85" t="n"/>
      <c r="Y395" s="85" t="n"/>
      <c r="Z395" s="85" t="n"/>
    </row>
    <row r="396" ht="15.75" customHeight="1" s="86">
      <c r="T396" s="85" t="n"/>
      <c r="U396" s="85" t="n"/>
      <c r="V396" s="85" t="n"/>
      <c r="W396" s="85" t="n"/>
      <c r="X396" s="85" t="n"/>
      <c r="Y396" s="85" t="n"/>
      <c r="Z396" s="85" t="n"/>
    </row>
    <row r="397" ht="15.75" customHeight="1" s="86">
      <c r="T397" s="85" t="n"/>
      <c r="U397" s="85" t="n"/>
      <c r="V397" s="85" t="n"/>
      <c r="W397" s="85" t="n"/>
      <c r="X397" s="85" t="n"/>
      <c r="Y397" s="85" t="n"/>
      <c r="Z397" s="85" t="n"/>
    </row>
    <row r="398" ht="15.75" customHeight="1" s="86">
      <c r="T398" s="85" t="n"/>
      <c r="U398" s="85" t="n"/>
      <c r="V398" s="85" t="n"/>
      <c r="W398" s="85" t="n"/>
      <c r="X398" s="85" t="n"/>
      <c r="Y398" s="85" t="n"/>
      <c r="Z398" s="85" t="n"/>
    </row>
    <row r="399" ht="15.75" customHeight="1" s="86">
      <c r="T399" s="85" t="n"/>
      <c r="U399" s="85" t="n"/>
      <c r="V399" s="85" t="n"/>
      <c r="W399" s="85" t="n"/>
      <c r="X399" s="85" t="n"/>
      <c r="Y399" s="85" t="n"/>
      <c r="Z399" s="85" t="n"/>
    </row>
    <row r="400" ht="15.75" customHeight="1" s="86">
      <c r="T400" s="85" t="n"/>
      <c r="U400" s="85" t="n"/>
      <c r="V400" s="85" t="n"/>
      <c r="W400" s="85" t="n"/>
      <c r="X400" s="85" t="n"/>
      <c r="Y400" s="85" t="n"/>
      <c r="Z400" s="85" t="n"/>
    </row>
    <row r="401" ht="15.75" customHeight="1" s="86">
      <c r="T401" s="85" t="n"/>
      <c r="U401" s="85" t="n"/>
      <c r="V401" s="85" t="n"/>
      <c r="W401" s="85" t="n"/>
      <c r="X401" s="85" t="n"/>
      <c r="Y401" s="85" t="n"/>
      <c r="Z401" s="85" t="n"/>
    </row>
    <row r="402" ht="15.75" customHeight="1" s="86">
      <c r="T402" s="85" t="n"/>
      <c r="U402" s="85" t="n"/>
      <c r="V402" s="85" t="n"/>
      <c r="W402" s="85" t="n"/>
      <c r="X402" s="85" t="n"/>
      <c r="Y402" s="85" t="n"/>
      <c r="Z402" s="85" t="n"/>
    </row>
    <row r="403" ht="15.75" customHeight="1" s="86">
      <c r="T403" s="85" t="n"/>
      <c r="U403" s="85" t="n"/>
      <c r="V403" s="85" t="n"/>
      <c r="W403" s="85" t="n"/>
      <c r="X403" s="85" t="n"/>
      <c r="Y403" s="85" t="n"/>
      <c r="Z403" s="85" t="n"/>
    </row>
    <row r="404" ht="15.75" customHeight="1" s="86">
      <c r="T404" s="85" t="n"/>
      <c r="U404" s="85" t="n"/>
      <c r="V404" s="85" t="n"/>
      <c r="W404" s="85" t="n"/>
      <c r="X404" s="85" t="n"/>
      <c r="Y404" s="85" t="n"/>
      <c r="Z404" s="85" t="n"/>
    </row>
    <row r="405" ht="15.75" customHeight="1" s="86">
      <c r="T405" s="85" t="n"/>
      <c r="U405" s="85" t="n"/>
      <c r="V405" s="85" t="n"/>
      <c r="W405" s="85" t="n"/>
      <c r="X405" s="85" t="n"/>
      <c r="Y405" s="85" t="n"/>
      <c r="Z405" s="85" t="n"/>
    </row>
    <row r="406" ht="15.75" customHeight="1" s="86">
      <c r="T406" s="85" t="n"/>
      <c r="U406" s="85" t="n"/>
      <c r="V406" s="85" t="n"/>
      <c r="W406" s="85" t="n"/>
      <c r="X406" s="85" t="n"/>
      <c r="Y406" s="85" t="n"/>
      <c r="Z406" s="85" t="n"/>
    </row>
    <row r="407" ht="15.75" customHeight="1" s="86">
      <c r="T407" s="85" t="n"/>
      <c r="U407" s="85" t="n"/>
      <c r="V407" s="85" t="n"/>
      <c r="W407" s="85" t="n"/>
      <c r="X407" s="85" t="n"/>
      <c r="Y407" s="85" t="n"/>
      <c r="Z407" s="85" t="n"/>
    </row>
    <row r="408" ht="15.75" customHeight="1" s="86">
      <c r="T408" s="85" t="n"/>
      <c r="U408" s="85" t="n"/>
      <c r="V408" s="85" t="n"/>
      <c r="W408" s="85" t="n"/>
      <c r="X408" s="85" t="n"/>
      <c r="Y408" s="85" t="n"/>
      <c r="Z408" s="85" t="n"/>
    </row>
    <row r="409" ht="15.75" customHeight="1" s="86">
      <c r="T409" s="85" t="n"/>
      <c r="U409" s="85" t="n"/>
      <c r="V409" s="85" t="n"/>
      <c r="W409" s="85" t="n"/>
      <c r="X409" s="85" t="n"/>
      <c r="Y409" s="85" t="n"/>
      <c r="Z409" s="85" t="n"/>
    </row>
    <row r="410" ht="15.75" customHeight="1" s="86">
      <c r="T410" s="85" t="n"/>
      <c r="U410" s="85" t="n"/>
      <c r="V410" s="85" t="n"/>
      <c r="W410" s="85" t="n"/>
      <c r="X410" s="85" t="n"/>
      <c r="Y410" s="85" t="n"/>
      <c r="Z410" s="85" t="n"/>
    </row>
    <row r="411" ht="15.75" customHeight="1" s="86">
      <c r="T411" s="85" t="n"/>
      <c r="U411" s="85" t="n"/>
      <c r="V411" s="85" t="n"/>
      <c r="W411" s="85" t="n"/>
      <c r="X411" s="85" t="n"/>
      <c r="Y411" s="85" t="n"/>
      <c r="Z411" s="85" t="n"/>
    </row>
    <row r="412" ht="15.75" customHeight="1" s="86">
      <c r="T412" s="85" t="n"/>
      <c r="U412" s="85" t="n"/>
      <c r="V412" s="85" t="n"/>
      <c r="W412" s="85" t="n"/>
      <c r="X412" s="85" t="n"/>
      <c r="Y412" s="85" t="n"/>
      <c r="Z412" s="85" t="n"/>
    </row>
    <row r="413" ht="15.75" customHeight="1" s="86">
      <c r="T413" s="85" t="n"/>
      <c r="U413" s="85" t="n"/>
      <c r="V413" s="85" t="n"/>
      <c r="W413" s="85" t="n"/>
      <c r="X413" s="85" t="n"/>
      <c r="Y413" s="85" t="n"/>
      <c r="Z413" s="85" t="n"/>
    </row>
    <row r="414" ht="15.75" customHeight="1" s="86">
      <c r="T414" s="85" t="n"/>
      <c r="U414" s="85" t="n"/>
      <c r="V414" s="85" t="n"/>
      <c r="W414" s="85" t="n"/>
      <c r="X414" s="85" t="n"/>
      <c r="Y414" s="85" t="n"/>
      <c r="Z414" s="85" t="n"/>
    </row>
    <row r="415" ht="15.75" customHeight="1" s="86">
      <c r="T415" s="85" t="n"/>
      <c r="U415" s="85" t="n"/>
      <c r="V415" s="85" t="n"/>
      <c r="W415" s="85" t="n"/>
      <c r="X415" s="85" t="n"/>
      <c r="Y415" s="85" t="n"/>
      <c r="Z415" s="85" t="n"/>
    </row>
    <row r="416" ht="15.75" customHeight="1" s="86">
      <c r="T416" s="85" t="n"/>
      <c r="U416" s="85" t="n"/>
      <c r="V416" s="85" t="n"/>
      <c r="W416" s="85" t="n"/>
      <c r="X416" s="85" t="n"/>
      <c r="Y416" s="85" t="n"/>
      <c r="Z416" s="85" t="n"/>
    </row>
    <row r="417" ht="15.75" customHeight="1" s="86">
      <c r="T417" s="85" t="n"/>
      <c r="U417" s="85" t="n"/>
      <c r="V417" s="85" t="n"/>
      <c r="W417" s="85" t="n"/>
      <c r="X417" s="85" t="n"/>
      <c r="Y417" s="85" t="n"/>
      <c r="Z417" s="85" t="n"/>
    </row>
    <row r="418" ht="15.75" customHeight="1" s="86">
      <c r="T418" s="85" t="n"/>
      <c r="U418" s="85" t="n"/>
      <c r="V418" s="85" t="n"/>
      <c r="W418" s="85" t="n"/>
      <c r="X418" s="85" t="n"/>
      <c r="Y418" s="85" t="n"/>
      <c r="Z418" s="85" t="n"/>
    </row>
    <row r="419" ht="15.75" customHeight="1" s="86">
      <c r="T419" s="85" t="n"/>
      <c r="U419" s="85" t="n"/>
      <c r="V419" s="85" t="n"/>
      <c r="W419" s="85" t="n"/>
      <c r="X419" s="85" t="n"/>
      <c r="Y419" s="85" t="n"/>
      <c r="Z419" s="85" t="n"/>
    </row>
    <row r="420" ht="15.75" customHeight="1" s="86">
      <c r="T420" s="85" t="n"/>
      <c r="U420" s="85" t="n"/>
      <c r="V420" s="85" t="n"/>
      <c r="W420" s="85" t="n"/>
      <c r="X420" s="85" t="n"/>
      <c r="Y420" s="85" t="n"/>
      <c r="Z420" s="85" t="n"/>
    </row>
    <row r="421" ht="15.75" customHeight="1" s="86">
      <c r="T421" s="85" t="n"/>
      <c r="U421" s="85" t="n"/>
      <c r="V421" s="85" t="n"/>
      <c r="W421" s="85" t="n"/>
      <c r="X421" s="85" t="n"/>
      <c r="Y421" s="85" t="n"/>
      <c r="Z421" s="85" t="n"/>
    </row>
    <row r="422" ht="15.75" customHeight="1" s="86">
      <c r="T422" s="85" t="n"/>
      <c r="U422" s="85" t="n"/>
      <c r="V422" s="85" t="n"/>
      <c r="W422" s="85" t="n"/>
      <c r="X422" s="85" t="n"/>
      <c r="Y422" s="85" t="n"/>
      <c r="Z422" s="85" t="n"/>
    </row>
    <row r="423" ht="15.75" customHeight="1" s="86">
      <c r="T423" s="85" t="n"/>
      <c r="U423" s="85" t="n"/>
      <c r="V423" s="85" t="n"/>
      <c r="W423" s="85" t="n"/>
      <c r="X423" s="85" t="n"/>
      <c r="Y423" s="85" t="n"/>
      <c r="Z423" s="85" t="n"/>
    </row>
    <row r="424" ht="15.75" customHeight="1" s="86">
      <c r="T424" s="85" t="n"/>
      <c r="U424" s="85" t="n"/>
      <c r="V424" s="85" t="n"/>
      <c r="W424" s="85" t="n"/>
      <c r="X424" s="85" t="n"/>
      <c r="Y424" s="85" t="n"/>
      <c r="Z424" s="85" t="n"/>
    </row>
    <row r="425" ht="15.75" customHeight="1" s="86">
      <c r="T425" s="85" t="n"/>
      <c r="U425" s="85" t="n"/>
      <c r="V425" s="85" t="n"/>
      <c r="W425" s="85" t="n"/>
      <c r="X425" s="85" t="n"/>
      <c r="Y425" s="85" t="n"/>
      <c r="Z425" s="85" t="n"/>
    </row>
    <row r="426" ht="15.75" customHeight="1" s="86">
      <c r="T426" s="85" t="n"/>
      <c r="U426" s="85" t="n"/>
      <c r="V426" s="85" t="n"/>
      <c r="W426" s="85" t="n"/>
      <c r="X426" s="85" t="n"/>
      <c r="Y426" s="85" t="n"/>
      <c r="Z426" s="85" t="n"/>
    </row>
    <row r="427" ht="15.75" customHeight="1" s="86">
      <c r="T427" s="85" t="n"/>
      <c r="U427" s="85" t="n"/>
      <c r="V427" s="85" t="n"/>
      <c r="W427" s="85" t="n"/>
      <c r="X427" s="85" t="n"/>
      <c r="Y427" s="85" t="n"/>
      <c r="Z427" s="85" t="n"/>
    </row>
    <row r="428" ht="15.75" customHeight="1" s="86">
      <c r="T428" s="85" t="n"/>
      <c r="U428" s="85" t="n"/>
      <c r="V428" s="85" t="n"/>
      <c r="W428" s="85" t="n"/>
      <c r="X428" s="85" t="n"/>
      <c r="Y428" s="85" t="n"/>
      <c r="Z428" s="85" t="n"/>
    </row>
    <row r="429" ht="15.75" customHeight="1" s="86">
      <c r="T429" s="85" t="n"/>
      <c r="U429" s="85" t="n"/>
      <c r="V429" s="85" t="n"/>
      <c r="W429" s="85" t="n"/>
      <c r="X429" s="85" t="n"/>
      <c r="Y429" s="85" t="n"/>
      <c r="Z429" s="85" t="n"/>
    </row>
    <row r="430" ht="15.75" customHeight="1" s="86">
      <c r="T430" s="85" t="n"/>
      <c r="U430" s="85" t="n"/>
      <c r="V430" s="85" t="n"/>
      <c r="W430" s="85" t="n"/>
      <c r="X430" s="85" t="n"/>
      <c r="Y430" s="85" t="n"/>
      <c r="Z430" s="85" t="n"/>
    </row>
    <row r="431" ht="15.75" customHeight="1" s="86">
      <c r="T431" s="85" t="n"/>
      <c r="U431" s="85" t="n"/>
      <c r="V431" s="85" t="n"/>
      <c r="W431" s="85" t="n"/>
      <c r="X431" s="85" t="n"/>
      <c r="Y431" s="85" t="n"/>
      <c r="Z431" s="85" t="n"/>
    </row>
    <row r="432" ht="15.75" customHeight="1" s="86">
      <c r="T432" s="85" t="n"/>
      <c r="U432" s="85" t="n"/>
      <c r="V432" s="85" t="n"/>
      <c r="W432" s="85" t="n"/>
      <c r="X432" s="85" t="n"/>
      <c r="Y432" s="85" t="n"/>
      <c r="Z432" s="85" t="n"/>
    </row>
    <row r="433" ht="15.75" customHeight="1" s="86">
      <c r="T433" s="85" t="n"/>
      <c r="U433" s="85" t="n"/>
      <c r="V433" s="85" t="n"/>
      <c r="W433" s="85" t="n"/>
      <c r="X433" s="85" t="n"/>
      <c r="Y433" s="85" t="n"/>
      <c r="Z433" s="85" t="n"/>
    </row>
    <row r="434" ht="15.75" customHeight="1" s="86">
      <c r="T434" s="85" t="n"/>
      <c r="U434" s="85" t="n"/>
      <c r="V434" s="85" t="n"/>
      <c r="W434" s="85" t="n"/>
      <c r="X434" s="85" t="n"/>
      <c r="Y434" s="85" t="n"/>
      <c r="Z434" s="85" t="n"/>
    </row>
    <row r="435" ht="15.75" customHeight="1" s="86">
      <c r="T435" s="85" t="n"/>
      <c r="U435" s="85" t="n"/>
      <c r="V435" s="85" t="n"/>
      <c r="W435" s="85" t="n"/>
      <c r="X435" s="85" t="n"/>
      <c r="Y435" s="85" t="n"/>
      <c r="Z435" s="85" t="n"/>
    </row>
    <row r="436" ht="15.75" customHeight="1" s="86">
      <c r="T436" s="85" t="n"/>
      <c r="U436" s="85" t="n"/>
      <c r="V436" s="85" t="n"/>
      <c r="W436" s="85" t="n"/>
      <c r="X436" s="85" t="n"/>
      <c r="Y436" s="85" t="n"/>
      <c r="Z436" s="85" t="n"/>
    </row>
    <row r="437" ht="15.75" customHeight="1" s="86">
      <c r="T437" s="85" t="n"/>
      <c r="U437" s="85" t="n"/>
      <c r="V437" s="85" t="n"/>
      <c r="W437" s="85" t="n"/>
      <c r="X437" s="85" t="n"/>
      <c r="Y437" s="85" t="n"/>
      <c r="Z437" s="85" t="n"/>
    </row>
    <row r="438" ht="15.75" customHeight="1" s="86">
      <c r="T438" s="85" t="n"/>
      <c r="U438" s="85" t="n"/>
      <c r="V438" s="85" t="n"/>
      <c r="W438" s="85" t="n"/>
      <c r="X438" s="85" t="n"/>
      <c r="Y438" s="85" t="n"/>
      <c r="Z438" s="85" t="n"/>
    </row>
    <row r="439" ht="15.75" customHeight="1" s="86">
      <c r="T439" s="85" t="n"/>
      <c r="U439" s="85" t="n"/>
      <c r="V439" s="85" t="n"/>
      <c r="W439" s="85" t="n"/>
      <c r="X439" s="85" t="n"/>
      <c r="Y439" s="85" t="n"/>
      <c r="Z439" s="85" t="n"/>
    </row>
    <row r="440" ht="15.75" customHeight="1" s="86">
      <c r="T440" s="85" t="n"/>
      <c r="U440" s="85" t="n"/>
      <c r="V440" s="85" t="n"/>
      <c r="W440" s="85" t="n"/>
      <c r="X440" s="85" t="n"/>
      <c r="Y440" s="85" t="n"/>
      <c r="Z440" s="85" t="n"/>
    </row>
    <row r="441" ht="15.75" customHeight="1" s="86">
      <c r="T441" s="85" t="n"/>
      <c r="U441" s="85" t="n"/>
      <c r="V441" s="85" t="n"/>
      <c r="W441" s="85" t="n"/>
      <c r="X441" s="85" t="n"/>
      <c r="Y441" s="85" t="n"/>
      <c r="Z441" s="85" t="n"/>
    </row>
    <row r="442" ht="15.75" customHeight="1" s="86">
      <c r="T442" s="85" t="n"/>
      <c r="U442" s="85" t="n"/>
      <c r="V442" s="85" t="n"/>
      <c r="W442" s="85" t="n"/>
      <c r="X442" s="85" t="n"/>
      <c r="Y442" s="85" t="n"/>
      <c r="Z442" s="85" t="n"/>
    </row>
    <row r="443" ht="15.75" customHeight="1" s="86">
      <c r="T443" s="85" t="n"/>
      <c r="U443" s="85" t="n"/>
      <c r="V443" s="85" t="n"/>
      <c r="W443" s="85" t="n"/>
      <c r="X443" s="85" t="n"/>
      <c r="Y443" s="85" t="n"/>
      <c r="Z443" s="85" t="n"/>
    </row>
    <row r="444" ht="15.75" customHeight="1" s="86">
      <c r="T444" s="85" t="n"/>
      <c r="U444" s="85" t="n"/>
      <c r="V444" s="85" t="n"/>
      <c r="W444" s="85" t="n"/>
      <c r="X444" s="85" t="n"/>
      <c r="Y444" s="85" t="n"/>
      <c r="Z444" s="85" t="n"/>
    </row>
    <row r="445" ht="15.75" customHeight="1" s="86">
      <c r="T445" s="85" t="n"/>
      <c r="U445" s="85" t="n"/>
      <c r="V445" s="85" t="n"/>
      <c r="W445" s="85" t="n"/>
      <c r="X445" s="85" t="n"/>
      <c r="Y445" s="85" t="n"/>
      <c r="Z445" s="85" t="n"/>
    </row>
    <row r="446" ht="15.75" customHeight="1" s="86">
      <c r="T446" s="85" t="n"/>
      <c r="U446" s="85" t="n"/>
      <c r="V446" s="85" t="n"/>
      <c r="W446" s="85" t="n"/>
      <c r="X446" s="85" t="n"/>
      <c r="Y446" s="85" t="n"/>
      <c r="Z446" s="85" t="n"/>
    </row>
    <row r="447" ht="15.75" customHeight="1" s="86">
      <c r="T447" s="85" t="n"/>
      <c r="U447" s="85" t="n"/>
      <c r="V447" s="85" t="n"/>
      <c r="W447" s="85" t="n"/>
      <c r="X447" s="85" t="n"/>
      <c r="Y447" s="85" t="n"/>
      <c r="Z447" s="85" t="n"/>
    </row>
    <row r="448" ht="15.75" customHeight="1" s="86">
      <c r="T448" s="85" t="n"/>
      <c r="U448" s="85" t="n"/>
      <c r="V448" s="85" t="n"/>
      <c r="W448" s="85" t="n"/>
      <c r="X448" s="85" t="n"/>
      <c r="Y448" s="85" t="n"/>
      <c r="Z448" s="85" t="n"/>
    </row>
    <row r="449" ht="15.75" customHeight="1" s="86">
      <c r="T449" s="85" t="n"/>
      <c r="U449" s="85" t="n"/>
      <c r="V449" s="85" t="n"/>
      <c r="W449" s="85" t="n"/>
      <c r="X449" s="85" t="n"/>
      <c r="Y449" s="85" t="n"/>
      <c r="Z449" s="85" t="n"/>
    </row>
    <row r="450" ht="15.75" customHeight="1" s="86">
      <c r="T450" s="85" t="n"/>
      <c r="U450" s="85" t="n"/>
      <c r="V450" s="85" t="n"/>
      <c r="W450" s="85" t="n"/>
      <c r="X450" s="85" t="n"/>
      <c r="Y450" s="85" t="n"/>
      <c r="Z450" s="85" t="n"/>
    </row>
    <row r="451" ht="15.75" customHeight="1" s="86">
      <c r="T451" s="85" t="n"/>
      <c r="U451" s="85" t="n"/>
      <c r="V451" s="85" t="n"/>
      <c r="W451" s="85" t="n"/>
      <c r="X451" s="85" t="n"/>
      <c r="Y451" s="85" t="n"/>
      <c r="Z451" s="85" t="n"/>
    </row>
    <row r="452" ht="15.75" customHeight="1" s="86">
      <c r="T452" s="85" t="n"/>
      <c r="U452" s="85" t="n"/>
      <c r="V452" s="85" t="n"/>
      <c r="W452" s="85" t="n"/>
      <c r="X452" s="85" t="n"/>
      <c r="Y452" s="85" t="n"/>
      <c r="Z452" s="85" t="n"/>
    </row>
    <row r="453" ht="15.75" customHeight="1" s="86">
      <c r="T453" s="85" t="n"/>
      <c r="U453" s="85" t="n"/>
      <c r="V453" s="85" t="n"/>
      <c r="W453" s="85" t="n"/>
      <c r="X453" s="85" t="n"/>
      <c r="Y453" s="85" t="n"/>
      <c r="Z453" s="85" t="n"/>
    </row>
    <row r="454" ht="15.75" customHeight="1" s="86">
      <c r="T454" s="85" t="n"/>
      <c r="U454" s="85" t="n"/>
      <c r="V454" s="85" t="n"/>
      <c r="W454" s="85" t="n"/>
      <c r="X454" s="85" t="n"/>
      <c r="Y454" s="85" t="n"/>
      <c r="Z454" s="85" t="n"/>
    </row>
    <row r="455" ht="15.75" customHeight="1" s="86">
      <c r="T455" s="85" t="n"/>
      <c r="U455" s="85" t="n"/>
      <c r="V455" s="85" t="n"/>
      <c r="W455" s="85" t="n"/>
      <c r="X455" s="85" t="n"/>
      <c r="Y455" s="85" t="n"/>
      <c r="Z455" s="85" t="n"/>
    </row>
    <row r="456" ht="15.75" customHeight="1" s="86">
      <c r="T456" s="85" t="n"/>
      <c r="U456" s="85" t="n"/>
      <c r="V456" s="85" t="n"/>
      <c r="W456" s="85" t="n"/>
      <c r="X456" s="85" t="n"/>
      <c r="Y456" s="85" t="n"/>
      <c r="Z456" s="85" t="n"/>
    </row>
    <row r="457" ht="15.75" customHeight="1" s="86">
      <c r="T457" s="85" t="n"/>
      <c r="U457" s="85" t="n"/>
      <c r="V457" s="85" t="n"/>
      <c r="W457" s="85" t="n"/>
      <c r="X457" s="85" t="n"/>
      <c r="Y457" s="85" t="n"/>
      <c r="Z457" s="85" t="n"/>
    </row>
    <row r="458" ht="15.75" customHeight="1" s="86">
      <c r="T458" s="85" t="n"/>
      <c r="U458" s="85" t="n"/>
      <c r="V458" s="85" t="n"/>
      <c r="W458" s="85" t="n"/>
      <c r="X458" s="85" t="n"/>
      <c r="Y458" s="85" t="n"/>
      <c r="Z458" s="85" t="n"/>
    </row>
    <row r="459" ht="15.75" customHeight="1" s="86">
      <c r="T459" s="85" t="n"/>
      <c r="U459" s="85" t="n"/>
      <c r="V459" s="85" t="n"/>
      <c r="W459" s="85" t="n"/>
      <c r="X459" s="85" t="n"/>
      <c r="Y459" s="85" t="n"/>
      <c r="Z459" s="85" t="n"/>
    </row>
    <row r="460" ht="15.75" customHeight="1" s="86">
      <c r="T460" s="85" t="n"/>
      <c r="U460" s="85" t="n"/>
      <c r="V460" s="85" t="n"/>
      <c r="W460" s="85" t="n"/>
      <c r="X460" s="85" t="n"/>
      <c r="Y460" s="85" t="n"/>
      <c r="Z460" s="85" t="n"/>
    </row>
    <row r="461" ht="15.75" customHeight="1" s="86">
      <c r="T461" s="85" t="n"/>
      <c r="U461" s="85" t="n"/>
      <c r="V461" s="85" t="n"/>
      <c r="W461" s="85" t="n"/>
      <c r="X461" s="85" t="n"/>
      <c r="Y461" s="85" t="n"/>
      <c r="Z461" s="85" t="n"/>
    </row>
    <row r="462" ht="15.75" customHeight="1" s="86">
      <c r="T462" s="85" t="n"/>
      <c r="U462" s="85" t="n"/>
      <c r="V462" s="85" t="n"/>
      <c r="W462" s="85" t="n"/>
      <c r="X462" s="85" t="n"/>
      <c r="Y462" s="85" t="n"/>
      <c r="Z462" s="85" t="n"/>
    </row>
    <row r="463" ht="15.75" customHeight="1" s="86">
      <c r="T463" s="85" t="n"/>
      <c r="U463" s="85" t="n"/>
      <c r="V463" s="85" t="n"/>
      <c r="W463" s="85" t="n"/>
      <c r="X463" s="85" t="n"/>
      <c r="Y463" s="85" t="n"/>
      <c r="Z463" s="85" t="n"/>
    </row>
    <row r="464" ht="15.75" customHeight="1" s="86">
      <c r="T464" s="85" t="n"/>
      <c r="U464" s="85" t="n"/>
      <c r="V464" s="85" t="n"/>
      <c r="W464" s="85" t="n"/>
      <c r="X464" s="85" t="n"/>
      <c r="Y464" s="85" t="n"/>
      <c r="Z464" s="85" t="n"/>
    </row>
    <row r="465" ht="15.75" customHeight="1" s="86">
      <c r="T465" s="85" t="n"/>
      <c r="U465" s="85" t="n"/>
      <c r="V465" s="85" t="n"/>
      <c r="W465" s="85" t="n"/>
      <c r="X465" s="85" t="n"/>
      <c r="Y465" s="85" t="n"/>
      <c r="Z465" s="85" t="n"/>
    </row>
    <row r="466" ht="15.75" customHeight="1" s="86">
      <c r="T466" s="85" t="n"/>
      <c r="U466" s="85" t="n"/>
      <c r="V466" s="85" t="n"/>
      <c r="W466" s="85" t="n"/>
      <c r="X466" s="85" t="n"/>
      <c r="Y466" s="85" t="n"/>
      <c r="Z466" s="85" t="n"/>
    </row>
    <row r="467" ht="15.75" customHeight="1" s="86">
      <c r="T467" s="85" t="n"/>
      <c r="U467" s="85" t="n"/>
      <c r="V467" s="85" t="n"/>
      <c r="W467" s="85" t="n"/>
      <c r="X467" s="85" t="n"/>
      <c r="Y467" s="85" t="n"/>
      <c r="Z467" s="85" t="n"/>
    </row>
    <row r="468" ht="15.75" customHeight="1" s="86">
      <c r="T468" s="85" t="n"/>
      <c r="U468" s="85" t="n"/>
      <c r="V468" s="85" t="n"/>
      <c r="W468" s="85" t="n"/>
      <c r="X468" s="85" t="n"/>
      <c r="Y468" s="85" t="n"/>
      <c r="Z468" s="85" t="n"/>
    </row>
    <row r="469" ht="15.75" customHeight="1" s="86">
      <c r="T469" s="85" t="n"/>
      <c r="U469" s="85" t="n"/>
      <c r="V469" s="85" t="n"/>
      <c r="W469" s="85" t="n"/>
      <c r="X469" s="85" t="n"/>
      <c r="Y469" s="85" t="n"/>
      <c r="Z469" s="85" t="n"/>
    </row>
    <row r="470" ht="15.75" customHeight="1" s="86">
      <c r="T470" s="85" t="n"/>
      <c r="U470" s="85" t="n"/>
      <c r="V470" s="85" t="n"/>
      <c r="W470" s="85" t="n"/>
      <c r="X470" s="85" t="n"/>
      <c r="Y470" s="85" t="n"/>
      <c r="Z470" s="85" t="n"/>
    </row>
    <row r="471" ht="15.75" customHeight="1" s="86">
      <c r="T471" s="85" t="n"/>
      <c r="U471" s="85" t="n"/>
      <c r="V471" s="85" t="n"/>
      <c r="W471" s="85" t="n"/>
      <c r="X471" s="85" t="n"/>
      <c r="Y471" s="85" t="n"/>
      <c r="Z471" s="85" t="n"/>
    </row>
    <row r="472" ht="15.75" customHeight="1" s="86">
      <c r="T472" s="85" t="n"/>
      <c r="U472" s="85" t="n"/>
      <c r="V472" s="85" t="n"/>
      <c r="W472" s="85" t="n"/>
      <c r="X472" s="85" t="n"/>
      <c r="Y472" s="85" t="n"/>
      <c r="Z472" s="85" t="n"/>
    </row>
    <row r="473" ht="15.75" customHeight="1" s="86">
      <c r="T473" s="85" t="n"/>
      <c r="U473" s="85" t="n"/>
      <c r="V473" s="85" t="n"/>
      <c r="W473" s="85" t="n"/>
      <c r="X473" s="85" t="n"/>
      <c r="Y473" s="85" t="n"/>
      <c r="Z473" s="85" t="n"/>
    </row>
    <row r="474" ht="15.75" customHeight="1" s="86">
      <c r="T474" s="85" t="n"/>
      <c r="U474" s="85" t="n"/>
      <c r="V474" s="85" t="n"/>
      <c r="W474" s="85" t="n"/>
      <c r="X474" s="85" t="n"/>
      <c r="Y474" s="85" t="n"/>
      <c r="Z474" s="85" t="n"/>
    </row>
    <row r="475" ht="15.75" customHeight="1" s="86">
      <c r="T475" s="85" t="n"/>
      <c r="U475" s="85" t="n"/>
      <c r="V475" s="85" t="n"/>
      <c r="W475" s="85" t="n"/>
      <c r="X475" s="85" t="n"/>
      <c r="Y475" s="85" t="n"/>
      <c r="Z475" s="85" t="n"/>
    </row>
    <row r="476" ht="15.75" customHeight="1" s="86">
      <c r="T476" s="85" t="n"/>
      <c r="U476" s="85" t="n"/>
      <c r="V476" s="85" t="n"/>
      <c r="W476" s="85" t="n"/>
      <c r="X476" s="85" t="n"/>
      <c r="Y476" s="85" t="n"/>
      <c r="Z476" s="85" t="n"/>
    </row>
    <row r="477" ht="15.75" customHeight="1" s="86">
      <c r="T477" s="85" t="n"/>
      <c r="U477" s="85" t="n"/>
      <c r="V477" s="85" t="n"/>
      <c r="W477" s="85" t="n"/>
      <c r="X477" s="85" t="n"/>
      <c r="Y477" s="85" t="n"/>
      <c r="Z477" s="85" t="n"/>
    </row>
    <row r="478" ht="15.75" customHeight="1" s="86">
      <c r="T478" s="85" t="n"/>
      <c r="U478" s="85" t="n"/>
      <c r="V478" s="85" t="n"/>
      <c r="W478" s="85" t="n"/>
      <c r="X478" s="85" t="n"/>
      <c r="Y478" s="85" t="n"/>
      <c r="Z478" s="85" t="n"/>
    </row>
    <row r="479" ht="15.75" customHeight="1" s="86">
      <c r="T479" s="85" t="n"/>
      <c r="U479" s="85" t="n"/>
      <c r="V479" s="85" t="n"/>
      <c r="W479" s="85" t="n"/>
      <c r="X479" s="85" t="n"/>
      <c r="Y479" s="85" t="n"/>
      <c r="Z479" s="85" t="n"/>
    </row>
    <row r="480" ht="15.75" customHeight="1" s="86">
      <c r="T480" s="85" t="n"/>
      <c r="U480" s="85" t="n"/>
      <c r="V480" s="85" t="n"/>
      <c r="W480" s="85" t="n"/>
      <c r="X480" s="85" t="n"/>
      <c r="Y480" s="85" t="n"/>
      <c r="Z480" s="85" t="n"/>
    </row>
    <row r="481" ht="15.75" customHeight="1" s="86">
      <c r="T481" s="85" t="n"/>
      <c r="U481" s="85" t="n"/>
      <c r="V481" s="85" t="n"/>
      <c r="W481" s="85" t="n"/>
      <c r="X481" s="85" t="n"/>
      <c r="Y481" s="85" t="n"/>
      <c r="Z481" s="85" t="n"/>
    </row>
    <row r="482" ht="15.75" customHeight="1" s="86">
      <c r="T482" s="85" t="n"/>
      <c r="U482" s="85" t="n"/>
      <c r="V482" s="85" t="n"/>
      <c r="W482" s="85" t="n"/>
      <c r="X482" s="85" t="n"/>
      <c r="Y482" s="85" t="n"/>
      <c r="Z482" s="85" t="n"/>
    </row>
    <row r="483" ht="15.75" customHeight="1" s="86">
      <c r="T483" s="85" t="n"/>
      <c r="U483" s="85" t="n"/>
      <c r="V483" s="85" t="n"/>
      <c r="W483" s="85" t="n"/>
      <c r="X483" s="85" t="n"/>
      <c r="Y483" s="85" t="n"/>
      <c r="Z483" s="85" t="n"/>
    </row>
    <row r="484" ht="15.75" customHeight="1" s="86">
      <c r="T484" s="85" t="n"/>
      <c r="U484" s="85" t="n"/>
      <c r="V484" s="85" t="n"/>
      <c r="W484" s="85" t="n"/>
      <c r="X484" s="85" t="n"/>
      <c r="Y484" s="85" t="n"/>
      <c r="Z484" s="85" t="n"/>
    </row>
    <row r="485" ht="15.75" customHeight="1" s="86">
      <c r="T485" s="85" t="n"/>
      <c r="U485" s="85" t="n"/>
      <c r="V485" s="85" t="n"/>
      <c r="W485" s="85" t="n"/>
      <c r="X485" s="85" t="n"/>
      <c r="Y485" s="85" t="n"/>
      <c r="Z485" s="85" t="n"/>
    </row>
    <row r="486" ht="15.75" customHeight="1" s="86">
      <c r="T486" s="85" t="n"/>
      <c r="U486" s="85" t="n"/>
      <c r="V486" s="85" t="n"/>
      <c r="W486" s="85" t="n"/>
      <c r="X486" s="85" t="n"/>
      <c r="Y486" s="85" t="n"/>
      <c r="Z486" s="85" t="n"/>
    </row>
    <row r="487" ht="15.75" customHeight="1" s="86">
      <c r="T487" s="85" t="n"/>
      <c r="U487" s="85" t="n"/>
      <c r="V487" s="85" t="n"/>
      <c r="W487" s="85" t="n"/>
      <c r="X487" s="85" t="n"/>
      <c r="Y487" s="85" t="n"/>
      <c r="Z487" s="85" t="n"/>
    </row>
    <row r="488" ht="15.75" customHeight="1" s="86">
      <c r="T488" s="85" t="n"/>
      <c r="U488" s="85" t="n"/>
      <c r="V488" s="85" t="n"/>
      <c r="W488" s="85" t="n"/>
      <c r="X488" s="85" t="n"/>
      <c r="Y488" s="85" t="n"/>
      <c r="Z488" s="85" t="n"/>
    </row>
    <row r="489" ht="15.75" customHeight="1" s="86">
      <c r="T489" s="85" t="n"/>
      <c r="U489" s="85" t="n"/>
      <c r="V489" s="85" t="n"/>
      <c r="W489" s="85" t="n"/>
      <c r="X489" s="85" t="n"/>
      <c r="Y489" s="85" t="n"/>
      <c r="Z489" s="85" t="n"/>
    </row>
    <row r="490" ht="15.75" customHeight="1" s="86">
      <c r="T490" s="85" t="n"/>
      <c r="U490" s="85" t="n"/>
      <c r="V490" s="85" t="n"/>
      <c r="W490" s="85" t="n"/>
      <c r="X490" s="85" t="n"/>
      <c r="Y490" s="85" t="n"/>
      <c r="Z490" s="85" t="n"/>
    </row>
    <row r="491" ht="15.75" customHeight="1" s="86">
      <c r="T491" s="85" t="n"/>
      <c r="U491" s="85" t="n"/>
      <c r="V491" s="85" t="n"/>
      <c r="W491" s="85" t="n"/>
      <c r="X491" s="85" t="n"/>
      <c r="Y491" s="85" t="n"/>
      <c r="Z491" s="85" t="n"/>
    </row>
    <row r="492" ht="15.75" customHeight="1" s="86">
      <c r="T492" s="85" t="n"/>
      <c r="U492" s="85" t="n"/>
      <c r="V492" s="85" t="n"/>
      <c r="W492" s="85" t="n"/>
      <c r="X492" s="85" t="n"/>
      <c r="Y492" s="85" t="n"/>
      <c r="Z492" s="85" t="n"/>
    </row>
    <row r="493" ht="15.75" customHeight="1" s="86">
      <c r="T493" s="85" t="n"/>
      <c r="U493" s="85" t="n"/>
      <c r="V493" s="85" t="n"/>
      <c r="W493" s="85" t="n"/>
      <c r="X493" s="85" t="n"/>
      <c r="Y493" s="85" t="n"/>
      <c r="Z493" s="85" t="n"/>
    </row>
    <row r="494" ht="15.75" customHeight="1" s="86">
      <c r="T494" s="85" t="n"/>
      <c r="U494" s="85" t="n"/>
      <c r="V494" s="85" t="n"/>
      <c r="W494" s="85" t="n"/>
      <c r="X494" s="85" t="n"/>
      <c r="Y494" s="85" t="n"/>
      <c r="Z494" s="85" t="n"/>
    </row>
    <row r="495" ht="15.75" customHeight="1" s="86">
      <c r="T495" s="85" t="n"/>
      <c r="U495" s="85" t="n"/>
      <c r="V495" s="85" t="n"/>
      <c r="W495" s="85" t="n"/>
      <c r="X495" s="85" t="n"/>
      <c r="Y495" s="85" t="n"/>
      <c r="Z495" s="85" t="n"/>
    </row>
    <row r="496" ht="15.75" customHeight="1" s="86">
      <c r="T496" s="85" t="n"/>
      <c r="U496" s="85" t="n"/>
      <c r="V496" s="85" t="n"/>
      <c r="W496" s="85" t="n"/>
      <c r="X496" s="85" t="n"/>
      <c r="Y496" s="85" t="n"/>
      <c r="Z496" s="85" t="n"/>
    </row>
    <row r="497" ht="15.75" customHeight="1" s="86">
      <c r="T497" s="85" t="n"/>
      <c r="U497" s="85" t="n"/>
      <c r="V497" s="85" t="n"/>
      <c r="W497" s="85" t="n"/>
      <c r="X497" s="85" t="n"/>
      <c r="Y497" s="85" t="n"/>
      <c r="Z497" s="85" t="n"/>
    </row>
    <row r="498" ht="15.75" customHeight="1" s="86">
      <c r="T498" s="85" t="n"/>
      <c r="U498" s="85" t="n"/>
      <c r="V498" s="85" t="n"/>
      <c r="W498" s="85" t="n"/>
      <c r="X498" s="85" t="n"/>
      <c r="Y498" s="85" t="n"/>
      <c r="Z498" s="85" t="n"/>
    </row>
    <row r="499" ht="15.75" customHeight="1" s="86">
      <c r="T499" s="85" t="n"/>
      <c r="U499" s="85" t="n"/>
      <c r="V499" s="85" t="n"/>
      <c r="W499" s="85" t="n"/>
      <c r="X499" s="85" t="n"/>
      <c r="Y499" s="85" t="n"/>
      <c r="Z499" s="85" t="n"/>
    </row>
    <row r="500" ht="15.75" customHeight="1" s="86">
      <c r="T500" s="85" t="n"/>
      <c r="U500" s="85" t="n"/>
      <c r="V500" s="85" t="n"/>
      <c r="W500" s="85" t="n"/>
      <c r="X500" s="85" t="n"/>
      <c r="Y500" s="85" t="n"/>
      <c r="Z500" s="85" t="n"/>
    </row>
    <row r="501" ht="15.75" customHeight="1" s="86">
      <c r="T501" s="85" t="n"/>
      <c r="U501" s="85" t="n"/>
      <c r="V501" s="85" t="n"/>
      <c r="W501" s="85" t="n"/>
      <c r="X501" s="85" t="n"/>
      <c r="Y501" s="85" t="n"/>
      <c r="Z501" s="85" t="n"/>
    </row>
    <row r="502" ht="15.75" customHeight="1" s="86">
      <c r="T502" s="85" t="n"/>
      <c r="U502" s="85" t="n"/>
      <c r="V502" s="85" t="n"/>
      <c r="W502" s="85" t="n"/>
      <c r="X502" s="85" t="n"/>
      <c r="Y502" s="85" t="n"/>
      <c r="Z502" s="85" t="n"/>
    </row>
    <row r="503" ht="15.75" customHeight="1" s="86">
      <c r="T503" s="85" t="n"/>
      <c r="U503" s="85" t="n"/>
      <c r="V503" s="85" t="n"/>
      <c r="W503" s="85" t="n"/>
      <c r="X503" s="85" t="n"/>
      <c r="Y503" s="85" t="n"/>
      <c r="Z503" s="85" t="n"/>
    </row>
    <row r="504" ht="15.75" customHeight="1" s="86">
      <c r="T504" s="85" t="n"/>
      <c r="U504" s="85" t="n"/>
      <c r="V504" s="85" t="n"/>
      <c r="W504" s="85" t="n"/>
      <c r="X504" s="85" t="n"/>
      <c r="Y504" s="85" t="n"/>
      <c r="Z504" s="85" t="n"/>
    </row>
    <row r="505" ht="15.75" customHeight="1" s="86">
      <c r="T505" s="85" t="n"/>
      <c r="U505" s="85" t="n"/>
      <c r="V505" s="85" t="n"/>
      <c r="W505" s="85" t="n"/>
      <c r="X505" s="85" t="n"/>
      <c r="Y505" s="85" t="n"/>
      <c r="Z505" s="85" t="n"/>
    </row>
    <row r="506" ht="15.75" customHeight="1" s="86">
      <c r="T506" s="85" t="n"/>
      <c r="U506" s="85" t="n"/>
      <c r="V506" s="85" t="n"/>
      <c r="W506" s="85" t="n"/>
      <c r="X506" s="85" t="n"/>
      <c r="Y506" s="85" t="n"/>
      <c r="Z506" s="85" t="n"/>
    </row>
    <row r="507" ht="15.75" customHeight="1" s="86">
      <c r="T507" s="85" t="n"/>
      <c r="U507" s="85" t="n"/>
      <c r="V507" s="85" t="n"/>
      <c r="W507" s="85" t="n"/>
      <c r="X507" s="85" t="n"/>
      <c r="Y507" s="85" t="n"/>
      <c r="Z507" s="85" t="n"/>
    </row>
    <row r="508" ht="15.75" customHeight="1" s="86">
      <c r="T508" s="85" t="n"/>
      <c r="U508" s="85" t="n"/>
      <c r="V508" s="85" t="n"/>
      <c r="W508" s="85" t="n"/>
      <c r="X508" s="85" t="n"/>
      <c r="Y508" s="85" t="n"/>
      <c r="Z508" s="85" t="n"/>
    </row>
    <row r="509" ht="15.75" customHeight="1" s="86">
      <c r="T509" s="85" t="n"/>
      <c r="U509" s="85" t="n"/>
      <c r="V509" s="85" t="n"/>
      <c r="W509" s="85" t="n"/>
      <c r="X509" s="85" t="n"/>
      <c r="Y509" s="85" t="n"/>
      <c r="Z509" s="85" t="n"/>
    </row>
    <row r="510" ht="15.75" customHeight="1" s="86">
      <c r="T510" s="85" t="n"/>
      <c r="U510" s="85" t="n"/>
      <c r="V510" s="85" t="n"/>
      <c r="W510" s="85" t="n"/>
      <c r="X510" s="85" t="n"/>
      <c r="Y510" s="85" t="n"/>
      <c r="Z510" s="85" t="n"/>
    </row>
    <row r="511" ht="15.75" customHeight="1" s="86">
      <c r="T511" s="85" t="n"/>
      <c r="U511" s="85" t="n"/>
      <c r="V511" s="85" t="n"/>
      <c r="W511" s="85" t="n"/>
      <c r="X511" s="85" t="n"/>
      <c r="Y511" s="85" t="n"/>
      <c r="Z511" s="85" t="n"/>
    </row>
    <row r="512" ht="15.75" customHeight="1" s="86">
      <c r="T512" s="85" t="n"/>
      <c r="U512" s="85" t="n"/>
      <c r="V512" s="85" t="n"/>
      <c r="W512" s="85" t="n"/>
      <c r="X512" s="85" t="n"/>
      <c r="Y512" s="85" t="n"/>
      <c r="Z512" s="85" t="n"/>
    </row>
    <row r="513" ht="15.75" customHeight="1" s="86">
      <c r="T513" s="85" t="n"/>
      <c r="U513" s="85" t="n"/>
      <c r="V513" s="85" t="n"/>
      <c r="W513" s="85" t="n"/>
      <c r="X513" s="85" t="n"/>
      <c r="Y513" s="85" t="n"/>
      <c r="Z513" s="85" t="n"/>
    </row>
    <row r="514" ht="15.75" customHeight="1" s="86">
      <c r="T514" s="85" t="n"/>
      <c r="U514" s="85" t="n"/>
      <c r="V514" s="85" t="n"/>
      <c r="W514" s="85" t="n"/>
      <c r="X514" s="85" t="n"/>
      <c r="Y514" s="85" t="n"/>
      <c r="Z514" s="85" t="n"/>
    </row>
    <row r="515" ht="15.75" customHeight="1" s="86">
      <c r="T515" s="85" t="n"/>
      <c r="U515" s="85" t="n"/>
      <c r="V515" s="85" t="n"/>
      <c r="W515" s="85" t="n"/>
      <c r="X515" s="85" t="n"/>
      <c r="Y515" s="85" t="n"/>
      <c r="Z515" s="85" t="n"/>
    </row>
    <row r="516" ht="15.75" customHeight="1" s="86">
      <c r="T516" s="85" t="n"/>
      <c r="U516" s="85" t="n"/>
      <c r="V516" s="85" t="n"/>
      <c r="W516" s="85" t="n"/>
      <c r="X516" s="85" t="n"/>
      <c r="Y516" s="85" t="n"/>
      <c r="Z516" s="85" t="n"/>
    </row>
    <row r="517" ht="15.75" customHeight="1" s="86">
      <c r="T517" s="85" t="n"/>
      <c r="U517" s="85" t="n"/>
      <c r="V517" s="85" t="n"/>
      <c r="W517" s="85" t="n"/>
      <c r="X517" s="85" t="n"/>
      <c r="Y517" s="85" t="n"/>
      <c r="Z517" s="85" t="n"/>
    </row>
    <row r="518" ht="15.75" customHeight="1" s="86">
      <c r="T518" s="85" t="n"/>
      <c r="U518" s="85" t="n"/>
      <c r="V518" s="85" t="n"/>
      <c r="W518" s="85" t="n"/>
      <c r="X518" s="85" t="n"/>
      <c r="Y518" s="85" t="n"/>
      <c r="Z518" s="85" t="n"/>
    </row>
    <row r="519" ht="15.75" customHeight="1" s="86">
      <c r="T519" s="85" t="n"/>
      <c r="U519" s="85" t="n"/>
      <c r="V519" s="85" t="n"/>
      <c r="W519" s="85" t="n"/>
      <c r="X519" s="85" t="n"/>
      <c r="Y519" s="85" t="n"/>
      <c r="Z519" s="85" t="n"/>
    </row>
    <row r="520" ht="15.75" customHeight="1" s="86">
      <c r="T520" s="85" t="n"/>
      <c r="U520" s="85" t="n"/>
      <c r="V520" s="85" t="n"/>
      <c r="W520" s="85" t="n"/>
      <c r="X520" s="85" t="n"/>
      <c r="Y520" s="85" t="n"/>
      <c r="Z520" s="85" t="n"/>
    </row>
    <row r="521" ht="15.75" customHeight="1" s="86">
      <c r="T521" s="85" t="n"/>
      <c r="U521" s="85" t="n"/>
      <c r="V521" s="85" t="n"/>
      <c r="W521" s="85" t="n"/>
      <c r="X521" s="85" t="n"/>
      <c r="Y521" s="85" t="n"/>
      <c r="Z521" s="85" t="n"/>
    </row>
    <row r="522" ht="15.75" customHeight="1" s="86">
      <c r="T522" s="85" t="n"/>
      <c r="U522" s="85" t="n"/>
      <c r="V522" s="85" t="n"/>
      <c r="W522" s="85" t="n"/>
      <c r="X522" s="85" t="n"/>
      <c r="Y522" s="85" t="n"/>
      <c r="Z522" s="85" t="n"/>
    </row>
    <row r="523" ht="15.75" customHeight="1" s="86">
      <c r="T523" s="85" t="n"/>
      <c r="U523" s="85" t="n"/>
      <c r="V523" s="85" t="n"/>
      <c r="W523" s="85" t="n"/>
      <c r="X523" s="85" t="n"/>
      <c r="Y523" s="85" t="n"/>
      <c r="Z523" s="85" t="n"/>
    </row>
    <row r="524" ht="15.75" customHeight="1" s="86">
      <c r="T524" s="85" t="n"/>
      <c r="U524" s="85" t="n"/>
      <c r="V524" s="85" t="n"/>
      <c r="W524" s="85" t="n"/>
      <c r="X524" s="85" t="n"/>
      <c r="Y524" s="85" t="n"/>
      <c r="Z524" s="85" t="n"/>
    </row>
    <row r="525" ht="15.75" customHeight="1" s="86">
      <c r="T525" s="85" t="n"/>
      <c r="U525" s="85" t="n"/>
      <c r="V525" s="85" t="n"/>
      <c r="W525" s="85" t="n"/>
      <c r="X525" s="85" t="n"/>
      <c r="Y525" s="85" t="n"/>
      <c r="Z525" s="85" t="n"/>
    </row>
    <row r="526" ht="15.75" customHeight="1" s="86">
      <c r="T526" s="85" t="n"/>
      <c r="U526" s="85" t="n"/>
      <c r="V526" s="85" t="n"/>
      <c r="W526" s="85" t="n"/>
      <c r="X526" s="85" t="n"/>
      <c r="Y526" s="85" t="n"/>
      <c r="Z526" s="85" t="n"/>
    </row>
    <row r="527" ht="15.75" customHeight="1" s="86">
      <c r="T527" s="85" t="n"/>
      <c r="U527" s="85" t="n"/>
      <c r="V527" s="85" t="n"/>
      <c r="W527" s="85" t="n"/>
      <c r="X527" s="85" t="n"/>
      <c r="Y527" s="85" t="n"/>
      <c r="Z527" s="85" t="n"/>
    </row>
    <row r="528" ht="15.75" customHeight="1" s="86">
      <c r="T528" s="85" t="n"/>
      <c r="U528" s="85" t="n"/>
      <c r="V528" s="85" t="n"/>
      <c r="W528" s="85" t="n"/>
      <c r="X528" s="85" t="n"/>
      <c r="Y528" s="85" t="n"/>
      <c r="Z528" s="85" t="n"/>
    </row>
    <row r="529" ht="15.75" customHeight="1" s="86">
      <c r="T529" s="85" t="n"/>
      <c r="U529" s="85" t="n"/>
      <c r="V529" s="85" t="n"/>
      <c r="W529" s="85" t="n"/>
      <c r="X529" s="85" t="n"/>
      <c r="Y529" s="85" t="n"/>
      <c r="Z529" s="85" t="n"/>
    </row>
    <row r="530" ht="15.75" customHeight="1" s="86">
      <c r="T530" s="85" t="n"/>
      <c r="U530" s="85" t="n"/>
      <c r="V530" s="85" t="n"/>
      <c r="W530" s="85" t="n"/>
      <c r="X530" s="85" t="n"/>
      <c r="Y530" s="85" t="n"/>
      <c r="Z530" s="85" t="n"/>
    </row>
    <row r="531" ht="15.75" customHeight="1" s="86">
      <c r="T531" s="85" t="n"/>
      <c r="U531" s="85" t="n"/>
      <c r="V531" s="85" t="n"/>
      <c r="W531" s="85" t="n"/>
      <c r="X531" s="85" t="n"/>
      <c r="Y531" s="85" t="n"/>
      <c r="Z531" s="85" t="n"/>
    </row>
    <row r="532" ht="15.75" customHeight="1" s="86">
      <c r="T532" s="85" t="n"/>
      <c r="U532" s="85" t="n"/>
      <c r="V532" s="85" t="n"/>
      <c r="W532" s="85" t="n"/>
      <c r="X532" s="85" t="n"/>
      <c r="Y532" s="85" t="n"/>
      <c r="Z532" s="85" t="n"/>
    </row>
    <row r="533" ht="15.75" customHeight="1" s="86">
      <c r="T533" s="85" t="n"/>
      <c r="U533" s="85" t="n"/>
      <c r="V533" s="85" t="n"/>
      <c r="W533" s="85" t="n"/>
      <c r="X533" s="85" t="n"/>
      <c r="Y533" s="85" t="n"/>
      <c r="Z533" s="85" t="n"/>
    </row>
    <row r="534" ht="15.75" customHeight="1" s="86">
      <c r="T534" s="85" t="n"/>
      <c r="U534" s="85" t="n"/>
      <c r="V534" s="85" t="n"/>
      <c r="W534" s="85" t="n"/>
      <c r="X534" s="85" t="n"/>
      <c r="Y534" s="85" t="n"/>
      <c r="Z534" s="85" t="n"/>
    </row>
    <row r="535" ht="15.75" customHeight="1" s="86">
      <c r="T535" s="85" t="n"/>
      <c r="U535" s="85" t="n"/>
      <c r="V535" s="85" t="n"/>
      <c r="W535" s="85" t="n"/>
      <c r="X535" s="85" t="n"/>
      <c r="Y535" s="85" t="n"/>
      <c r="Z535" s="85" t="n"/>
    </row>
    <row r="536" ht="15.75" customHeight="1" s="86">
      <c r="T536" s="85" t="n"/>
      <c r="U536" s="85" t="n"/>
      <c r="V536" s="85" t="n"/>
      <c r="W536" s="85" t="n"/>
      <c r="X536" s="85" t="n"/>
      <c r="Y536" s="85" t="n"/>
      <c r="Z536" s="85" t="n"/>
    </row>
    <row r="537" ht="15.75" customHeight="1" s="86">
      <c r="T537" s="85" t="n"/>
      <c r="U537" s="85" t="n"/>
      <c r="V537" s="85" t="n"/>
      <c r="W537" s="85" t="n"/>
      <c r="X537" s="85" t="n"/>
      <c r="Y537" s="85" t="n"/>
      <c r="Z537" s="85" t="n"/>
    </row>
    <row r="538" ht="15.75" customHeight="1" s="86">
      <c r="T538" s="85" t="n"/>
      <c r="U538" s="85" t="n"/>
      <c r="V538" s="85" t="n"/>
      <c r="W538" s="85" t="n"/>
      <c r="X538" s="85" t="n"/>
      <c r="Y538" s="85" t="n"/>
      <c r="Z538" s="85" t="n"/>
    </row>
    <row r="539" ht="15.75" customHeight="1" s="86">
      <c r="T539" s="85" t="n"/>
      <c r="U539" s="85" t="n"/>
      <c r="V539" s="85" t="n"/>
      <c r="W539" s="85" t="n"/>
      <c r="X539" s="85" t="n"/>
      <c r="Y539" s="85" t="n"/>
      <c r="Z539" s="85" t="n"/>
    </row>
    <row r="540" ht="15.75" customHeight="1" s="86">
      <c r="T540" s="85" t="n"/>
      <c r="U540" s="85" t="n"/>
      <c r="V540" s="85" t="n"/>
      <c r="W540" s="85" t="n"/>
      <c r="X540" s="85" t="n"/>
      <c r="Y540" s="85" t="n"/>
      <c r="Z540" s="85" t="n"/>
    </row>
    <row r="541" ht="15.75" customHeight="1" s="86">
      <c r="T541" s="85" t="n"/>
      <c r="U541" s="85" t="n"/>
      <c r="V541" s="85" t="n"/>
      <c r="W541" s="85" t="n"/>
      <c r="X541" s="85" t="n"/>
      <c r="Y541" s="85" t="n"/>
      <c r="Z541" s="85" t="n"/>
    </row>
    <row r="542" ht="15.75" customHeight="1" s="86">
      <c r="T542" s="85" t="n"/>
      <c r="U542" s="85" t="n"/>
      <c r="V542" s="85" t="n"/>
      <c r="W542" s="85" t="n"/>
      <c r="X542" s="85" t="n"/>
      <c r="Y542" s="85" t="n"/>
      <c r="Z542" s="85" t="n"/>
    </row>
    <row r="543" ht="15.75" customHeight="1" s="86">
      <c r="T543" s="85" t="n"/>
      <c r="U543" s="85" t="n"/>
      <c r="V543" s="85" t="n"/>
      <c r="W543" s="85" t="n"/>
      <c r="X543" s="85" t="n"/>
      <c r="Y543" s="85" t="n"/>
      <c r="Z543" s="85" t="n"/>
    </row>
    <row r="544" ht="15.75" customHeight="1" s="86">
      <c r="T544" s="85" t="n"/>
      <c r="U544" s="85" t="n"/>
      <c r="V544" s="85" t="n"/>
      <c r="W544" s="85" t="n"/>
      <c r="X544" s="85" t="n"/>
      <c r="Y544" s="85" t="n"/>
      <c r="Z544" s="85" t="n"/>
    </row>
    <row r="545" ht="15.75" customHeight="1" s="86">
      <c r="T545" s="85" t="n"/>
      <c r="U545" s="85" t="n"/>
      <c r="V545" s="85" t="n"/>
      <c r="W545" s="85" t="n"/>
      <c r="X545" s="85" t="n"/>
      <c r="Y545" s="85" t="n"/>
      <c r="Z545" s="85" t="n"/>
    </row>
    <row r="546" ht="15.75" customHeight="1" s="86">
      <c r="T546" s="85" t="n"/>
      <c r="U546" s="85" t="n"/>
      <c r="V546" s="85" t="n"/>
      <c r="W546" s="85" t="n"/>
      <c r="X546" s="85" t="n"/>
      <c r="Y546" s="85" t="n"/>
      <c r="Z546" s="85" t="n"/>
    </row>
    <row r="547" ht="15.75" customHeight="1" s="86">
      <c r="T547" s="85" t="n"/>
      <c r="U547" s="85" t="n"/>
      <c r="V547" s="85" t="n"/>
      <c r="W547" s="85" t="n"/>
      <c r="X547" s="85" t="n"/>
      <c r="Y547" s="85" t="n"/>
      <c r="Z547" s="85" t="n"/>
    </row>
    <row r="548" ht="15.75" customHeight="1" s="86">
      <c r="T548" s="85" t="n"/>
      <c r="U548" s="85" t="n"/>
      <c r="V548" s="85" t="n"/>
      <c r="W548" s="85" t="n"/>
      <c r="X548" s="85" t="n"/>
      <c r="Y548" s="85" t="n"/>
      <c r="Z548" s="85" t="n"/>
    </row>
    <row r="549" ht="15.75" customHeight="1" s="86">
      <c r="T549" s="85" t="n"/>
      <c r="U549" s="85" t="n"/>
      <c r="V549" s="85" t="n"/>
      <c r="W549" s="85" t="n"/>
      <c r="X549" s="85" t="n"/>
      <c r="Y549" s="85" t="n"/>
      <c r="Z549" s="85" t="n"/>
    </row>
    <row r="550" ht="15.75" customHeight="1" s="86">
      <c r="T550" s="85" t="n"/>
      <c r="U550" s="85" t="n"/>
      <c r="V550" s="85" t="n"/>
      <c r="W550" s="85" t="n"/>
      <c r="X550" s="85" t="n"/>
      <c r="Y550" s="85" t="n"/>
      <c r="Z550" s="85" t="n"/>
    </row>
    <row r="551" ht="15.75" customHeight="1" s="86">
      <c r="T551" s="85" t="n"/>
      <c r="U551" s="85" t="n"/>
      <c r="V551" s="85" t="n"/>
      <c r="W551" s="85" t="n"/>
      <c r="X551" s="85" t="n"/>
      <c r="Y551" s="85" t="n"/>
      <c r="Z551" s="85" t="n"/>
    </row>
    <row r="552" ht="15.75" customHeight="1" s="86">
      <c r="T552" s="85" t="n"/>
      <c r="U552" s="85" t="n"/>
      <c r="V552" s="85" t="n"/>
      <c r="W552" s="85" t="n"/>
      <c r="X552" s="85" t="n"/>
      <c r="Y552" s="85" t="n"/>
      <c r="Z552" s="85" t="n"/>
    </row>
    <row r="553" ht="15.75" customHeight="1" s="86">
      <c r="T553" s="85" t="n"/>
      <c r="U553" s="85" t="n"/>
      <c r="V553" s="85" t="n"/>
      <c r="W553" s="85" t="n"/>
      <c r="X553" s="85" t="n"/>
      <c r="Y553" s="85" t="n"/>
      <c r="Z553" s="85" t="n"/>
    </row>
    <row r="554" ht="15.75" customHeight="1" s="86">
      <c r="T554" s="85" t="n"/>
      <c r="U554" s="85" t="n"/>
      <c r="V554" s="85" t="n"/>
      <c r="W554" s="85" t="n"/>
      <c r="X554" s="85" t="n"/>
      <c r="Y554" s="85" t="n"/>
      <c r="Z554" s="85" t="n"/>
    </row>
    <row r="555" ht="15.75" customHeight="1" s="86">
      <c r="T555" s="85" t="n"/>
      <c r="U555" s="85" t="n"/>
      <c r="V555" s="85" t="n"/>
      <c r="W555" s="85" t="n"/>
      <c r="X555" s="85" t="n"/>
      <c r="Y555" s="85" t="n"/>
      <c r="Z555" s="85" t="n"/>
    </row>
    <row r="556" ht="15.75" customHeight="1" s="86">
      <c r="T556" s="85" t="n"/>
      <c r="U556" s="85" t="n"/>
      <c r="V556" s="85" t="n"/>
      <c r="W556" s="85" t="n"/>
      <c r="X556" s="85" t="n"/>
      <c r="Y556" s="85" t="n"/>
      <c r="Z556" s="85" t="n"/>
    </row>
    <row r="557" ht="15.75" customHeight="1" s="86">
      <c r="T557" s="85" t="n"/>
      <c r="U557" s="85" t="n"/>
      <c r="V557" s="85" t="n"/>
      <c r="W557" s="85" t="n"/>
      <c r="X557" s="85" t="n"/>
      <c r="Y557" s="85" t="n"/>
      <c r="Z557" s="85" t="n"/>
    </row>
    <row r="558" ht="15.75" customHeight="1" s="86">
      <c r="T558" s="85" t="n"/>
      <c r="U558" s="85" t="n"/>
      <c r="V558" s="85" t="n"/>
      <c r="W558" s="85" t="n"/>
      <c r="X558" s="85" t="n"/>
      <c r="Y558" s="85" t="n"/>
      <c r="Z558" s="85" t="n"/>
    </row>
    <row r="559" ht="15.75" customHeight="1" s="86">
      <c r="T559" s="85" t="n"/>
      <c r="U559" s="85" t="n"/>
      <c r="V559" s="85" t="n"/>
      <c r="W559" s="85" t="n"/>
      <c r="X559" s="85" t="n"/>
      <c r="Y559" s="85" t="n"/>
      <c r="Z559" s="85" t="n"/>
    </row>
    <row r="560" ht="15.75" customHeight="1" s="86">
      <c r="T560" s="85" t="n"/>
      <c r="U560" s="85" t="n"/>
      <c r="V560" s="85" t="n"/>
      <c r="W560" s="85" t="n"/>
      <c r="X560" s="85" t="n"/>
      <c r="Y560" s="85" t="n"/>
      <c r="Z560" s="85" t="n"/>
    </row>
    <row r="561" ht="15.75" customHeight="1" s="86">
      <c r="T561" s="85" t="n"/>
      <c r="U561" s="85" t="n"/>
      <c r="V561" s="85" t="n"/>
      <c r="W561" s="85" t="n"/>
      <c r="X561" s="85" t="n"/>
      <c r="Y561" s="85" t="n"/>
      <c r="Z561" s="85" t="n"/>
    </row>
    <row r="562" ht="15.75" customHeight="1" s="86">
      <c r="T562" s="85" t="n"/>
      <c r="U562" s="85" t="n"/>
      <c r="V562" s="85" t="n"/>
      <c r="W562" s="85" t="n"/>
      <c r="X562" s="85" t="n"/>
      <c r="Y562" s="85" t="n"/>
      <c r="Z562" s="85" t="n"/>
    </row>
    <row r="563" ht="15.75" customHeight="1" s="86">
      <c r="T563" s="85" t="n"/>
      <c r="U563" s="85" t="n"/>
      <c r="V563" s="85" t="n"/>
      <c r="W563" s="85" t="n"/>
      <c r="X563" s="85" t="n"/>
      <c r="Y563" s="85" t="n"/>
      <c r="Z563" s="85" t="n"/>
    </row>
    <row r="564" ht="15.75" customHeight="1" s="86">
      <c r="T564" s="85" t="n"/>
      <c r="U564" s="85" t="n"/>
      <c r="V564" s="85" t="n"/>
      <c r="W564" s="85" t="n"/>
      <c r="X564" s="85" t="n"/>
      <c r="Y564" s="85" t="n"/>
      <c r="Z564" s="85" t="n"/>
    </row>
    <row r="565" ht="15.75" customHeight="1" s="86">
      <c r="T565" s="85" t="n"/>
      <c r="U565" s="85" t="n"/>
      <c r="V565" s="85" t="n"/>
      <c r="W565" s="85" t="n"/>
      <c r="X565" s="85" t="n"/>
      <c r="Y565" s="85" t="n"/>
      <c r="Z565" s="85" t="n"/>
    </row>
    <row r="566" ht="15.75" customHeight="1" s="86">
      <c r="T566" s="85" t="n"/>
      <c r="U566" s="85" t="n"/>
      <c r="V566" s="85" t="n"/>
      <c r="W566" s="85" t="n"/>
      <c r="X566" s="85" t="n"/>
      <c r="Y566" s="85" t="n"/>
      <c r="Z566" s="85" t="n"/>
    </row>
    <row r="567" ht="15.75" customHeight="1" s="86">
      <c r="T567" s="85" t="n"/>
      <c r="U567" s="85" t="n"/>
      <c r="V567" s="85" t="n"/>
      <c r="W567" s="85" t="n"/>
      <c r="X567" s="85" t="n"/>
      <c r="Y567" s="85" t="n"/>
      <c r="Z567" s="85" t="n"/>
    </row>
    <row r="568" ht="15.75" customHeight="1" s="86">
      <c r="T568" s="85" t="n"/>
      <c r="U568" s="85" t="n"/>
      <c r="V568" s="85" t="n"/>
      <c r="W568" s="85" t="n"/>
      <c r="X568" s="85" t="n"/>
      <c r="Y568" s="85" t="n"/>
      <c r="Z568" s="85" t="n"/>
    </row>
    <row r="569" ht="15.75" customHeight="1" s="86">
      <c r="T569" s="85" t="n"/>
      <c r="U569" s="85" t="n"/>
      <c r="V569" s="85" t="n"/>
      <c r="W569" s="85" t="n"/>
      <c r="X569" s="85" t="n"/>
      <c r="Y569" s="85" t="n"/>
      <c r="Z569" s="85" t="n"/>
    </row>
    <row r="570" ht="15.75" customHeight="1" s="86">
      <c r="T570" s="85" t="n"/>
      <c r="U570" s="85" t="n"/>
      <c r="V570" s="85" t="n"/>
      <c r="W570" s="85" t="n"/>
      <c r="X570" s="85" t="n"/>
      <c r="Y570" s="85" t="n"/>
      <c r="Z570" s="85" t="n"/>
    </row>
    <row r="571" ht="15.75" customHeight="1" s="86">
      <c r="T571" s="85" t="n"/>
      <c r="U571" s="85" t="n"/>
      <c r="V571" s="85" t="n"/>
      <c r="W571" s="85" t="n"/>
      <c r="X571" s="85" t="n"/>
      <c r="Y571" s="85" t="n"/>
      <c r="Z571" s="85" t="n"/>
    </row>
    <row r="572" ht="15.75" customHeight="1" s="86">
      <c r="T572" s="85" t="n"/>
      <c r="U572" s="85" t="n"/>
      <c r="V572" s="85" t="n"/>
      <c r="W572" s="85" t="n"/>
      <c r="X572" s="85" t="n"/>
      <c r="Y572" s="85" t="n"/>
      <c r="Z572" s="85" t="n"/>
    </row>
    <row r="573" ht="15.75" customHeight="1" s="86">
      <c r="T573" s="85" t="n"/>
      <c r="U573" s="85" t="n"/>
      <c r="V573" s="85" t="n"/>
      <c r="W573" s="85" t="n"/>
      <c r="X573" s="85" t="n"/>
      <c r="Y573" s="85" t="n"/>
      <c r="Z573" s="85" t="n"/>
    </row>
    <row r="574" ht="15.75" customHeight="1" s="86">
      <c r="T574" s="85" t="n"/>
      <c r="U574" s="85" t="n"/>
      <c r="V574" s="85" t="n"/>
      <c r="W574" s="85" t="n"/>
      <c r="X574" s="85" t="n"/>
      <c r="Y574" s="85" t="n"/>
      <c r="Z574" s="85" t="n"/>
    </row>
    <row r="575" ht="15.75" customHeight="1" s="86">
      <c r="T575" s="85" t="n"/>
      <c r="U575" s="85" t="n"/>
      <c r="V575" s="85" t="n"/>
      <c r="W575" s="85" t="n"/>
      <c r="X575" s="85" t="n"/>
      <c r="Y575" s="85" t="n"/>
      <c r="Z575" s="85" t="n"/>
    </row>
    <row r="576" ht="15.75" customHeight="1" s="86">
      <c r="T576" s="85" t="n"/>
      <c r="U576" s="85" t="n"/>
      <c r="V576" s="85" t="n"/>
      <c r="W576" s="85" t="n"/>
      <c r="X576" s="85" t="n"/>
      <c r="Y576" s="85" t="n"/>
      <c r="Z576" s="85" t="n"/>
    </row>
    <row r="577" ht="15.75" customHeight="1" s="86">
      <c r="T577" s="85" t="n"/>
      <c r="U577" s="85" t="n"/>
      <c r="V577" s="85" t="n"/>
      <c r="W577" s="85" t="n"/>
      <c r="X577" s="85" t="n"/>
      <c r="Y577" s="85" t="n"/>
      <c r="Z577" s="85" t="n"/>
    </row>
    <row r="578" ht="15.75" customHeight="1" s="86">
      <c r="T578" s="85" t="n"/>
      <c r="U578" s="85" t="n"/>
      <c r="V578" s="85" t="n"/>
      <c r="W578" s="85" t="n"/>
      <c r="X578" s="85" t="n"/>
      <c r="Y578" s="85" t="n"/>
      <c r="Z578" s="85" t="n"/>
    </row>
    <row r="579" ht="15.75" customHeight="1" s="86">
      <c r="T579" s="85" t="n"/>
      <c r="U579" s="85" t="n"/>
      <c r="V579" s="85" t="n"/>
      <c r="W579" s="85" t="n"/>
      <c r="X579" s="85" t="n"/>
      <c r="Y579" s="85" t="n"/>
      <c r="Z579" s="85" t="n"/>
    </row>
    <row r="580" ht="15.75" customHeight="1" s="86">
      <c r="T580" s="85" t="n"/>
      <c r="U580" s="85" t="n"/>
      <c r="V580" s="85" t="n"/>
      <c r="W580" s="85" t="n"/>
      <c r="X580" s="85" t="n"/>
      <c r="Y580" s="85" t="n"/>
      <c r="Z580" s="85" t="n"/>
    </row>
    <row r="581" ht="15.75" customHeight="1" s="86">
      <c r="T581" s="85" t="n"/>
      <c r="U581" s="85" t="n"/>
      <c r="V581" s="85" t="n"/>
      <c r="W581" s="85" t="n"/>
      <c r="X581" s="85" t="n"/>
      <c r="Y581" s="85" t="n"/>
      <c r="Z581" s="85" t="n"/>
    </row>
    <row r="582" ht="15.75" customHeight="1" s="86">
      <c r="T582" s="85" t="n"/>
      <c r="U582" s="85" t="n"/>
      <c r="V582" s="85" t="n"/>
      <c r="W582" s="85" t="n"/>
      <c r="X582" s="85" t="n"/>
      <c r="Y582" s="85" t="n"/>
      <c r="Z582" s="85" t="n"/>
    </row>
    <row r="583" ht="15.75" customHeight="1" s="86">
      <c r="T583" s="85" t="n"/>
      <c r="U583" s="85" t="n"/>
      <c r="V583" s="85" t="n"/>
      <c r="W583" s="85" t="n"/>
      <c r="X583" s="85" t="n"/>
      <c r="Y583" s="85" t="n"/>
      <c r="Z583" s="85" t="n"/>
    </row>
    <row r="584" ht="15.75" customHeight="1" s="86">
      <c r="T584" s="85" t="n"/>
      <c r="U584" s="85" t="n"/>
      <c r="V584" s="85" t="n"/>
      <c r="W584" s="85" t="n"/>
      <c r="X584" s="85" t="n"/>
      <c r="Y584" s="85" t="n"/>
      <c r="Z584" s="85" t="n"/>
    </row>
    <row r="585" ht="15.75" customHeight="1" s="86">
      <c r="T585" s="85" t="n"/>
      <c r="U585" s="85" t="n"/>
      <c r="V585" s="85" t="n"/>
      <c r="W585" s="85" t="n"/>
      <c r="X585" s="85" t="n"/>
      <c r="Y585" s="85" t="n"/>
      <c r="Z585" s="85" t="n"/>
    </row>
    <row r="586" ht="15.75" customHeight="1" s="86">
      <c r="T586" s="85" t="n"/>
      <c r="U586" s="85" t="n"/>
      <c r="V586" s="85" t="n"/>
      <c r="W586" s="85" t="n"/>
      <c r="X586" s="85" t="n"/>
      <c r="Y586" s="85" t="n"/>
      <c r="Z586" s="85" t="n"/>
    </row>
    <row r="587" ht="15.75" customHeight="1" s="86">
      <c r="T587" s="85" t="n"/>
      <c r="U587" s="85" t="n"/>
      <c r="V587" s="85" t="n"/>
      <c r="W587" s="85" t="n"/>
      <c r="X587" s="85" t="n"/>
      <c r="Y587" s="85" t="n"/>
      <c r="Z587" s="85" t="n"/>
    </row>
    <row r="588" ht="15.75" customHeight="1" s="86">
      <c r="T588" s="85" t="n"/>
      <c r="U588" s="85" t="n"/>
      <c r="V588" s="85" t="n"/>
      <c r="W588" s="85" t="n"/>
      <c r="X588" s="85" t="n"/>
      <c r="Y588" s="85" t="n"/>
      <c r="Z588" s="85" t="n"/>
    </row>
    <row r="589" ht="15.75" customHeight="1" s="86">
      <c r="T589" s="85" t="n"/>
      <c r="U589" s="85" t="n"/>
      <c r="V589" s="85" t="n"/>
      <c r="W589" s="85" t="n"/>
      <c r="X589" s="85" t="n"/>
      <c r="Y589" s="85" t="n"/>
      <c r="Z589" s="85" t="n"/>
    </row>
    <row r="590" ht="15.75" customHeight="1" s="86">
      <c r="T590" s="85" t="n"/>
      <c r="U590" s="85" t="n"/>
      <c r="V590" s="85" t="n"/>
      <c r="W590" s="85" t="n"/>
      <c r="X590" s="85" t="n"/>
      <c r="Y590" s="85" t="n"/>
      <c r="Z590" s="85" t="n"/>
    </row>
    <row r="591" ht="15.75" customHeight="1" s="86">
      <c r="T591" s="85" t="n"/>
      <c r="U591" s="85" t="n"/>
      <c r="V591" s="85" t="n"/>
      <c r="W591" s="85" t="n"/>
      <c r="X591" s="85" t="n"/>
      <c r="Y591" s="85" t="n"/>
      <c r="Z591" s="85" t="n"/>
    </row>
    <row r="592" ht="15.75" customHeight="1" s="86">
      <c r="T592" s="85" t="n"/>
      <c r="U592" s="85" t="n"/>
      <c r="V592" s="85" t="n"/>
      <c r="W592" s="85" t="n"/>
      <c r="X592" s="85" t="n"/>
      <c r="Y592" s="85" t="n"/>
      <c r="Z592" s="85" t="n"/>
    </row>
    <row r="593" ht="15.75" customHeight="1" s="86">
      <c r="T593" s="85" t="n"/>
      <c r="U593" s="85" t="n"/>
      <c r="V593" s="85" t="n"/>
      <c r="W593" s="85" t="n"/>
      <c r="X593" s="85" t="n"/>
      <c r="Y593" s="85" t="n"/>
      <c r="Z593" s="85" t="n"/>
    </row>
    <row r="594" ht="15.75" customHeight="1" s="86">
      <c r="T594" s="85" t="n"/>
      <c r="U594" s="85" t="n"/>
      <c r="V594" s="85" t="n"/>
      <c r="W594" s="85" t="n"/>
      <c r="X594" s="85" t="n"/>
      <c r="Y594" s="85" t="n"/>
      <c r="Z594" s="85" t="n"/>
    </row>
    <row r="595" ht="15.75" customHeight="1" s="86">
      <c r="T595" s="85" t="n"/>
      <c r="U595" s="85" t="n"/>
      <c r="V595" s="85" t="n"/>
      <c r="W595" s="85" t="n"/>
      <c r="X595" s="85" t="n"/>
      <c r="Y595" s="85" t="n"/>
      <c r="Z595" s="85" t="n"/>
    </row>
    <row r="596" ht="15.75" customHeight="1" s="86">
      <c r="T596" s="85" t="n"/>
      <c r="U596" s="85" t="n"/>
      <c r="V596" s="85" t="n"/>
      <c r="W596" s="85" t="n"/>
      <c r="X596" s="85" t="n"/>
      <c r="Y596" s="85" t="n"/>
      <c r="Z596" s="85" t="n"/>
    </row>
    <row r="597" ht="15.75" customHeight="1" s="86">
      <c r="T597" s="85" t="n"/>
      <c r="U597" s="85" t="n"/>
      <c r="V597" s="85" t="n"/>
      <c r="W597" s="85" t="n"/>
      <c r="X597" s="85" t="n"/>
      <c r="Y597" s="85" t="n"/>
      <c r="Z597" s="85" t="n"/>
    </row>
    <row r="598" ht="15.75" customHeight="1" s="86">
      <c r="T598" s="85" t="n"/>
      <c r="U598" s="85" t="n"/>
      <c r="V598" s="85" t="n"/>
      <c r="W598" s="85" t="n"/>
      <c r="X598" s="85" t="n"/>
      <c r="Y598" s="85" t="n"/>
      <c r="Z598" s="85" t="n"/>
    </row>
    <row r="599" ht="15.75" customHeight="1" s="86">
      <c r="T599" s="85" t="n"/>
      <c r="U599" s="85" t="n"/>
      <c r="V599" s="85" t="n"/>
      <c r="W599" s="85" t="n"/>
      <c r="X599" s="85" t="n"/>
      <c r="Y599" s="85" t="n"/>
      <c r="Z599" s="85" t="n"/>
    </row>
    <row r="600" ht="15.75" customHeight="1" s="86">
      <c r="T600" s="85" t="n"/>
      <c r="U600" s="85" t="n"/>
      <c r="V600" s="85" t="n"/>
      <c r="W600" s="85" t="n"/>
      <c r="X600" s="85" t="n"/>
      <c r="Y600" s="85" t="n"/>
      <c r="Z600" s="85" t="n"/>
    </row>
    <row r="601" ht="15.75" customHeight="1" s="86">
      <c r="T601" s="85" t="n"/>
      <c r="U601" s="85" t="n"/>
      <c r="V601" s="85" t="n"/>
      <c r="W601" s="85" t="n"/>
      <c r="X601" s="85" t="n"/>
      <c r="Y601" s="85" t="n"/>
      <c r="Z601" s="85" t="n"/>
    </row>
    <row r="602" ht="15.75" customHeight="1" s="86">
      <c r="T602" s="85" t="n"/>
      <c r="U602" s="85" t="n"/>
      <c r="V602" s="85" t="n"/>
      <c r="W602" s="85" t="n"/>
      <c r="X602" s="85" t="n"/>
      <c r="Y602" s="85" t="n"/>
      <c r="Z602" s="85" t="n"/>
    </row>
    <row r="603" ht="15.75" customHeight="1" s="86">
      <c r="T603" s="85" t="n"/>
      <c r="U603" s="85" t="n"/>
      <c r="V603" s="85" t="n"/>
      <c r="W603" s="85" t="n"/>
      <c r="X603" s="85" t="n"/>
      <c r="Y603" s="85" t="n"/>
      <c r="Z603" s="85" t="n"/>
    </row>
    <row r="604" ht="15.75" customHeight="1" s="86">
      <c r="T604" s="85" t="n"/>
      <c r="U604" s="85" t="n"/>
      <c r="V604" s="85" t="n"/>
      <c r="W604" s="85" t="n"/>
      <c r="X604" s="85" t="n"/>
      <c r="Y604" s="85" t="n"/>
      <c r="Z604" s="85" t="n"/>
    </row>
    <row r="605" ht="15.75" customHeight="1" s="86">
      <c r="T605" s="85" t="n"/>
      <c r="U605" s="85" t="n"/>
      <c r="V605" s="85" t="n"/>
      <c r="W605" s="85" t="n"/>
      <c r="X605" s="85" t="n"/>
      <c r="Y605" s="85" t="n"/>
      <c r="Z605" s="85" t="n"/>
    </row>
    <row r="606" ht="15.75" customHeight="1" s="86">
      <c r="T606" s="85" t="n"/>
      <c r="U606" s="85" t="n"/>
      <c r="V606" s="85" t="n"/>
      <c r="W606" s="85" t="n"/>
      <c r="X606" s="85" t="n"/>
      <c r="Y606" s="85" t="n"/>
      <c r="Z606" s="85" t="n"/>
    </row>
    <row r="607" ht="15.75" customHeight="1" s="86">
      <c r="T607" s="85" t="n"/>
      <c r="U607" s="85" t="n"/>
      <c r="V607" s="85" t="n"/>
      <c r="W607" s="85" t="n"/>
      <c r="X607" s="85" t="n"/>
      <c r="Y607" s="85" t="n"/>
      <c r="Z607" s="85" t="n"/>
    </row>
    <row r="608" ht="15.75" customHeight="1" s="86">
      <c r="T608" s="85" t="n"/>
      <c r="U608" s="85" t="n"/>
      <c r="V608" s="85" t="n"/>
      <c r="W608" s="85" t="n"/>
      <c r="X608" s="85" t="n"/>
      <c r="Y608" s="85" t="n"/>
      <c r="Z608" s="85" t="n"/>
    </row>
    <row r="609" ht="15.75" customHeight="1" s="86">
      <c r="T609" s="85" t="n"/>
      <c r="U609" s="85" t="n"/>
      <c r="V609" s="85" t="n"/>
      <c r="W609" s="85" t="n"/>
      <c r="X609" s="85" t="n"/>
      <c r="Y609" s="85" t="n"/>
      <c r="Z609" s="85" t="n"/>
    </row>
    <row r="610" ht="15.75" customHeight="1" s="86">
      <c r="T610" s="85" t="n"/>
      <c r="U610" s="85" t="n"/>
      <c r="V610" s="85" t="n"/>
      <c r="W610" s="85" t="n"/>
      <c r="X610" s="85" t="n"/>
      <c r="Y610" s="85" t="n"/>
      <c r="Z610" s="85" t="n"/>
    </row>
    <row r="611" ht="15.75" customHeight="1" s="86">
      <c r="T611" s="85" t="n"/>
      <c r="U611" s="85" t="n"/>
      <c r="V611" s="85" t="n"/>
      <c r="W611" s="85" t="n"/>
      <c r="X611" s="85" t="n"/>
      <c r="Y611" s="85" t="n"/>
      <c r="Z611" s="85" t="n"/>
    </row>
    <row r="612" ht="15.75" customHeight="1" s="86">
      <c r="T612" s="85" t="n"/>
      <c r="U612" s="85" t="n"/>
      <c r="V612" s="85" t="n"/>
      <c r="W612" s="85" t="n"/>
      <c r="X612" s="85" t="n"/>
      <c r="Y612" s="85" t="n"/>
      <c r="Z612" s="85" t="n"/>
    </row>
    <row r="613" ht="15.75" customHeight="1" s="86">
      <c r="T613" s="85" t="n"/>
      <c r="U613" s="85" t="n"/>
      <c r="V613" s="85" t="n"/>
      <c r="W613" s="85" t="n"/>
      <c r="X613" s="85" t="n"/>
      <c r="Y613" s="85" t="n"/>
      <c r="Z613" s="85" t="n"/>
    </row>
    <row r="614" ht="15.75" customHeight="1" s="86">
      <c r="T614" s="85" t="n"/>
      <c r="U614" s="85" t="n"/>
      <c r="V614" s="85" t="n"/>
      <c r="W614" s="85" t="n"/>
      <c r="X614" s="85" t="n"/>
      <c r="Y614" s="85" t="n"/>
      <c r="Z614" s="85" t="n"/>
    </row>
    <row r="615" ht="15.75" customHeight="1" s="86">
      <c r="T615" s="85" t="n"/>
      <c r="U615" s="85" t="n"/>
      <c r="V615" s="85" t="n"/>
      <c r="W615" s="85" t="n"/>
      <c r="X615" s="85" t="n"/>
      <c r="Y615" s="85" t="n"/>
      <c r="Z615" s="85" t="n"/>
    </row>
    <row r="616" ht="15.75" customHeight="1" s="86">
      <c r="T616" s="85" t="n"/>
      <c r="U616" s="85" t="n"/>
      <c r="V616" s="85" t="n"/>
      <c r="W616" s="85" t="n"/>
      <c r="X616" s="85" t="n"/>
      <c r="Y616" s="85" t="n"/>
      <c r="Z616" s="85" t="n"/>
    </row>
    <row r="617" ht="15.75" customHeight="1" s="86">
      <c r="T617" s="85" t="n"/>
      <c r="U617" s="85" t="n"/>
      <c r="V617" s="85" t="n"/>
      <c r="W617" s="85" t="n"/>
      <c r="X617" s="85" t="n"/>
      <c r="Y617" s="85" t="n"/>
      <c r="Z617" s="85" t="n"/>
    </row>
    <row r="618" ht="15.75" customHeight="1" s="86">
      <c r="T618" s="85" t="n"/>
      <c r="U618" s="85" t="n"/>
      <c r="V618" s="85" t="n"/>
      <c r="W618" s="85" t="n"/>
      <c r="X618" s="85" t="n"/>
      <c r="Y618" s="85" t="n"/>
      <c r="Z618" s="85" t="n"/>
    </row>
    <row r="619" ht="15.75" customHeight="1" s="86">
      <c r="T619" s="85" t="n"/>
      <c r="U619" s="85" t="n"/>
      <c r="V619" s="85" t="n"/>
      <c r="W619" s="85" t="n"/>
      <c r="X619" s="85" t="n"/>
      <c r="Y619" s="85" t="n"/>
      <c r="Z619" s="85" t="n"/>
    </row>
    <row r="620" ht="15.75" customHeight="1" s="86">
      <c r="T620" s="85" t="n"/>
      <c r="U620" s="85" t="n"/>
      <c r="V620" s="85" t="n"/>
      <c r="W620" s="85" t="n"/>
      <c r="X620" s="85" t="n"/>
      <c r="Y620" s="85" t="n"/>
      <c r="Z620" s="85" t="n"/>
    </row>
    <row r="621" ht="15.75" customHeight="1" s="86">
      <c r="T621" s="85" t="n"/>
      <c r="U621" s="85" t="n"/>
      <c r="V621" s="85" t="n"/>
      <c r="W621" s="85" t="n"/>
      <c r="X621" s="85" t="n"/>
      <c r="Y621" s="85" t="n"/>
      <c r="Z621" s="85" t="n"/>
    </row>
    <row r="622" ht="15.75" customHeight="1" s="86">
      <c r="T622" s="85" t="n"/>
      <c r="U622" s="85" t="n"/>
      <c r="V622" s="85" t="n"/>
      <c r="W622" s="85" t="n"/>
      <c r="X622" s="85" t="n"/>
      <c r="Y622" s="85" t="n"/>
      <c r="Z622" s="85" t="n"/>
    </row>
    <row r="623" ht="15.75" customHeight="1" s="86">
      <c r="T623" s="85" t="n"/>
      <c r="U623" s="85" t="n"/>
      <c r="V623" s="85" t="n"/>
      <c r="W623" s="85" t="n"/>
      <c r="X623" s="85" t="n"/>
      <c r="Y623" s="85" t="n"/>
      <c r="Z623" s="85" t="n"/>
    </row>
    <row r="624" ht="15.75" customHeight="1" s="86">
      <c r="T624" s="85" t="n"/>
      <c r="U624" s="85" t="n"/>
      <c r="V624" s="85" t="n"/>
      <c r="W624" s="85" t="n"/>
      <c r="X624" s="85" t="n"/>
      <c r="Y624" s="85" t="n"/>
      <c r="Z624" s="85" t="n"/>
    </row>
    <row r="625" ht="15.75" customHeight="1" s="86">
      <c r="T625" s="85" t="n"/>
      <c r="U625" s="85" t="n"/>
      <c r="V625" s="85" t="n"/>
      <c r="W625" s="85" t="n"/>
      <c r="X625" s="85" t="n"/>
      <c r="Y625" s="85" t="n"/>
      <c r="Z625" s="85" t="n"/>
    </row>
    <row r="626" ht="15.75" customHeight="1" s="86">
      <c r="T626" s="85" t="n"/>
      <c r="U626" s="85" t="n"/>
      <c r="V626" s="85" t="n"/>
      <c r="W626" s="85" t="n"/>
      <c r="X626" s="85" t="n"/>
      <c r="Y626" s="85" t="n"/>
      <c r="Z626" s="85" t="n"/>
    </row>
    <row r="627" ht="15.75" customHeight="1" s="86">
      <c r="T627" s="85" t="n"/>
      <c r="U627" s="85" t="n"/>
      <c r="V627" s="85" t="n"/>
      <c r="W627" s="85" t="n"/>
      <c r="X627" s="85" t="n"/>
      <c r="Y627" s="85" t="n"/>
      <c r="Z627" s="85" t="n"/>
    </row>
    <row r="628" ht="15.75" customHeight="1" s="86">
      <c r="T628" s="85" t="n"/>
      <c r="U628" s="85" t="n"/>
      <c r="V628" s="85" t="n"/>
      <c r="W628" s="85" t="n"/>
      <c r="X628" s="85" t="n"/>
      <c r="Y628" s="85" t="n"/>
      <c r="Z628" s="85" t="n"/>
    </row>
    <row r="629" ht="15.75" customHeight="1" s="86">
      <c r="T629" s="85" t="n"/>
      <c r="U629" s="85" t="n"/>
      <c r="V629" s="85" t="n"/>
      <c r="W629" s="85" t="n"/>
      <c r="X629" s="85" t="n"/>
      <c r="Y629" s="85" t="n"/>
      <c r="Z629" s="85" t="n"/>
    </row>
    <row r="630" ht="15.75" customHeight="1" s="86">
      <c r="T630" s="85" t="n"/>
      <c r="U630" s="85" t="n"/>
      <c r="V630" s="85" t="n"/>
      <c r="W630" s="85" t="n"/>
      <c r="X630" s="85" t="n"/>
      <c r="Y630" s="85" t="n"/>
      <c r="Z630" s="85" t="n"/>
    </row>
    <row r="631" ht="15.75" customHeight="1" s="86">
      <c r="T631" s="85" t="n"/>
      <c r="U631" s="85" t="n"/>
      <c r="V631" s="85" t="n"/>
      <c r="W631" s="85" t="n"/>
      <c r="X631" s="85" t="n"/>
      <c r="Y631" s="85" t="n"/>
      <c r="Z631" s="85" t="n"/>
    </row>
    <row r="632" ht="15.75" customHeight="1" s="86">
      <c r="T632" s="85" t="n"/>
      <c r="U632" s="85" t="n"/>
      <c r="V632" s="85" t="n"/>
      <c r="W632" s="85" t="n"/>
      <c r="X632" s="85" t="n"/>
      <c r="Y632" s="85" t="n"/>
      <c r="Z632" s="85" t="n"/>
    </row>
    <row r="633" ht="15.75" customHeight="1" s="86">
      <c r="T633" s="85" t="n"/>
      <c r="U633" s="85" t="n"/>
      <c r="V633" s="85" t="n"/>
      <c r="W633" s="85" t="n"/>
      <c r="X633" s="85" t="n"/>
      <c r="Y633" s="85" t="n"/>
      <c r="Z633" s="85" t="n"/>
    </row>
    <row r="634" ht="15.75" customHeight="1" s="86">
      <c r="T634" s="85" t="n"/>
      <c r="U634" s="85" t="n"/>
      <c r="V634" s="85" t="n"/>
      <c r="W634" s="85" t="n"/>
      <c r="X634" s="85" t="n"/>
      <c r="Y634" s="85" t="n"/>
      <c r="Z634" s="85" t="n"/>
    </row>
    <row r="635" ht="15.75" customHeight="1" s="86">
      <c r="T635" s="85" t="n"/>
      <c r="U635" s="85" t="n"/>
      <c r="V635" s="85" t="n"/>
      <c r="W635" s="85" t="n"/>
      <c r="X635" s="85" t="n"/>
      <c r="Y635" s="85" t="n"/>
      <c r="Z635" s="85" t="n"/>
    </row>
    <row r="636" ht="15.75" customHeight="1" s="86">
      <c r="T636" s="85" t="n"/>
      <c r="U636" s="85" t="n"/>
      <c r="V636" s="85" t="n"/>
      <c r="W636" s="85" t="n"/>
      <c r="X636" s="85" t="n"/>
      <c r="Y636" s="85" t="n"/>
      <c r="Z636" s="85" t="n"/>
    </row>
    <row r="637" ht="15.75" customHeight="1" s="86">
      <c r="T637" s="85" t="n"/>
      <c r="U637" s="85" t="n"/>
      <c r="V637" s="85" t="n"/>
      <c r="W637" s="85" t="n"/>
      <c r="X637" s="85" t="n"/>
      <c r="Y637" s="85" t="n"/>
      <c r="Z637" s="85" t="n"/>
    </row>
    <row r="638" ht="15.75" customHeight="1" s="86">
      <c r="T638" s="85" t="n"/>
      <c r="U638" s="85" t="n"/>
      <c r="V638" s="85" t="n"/>
      <c r="W638" s="85" t="n"/>
      <c r="X638" s="85" t="n"/>
      <c r="Y638" s="85" t="n"/>
      <c r="Z638" s="85" t="n"/>
    </row>
    <row r="639" ht="15.75" customHeight="1" s="86">
      <c r="T639" s="85" t="n"/>
      <c r="U639" s="85" t="n"/>
      <c r="V639" s="85" t="n"/>
      <c r="W639" s="85" t="n"/>
      <c r="X639" s="85" t="n"/>
      <c r="Y639" s="85" t="n"/>
      <c r="Z639" s="85" t="n"/>
    </row>
    <row r="640" ht="15.75" customHeight="1" s="86">
      <c r="T640" s="85" t="n"/>
      <c r="U640" s="85" t="n"/>
      <c r="V640" s="85" t="n"/>
      <c r="W640" s="85" t="n"/>
      <c r="X640" s="85" t="n"/>
      <c r="Y640" s="85" t="n"/>
      <c r="Z640" s="85" t="n"/>
    </row>
    <row r="641" ht="15.75" customHeight="1" s="86">
      <c r="T641" s="85" t="n"/>
      <c r="U641" s="85" t="n"/>
      <c r="V641" s="85" t="n"/>
      <c r="W641" s="85" t="n"/>
      <c r="X641" s="85" t="n"/>
      <c r="Y641" s="85" t="n"/>
      <c r="Z641" s="85" t="n"/>
    </row>
    <row r="642" ht="15.75" customHeight="1" s="86">
      <c r="T642" s="85" t="n"/>
      <c r="U642" s="85" t="n"/>
      <c r="V642" s="85" t="n"/>
      <c r="W642" s="85" t="n"/>
      <c r="X642" s="85" t="n"/>
      <c r="Y642" s="85" t="n"/>
      <c r="Z642" s="85" t="n"/>
    </row>
    <row r="643" ht="15.75" customHeight="1" s="86">
      <c r="T643" s="85" t="n"/>
      <c r="U643" s="85" t="n"/>
      <c r="V643" s="85" t="n"/>
      <c r="W643" s="85" t="n"/>
      <c r="X643" s="85" t="n"/>
      <c r="Y643" s="85" t="n"/>
      <c r="Z643" s="85" t="n"/>
    </row>
    <row r="644" ht="15.75" customHeight="1" s="86">
      <c r="T644" s="85" t="n"/>
      <c r="U644" s="85" t="n"/>
      <c r="V644" s="85" t="n"/>
      <c r="W644" s="85" t="n"/>
      <c r="X644" s="85" t="n"/>
      <c r="Y644" s="85" t="n"/>
      <c r="Z644" s="85" t="n"/>
    </row>
    <row r="645" ht="15.75" customHeight="1" s="86">
      <c r="T645" s="85" t="n"/>
      <c r="U645" s="85" t="n"/>
      <c r="V645" s="85" t="n"/>
      <c r="W645" s="85" t="n"/>
      <c r="X645" s="85" t="n"/>
      <c r="Y645" s="85" t="n"/>
      <c r="Z645" s="85" t="n"/>
    </row>
    <row r="646" ht="15.75" customHeight="1" s="86">
      <c r="T646" s="85" t="n"/>
      <c r="U646" s="85" t="n"/>
      <c r="V646" s="85" t="n"/>
      <c r="W646" s="85" t="n"/>
      <c r="X646" s="85" t="n"/>
      <c r="Y646" s="85" t="n"/>
      <c r="Z646" s="85" t="n"/>
    </row>
    <row r="647" ht="15.75" customHeight="1" s="86">
      <c r="T647" s="85" t="n"/>
      <c r="U647" s="85" t="n"/>
      <c r="V647" s="85" t="n"/>
      <c r="W647" s="85" t="n"/>
      <c r="X647" s="85" t="n"/>
      <c r="Y647" s="85" t="n"/>
      <c r="Z647" s="85" t="n"/>
    </row>
    <row r="648" ht="15.75" customHeight="1" s="86">
      <c r="T648" s="85" t="n"/>
      <c r="U648" s="85" t="n"/>
      <c r="V648" s="85" t="n"/>
      <c r="W648" s="85" t="n"/>
      <c r="X648" s="85" t="n"/>
      <c r="Y648" s="85" t="n"/>
      <c r="Z648" s="85" t="n"/>
    </row>
    <row r="649" ht="15.75" customHeight="1" s="86">
      <c r="T649" s="85" t="n"/>
      <c r="U649" s="85" t="n"/>
      <c r="V649" s="85" t="n"/>
      <c r="W649" s="85" t="n"/>
      <c r="X649" s="85" t="n"/>
      <c r="Y649" s="85" t="n"/>
      <c r="Z649" s="85" t="n"/>
    </row>
    <row r="650" ht="15.75" customHeight="1" s="86">
      <c r="T650" s="85" t="n"/>
      <c r="U650" s="85" t="n"/>
      <c r="V650" s="85" t="n"/>
      <c r="W650" s="85" t="n"/>
      <c r="X650" s="85" t="n"/>
      <c r="Y650" s="85" t="n"/>
      <c r="Z650" s="85" t="n"/>
    </row>
    <row r="651" ht="15.75" customHeight="1" s="86">
      <c r="T651" s="85" t="n"/>
      <c r="U651" s="85" t="n"/>
      <c r="V651" s="85" t="n"/>
      <c r="W651" s="85" t="n"/>
      <c r="X651" s="85" t="n"/>
      <c r="Y651" s="85" t="n"/>
      <c r="Z651" s="85" t="n"/>
    </row>
    <row r="652" ht="15.75" customHeight="1" s="86">
      <c r="T652" s="85" t="n"/>
      <c r="U652" s="85" t="n"/>
      <c r="V652" s="85" t="n"/>
      <c r="W652" s="85" t="n"/>
      <c r="X652" s="85" t="n"/>
      <c r="Y652" s="85" t="n"/>
      <c r="Z652" s="85" t="n"/>
    </row>
    <row r="653" ht="15.75" customHeight="1" s="86">
      <c r="T653" s="85" t="n"/>
      <c r="U653" s="85" t="n"/>
      <c r="V653" s="85" t="n"/>
      <c r="W653" s="85" t="n"/>
      <c r="X653" s="85" t="n"/>
      <c r="Y653" s="85" t="n"/>
      <c r="Z653" s="85" t="n"/>
    </row>
    <row r="654" ht="15.75" customHeight="1" s="86">
      <c r="T654" s="85" t="n"/>
      <c r="U654" s="85" t="n"/>
      <c r="V654" s="85" t="n"/>
      <c r="W654" s="85" t="n"/>
      <c r="X654" s="85" t="n"/>
      <c r="Y654" s="85" t="n"/>
      <c r="Z654" s="85" t="n"/>
    </row>
    <row r="655" ht="15.75" customHeight="1" s="86">
      <c r="T655" s="85" t="n"/>
      <c r="U655" s="85" t="n"/>
      <c r="V655" s="85" t="n"/>
      <c r="W655" s="85" t="n"/>
      <c r="X655" s="85" t="n"/>
      <c r="Y655" s="85" t="n"/>
      <c r="Z655" s="85" t="n"/>
    </row>
    <row r="656" ht="15.75" customHeight="1" s="86">
      <c r="T656" s="85" t="n"/>
      <c r="U656" s="85" t="n"/>
      <c r="V656" s="85" t="n"/>
      <c r="W656" s="85" t="n"/>
      <c r="X656" s="85" t="n"/>
      <c r="Y656" s="85" t="n"/>
      <c r="Z656" s="85" t="n"/>
    </row>
    <row r="657" ht="15.75" customHeight="1" s="86">
      <c r="T657" s="85" t="n"/>
      <c r="U657" s="85" t="n"/>
      <c r="V657" s="85" t="n"/>
      <c r="W657" s="85" t="n"/>
      <c r="X657" s="85" t="n"/>
      <c r="Y657" s="85" t="n"/>
      <c r="Z657" s="85" t="n"/>
    </row>
    <row r="658" ht="15.75" customHeight="1" s="86">
      <c r="T658" s="85" t="n"/>
      <c r="U658" s="85" t="n"/>
      <c r="V658" s="85" t="n"/>
      <c r="W658" s="85" t="n"/>
      <c r="X658" s="85" t="n"/>
      <c r="Y658" s="85" t="n"/>
      <c r="Z658" s="85" t="n"/>
    </row>
    <row r="659" ht="15.75" customHeight="1" s="86">
      <c r="T659" s="85" t="n"/>
      <c r="U659" s="85" t="n"/>
      <c r="V659" s="85" t="n"/>
      <c r="W659" s="85" t="n"/>
      <c r="X659" s="85" t="n"/>
      <c r="Y659" s="85" t="n"/>
      <c r="Z659" s="85" t="n"/>
    </row>
    <row r="660" ht="15.75" customHeight="1" s="86">
      <c r="T660" s="85" t="n"/>
      <c r="U660" s="85" t="n"/>
      <c r="V660" s="85" t="n"/>
      <c r="W660" s="85" t="n"/>
      <c r="X660" s="85" t="n"/>
      <c r="Y660" s="85" t="n"/>
      <c r="Z660" s="85" t="n"/>
    </row>
    <row r="661" ht="15.75" customHeight="1" s="86">
      <c r="T661" s="85" t="n"/>
      <c r="U661" s="85" t="n"/>
      <c r="V661" s="85" t="n"/>
      <c r="W661" s="85" t="n"/>
      <c r="X661" s="85" t="n"/>
      <c r="Y661" s="85" t="n"/>
      <c r="Z661" s="85" t="n"/>
    </row>
    <row r="662" ht="15.75" customHeight="1" s="86">
      <c r="T662" s="85" t="n"/>
      <c r="U662" s="85" t="n"/>
      <c r="V662" s="85" t="n"/>
      <c r="W662" s="85" t="n"/>
      <c r="X662" s="85" t="n"/>
      <c r="Y662" s="85" t="n"/>
      <c r="Z662" s="85" t="n"/>
    </row>
    <row r="663" ht="15.75" customHeight="1" s="86">
      <c r="T663" s="85" t="n"/>
      <c r="U663" s="85" t="n"/>
      <c r="V663" s="85" t="n"/>
      <c r="W663" s="85" t="n"/>
      <c r="X663" s="85" t="n"/>
      <c r="Y663" s="85" t="n"/>
      <c r="Z663" s="85" t="n"/>
    </row>
    <row r="664" ht="15.75" customHeight="1" s="86">
      <c r="T664" s="85" t="n"/>
      <c r="U664" s="85" t="n"/>
      <c r="V664" s="85" t="n"/>
      <c r="W664" s="85" t="n"/>
      <c r="X664" s="85" t="n"/>
      <c r="Y664" s="85" t="n"/>
      <c r="Z664" s="85" t="n"/>
    </row>
    <row r="665" ht="15.75" customHeight="1" s="86">
      <c r="T665" s="85" t="n"/>
      <c r="U665" s="85" t="n"/>
      <c r="V665" s="85" t="n"/>
      <c r="W665" s="85" t="n"/>
      <c r="X665" s="85" t="n"/>
      <c r="Y665" s="85" t="n"/>
      <c r="Z665" s="85" t="n"/>
    </row>
    <row r="666" ht="15.75" customHeight="1" s="86">
      <c r="T666" s="85" t="n"/>
      <c r="U666" s="85" t="n"/>
      <c r="V666" s="85" t="n"/>
      <c r="W666" s="85" t="n"/>
      <c r="X666" s="85" t="n"/>
      <c r="Y666" s="85" t="n"/>
      <c r="Z666" s="85" t="n"/>
    </row>
    <row r="667" ht="15.75" customHeight="1" s="86">
      <c r="T667" s="85" t="n"/>
      <c r="U667" s="85" t="n"/>
      <c r="V667" s="85" t="n"/>
      <c r="W667" s="85" t="n"/>
      <c r="X667" s="85" t="n"/>
      <c r="Y667" s="85" t="n"/>
      <c r="Z667" s="85" t="n"/>
    </row>
    <row r="668" ht="15.75" customHeight="1" s="86">
      <c r="T668" s="85" t="n"/>
      <c r="U668" s="85" t="n"/>
      <c r="V668" s="85" t="n"/>
      <c r="W668" s="85" t="n"/>
      <c r="X668" s="85" t="n"/>
      <c r="Y668" s="85" t="n"/>
      <c r="Z668" s="85" t="n"/>
    </row>
    <row r="669" ht="15.75" customHeight="1" s="86">
      <c r="T669" s="85" t="n"/>
      <c r="U669" s="85" t="n"/>
      <c r="V669" s="85" t="n"/>
      <c r="W669" s="85" t="n"/>
      <c r="X669" s="85" t="n"/>
      <c r="Y669" s="85" t="n"/>
      <c r="Z669" s="85" t="n"/>
    </row>
    <row r="670" ht="15.75" customHeight="1" s="86">
      <c r="T670" s="85" t="n"/>
      <c r="U670" s="85" t="n"/>
      <c r="V670" s="85" t="n"/>
      <c r="W670" s="85" t="n"/>
      <c r="X670" s="85" t="n"/>
      <c r="Y670" s="85" t="n"/>
      <c r="Z670" s="85" t="n"/>
    </row>
    <row r="671" ht="15.75" customHeight="1" s="86">
      <c r="T671" s="85" t="n"/>
      <c r="U671" s="85" t="n"/>
      <c r="V671" s="85" t="n"/>
      <c r="W671" s="85" t="n"/>
      <c r="X671" s="85" t="n"/>
      <c r="Y671" s="85" t="n"/>
      <c r="Z671" s="85" t="n"/>
    </row>
    <row r="672" ht="15.75" customHeight="1" s="86">
      <c r="T672" s="85" t="n"/>
      <c r="U672" s="85" t="n"/>
      <c r="V672" s="85" t="n"/>
      <c r="W672" s="85" t="n"/>
      <c r="X672" s="85" t="n"/>
      <c r="Y672" s="85" t="n"/>
      <c r="Z672" s="85" t="n"/>
    </row>
    <row r="673" ht="15.75" customHeight="1" s="86">
      <c r="T673" s="85" t="n"/>
      <c r="U673" s="85" t="n"/>
      <c r="V673" s="85" t="n"/>
      <c r="W673" s="85" t="n"/>
      <c r="X673" s="85" t="n"/>
      <c r="Y673" s="85" t="n"/>
      <c r="Z673" s="85" t="n"/>
    </row>
    <row r="674" ht="15.75" customHeight="1" s="86">
      <c r="T674" s="85" t="n"/>
      <c r="U674" s="85" t="n"/>
      <c r="V674" s="85" t="n"/>
      <c r="W674" s="85" t="n"/>
      <c r="X674" s="85" t="n"/>
      <c r="Y674" s="85" t="n"/>
      <c r="Z674" s="85" t="n"/>
    </row>
    <row r="675" ht="15.75" customHeight="1" s="86">
      <c r="T675" s="85" t="n"/>
      <c r="U675" s="85" t="n"/>
      <c r="V675" s="85" t="n"/>
      <c r="W675" s="85" t="n"/>
      <c r="X675" s="85" t="n"/>
      <c r="Y675" s="85" t="n"/>
      <c r="Z675" s="85" t="n"/>
    </row>
    <row r="676" ht="15.75" customHeight="1" s="86">
      <c r="T676" s="85" t="n"/>
      <c r="U676" s="85" t="n"/>
      <c r="V676" s="85" t="n"/>
      <c r="W676" s="85" t="n"/>
      <c r="X676" s="85" t="n"/>
      <c r="Y676" s="85" t="n"/>
      <c r="Z676" s="85" t="n"/>
    </row>
    <row r="677" ht="15.75" customHeight="1" s="86">
      <c r="T677" s="85" t="n"/>
      <c r="U677" s="85" t="n"/>
      <c r="V677" s="85" t="n"/>
      <c r="W677" s="85" t="n"/>
      <c r="X677" s="85" t="n"/>
      <c r="Y677" s="85" t="n"/>
      <c r="Z677" s="85" t="n"/>
    </row>
    <row r="678" ht="15.75" customHeight="1" s="86">
      <c r="T678" s="85" t="n"/>
      <c r="U678" s="85" t="n"/>
      <c r="V678" s="85" t="n"/>
      <c r="W678" s="85" t="n"/>
      <c r="X678" s="85" t="n"/>
      <c r="Y678" s="85" t="n"/>
      <c r="Z678" s="85" t="n"/>
    </row>
    <row r="679" ht="15.75" customHeight="1" s="86">
      <c r="T679" s="85" t="n"/>
      <c r="U679" s="85" t="n"/>
      <c r="V679" s="85" t="n"/>
      <c r="W679" s="85" t="n"/>
      <c r="X679" s="85" t="n"/>
      <c r="Y679" s="85" t="n"/>
      <c r="Z679" s="85" t="n"/>
    </row>
    <row r="680" ht="15.75" customHeight="1" s="86">
      <c r="T680" s="85" t="n"/>
      <c r="U680" s="85" t="n"/>
      <c r="V680" s="85" t="n"/>
      <c r="W680" s="85" t="n"/>
      <c r="X680" s="85" t="n"/>
      <c r="Y680" s="85" t="n"/>
      <c r="Z680" s="85" t="n"/>
    </row>
    <row r="681" ht="15.75" customHeight="1" s="86">
      <c r="T681" s="85" t="n"/>
      <c r="U681" s="85" t="n"/>
      <c r="V681" s="85" t="n"/>
      <c r="W681" s="85" t="n"/>
      <c r="X681" s="85" t="n"/>
      <c r="Y681" s="85" t="n"/>
      <c r="Z681" s="85" t="n"/>
    </row>
    <row r="682" ht="15.75" customHeight="1" s="86">
      <c r="T682" s="85" t="n"/>
      <c r="U682" s="85" t="n"/>
      <c r="V682" s="85" t="n"/>
      <c r="W682" s="85" t="n"/>
      <c r="X682" s="85" t="n"/>
      <c r="Y682" s="85" t="n"/>
      <c r="Z682" s="85" t="n"/>
    </row>
    <row r="683" ht="15.75" customHeight="1" s="86">
      <c r="T683" s="85" t="n"/>
      <c r="U683" s="85" t="n"/>
      <c r="V683" s="85" t="n"/>
      <c r="W683" s="85" t="n"/>
      <c r="X683" s="85" t="n"/>
      <c r="Y683" s="85" t="n"/>
      <c r="Z683" s="85" t="n"/>
    </row>
    <row r="684" ht="15.75" customHeight="1" s="86">
      <c r="T684" s="85" t="n"/>
      <c r="U684" s="85" t="n"/>
      <c r="V684" s="85" t="n"/>
      <c r="W684" s="85" t="n"/>
      <c r="X684" s="85" t="n"/>
      <c r="Y684" s="85" t="n"/>
      <c r="Z684" s="85" t="n"/>
    </row>
    <row r="685" ht="15.75" customHeight="1" s="86">
      <c r="T685" s="85" t="n"/>
      <c r="U685" s="85" t="n"/>
      <c r="V685" s="85" t="n"/>
      <c r="W685" s="85" t="n"/>
      <c r="X685" s="85" t="n"/>
      <c r="Y685" s="85" t="n"/>
      <c r="Z685" s="85" t="n"/>
    </row>
    <row r="686" ht="15.75" customHeight="1" s="86">
      <c r="T686" s="85" t="n"/>
      <c r="U686" s="85" t="n"/>
      <c r="V686" s="85" t="n"/>
      <c r="W686" s="85" t="n"/>
      <c r="X686" s="85" t="n"/>
      <c r="Y686" s="85" t="n"/>
      <c r="Z686" s="85" t="n"/>
    </row>
    <row r="687" ht="15.75" customHeight="1" s="86">
      <c r="T687" s="85" t="n"/>
      <c r="U687" s="85" t="n"/>
      <c r="V687" s="85" t="n"/>
      <c r="W687" s="85" t="n"/>
      <c r="X687" s="85" t="n"/>
      <c r="Y687" s="85" t="n"/>
      <c r="Z687" s="85" t="n"/>
    </row>
    <row r="688" ht="15.75" customHeight="1" s="86">
      <c r="T688" s="85" t="n"/>
      <c r="U688" s="85" t="n"/>
      <c r="V688" s="85" t="n"/>
      <c r="W688" s="85" t="n"/>
      <c r="X688" s="85" t="n"/>
      <c r="Y688" s="85" t="n"/>
      <c r="Z688" s="85" t="n"/>
    </row>
    <row r="689" ht="15.75" customHeight="1" s="86">
      <c r="T689" s="85" t="n"/>
      <c r="U689" s="85" t="n"/>
      <c r="V689" s="85" t="n"/>
      <c r="W689" s="85" t="n"/>
      <c r="X689" s="85" t="n"/>
      <c r="Y689" s="85" t="n"/>
      <c r="Z689" s="85" t="n"/>
    </row>
    <row r="690" ht="15.75" customHeight="1" s="86">
      <c r="T690" s="85" t="n"/>
      <c r="U690" s="85" t="n"/>
      <c r="V690" s="85" t="n"/>
      <c r="W690" s="85" t="n"/>
      <c r="X690" s="85" t="n"/>
      <c r="Y690" s="85" t="n"/>
      <c r="Z690" s="85" t="n"/>
    </row>
    <row r="691" ht="15.75" customHeight="1" s="86">
      <c r="T691" s="85" t="n"/>
      <c r="U691" s="85" t="n"/>
      <c r="V691" s="85" t="n"/>
      <c r="W691" s="85" t="n"/>
      <c r="X691" s="85" t="n"/>
      <c r="Y691" s="85" t="n"/>
      <c r="Z691" s="85" t="n"/>
    </row>
    <row r="692" ht="15.75" customHeight="1" s="86">
      <c r="T692" s="85" t="n"/>
      <c r="U692" s="85" t="n"/>
      <c r="V692" s="85" t="n"/>
      <c r="W692" s="85" t="n"/>
      <c r="X692" s="85" t="n"/>
      <c r="Y692" s="85" t="n"/>
      <c r="Z692" s="85" t="n"/>
    </row>
    <row r="693" ht="15.75" customHeight="1" s="86">
      <c r="T693" s="85" t="n"/>
      <c r="U693" s="85" t="n"/>
      <c r="V693" s="85" t="n"/>
      <c r="W693" s="85" t="n"/>
      <c r="X693" s="85" t="n"/>
      <c r="Y693" s="85" t="n"/>
      <c r="Z693" s="85" t="n"/>
    </row>
    <row r="694" ht="15.75" customHeight="1" s="86">
      <c r="T694" s="85" t="n"/>
      <c r="U694" s="85" t="n"/>
      <c r="V694" s="85" t="n"/>
      <c r="W694" s="85" t="n"/>
      <c r="X694" s="85" t="n"/>
      <c r="Y694" s="85" t="n"/>
      <c r="Z694" s="85" t="n"/>
    </row>
    <row r="695" ht="15.75" customHeight="1" s="86">
      <c r="T695" s="85" t="n"/>
      <c r="U695" s="85" t="n"/>
      <c r="V695" s="85" t="n"/>
      <c r="W695" s="85" t="n"/>
      <c r="X695" s="85" t="n"/>
      <c r="Y695" s="85" t="n"/>
      <c r="Z695" s="85" t="n"/>
    </row>
    <row r="696" ht="15.75" customHeight="1" s="86">
      <c r="T696" s="85" t="n"/>
      <c r="U696" s="85" t="n"/>
      <c r="V696" s="85" t="n"/>
      <c r="W696" s="85" t="n"/>
      <c r="X696" s="85" t="n"/>
      <c r="Y696" s="85" t="n"/>
      <c r="Z696" s="85" t="n"/>
    </row>
    <row r="697" ht="15.75" customHeight="1" s="86">
      <c r="T697" s="85" t="n"/>
      <c r="U697" s="85" t="n"/>
      <c r="V697" s="85" t="n"/>
      <c r="W697" s="85" t="n"/>
      <c r="X697" s="85" t="n"/>
      <c r="Y697" s="85" t="n"/>
      <c r="Z697" s="85" t="n"/>
    </row>
    <row r="698" ht="15.75" customHeight="1" s="86">
      <c r="T698" s="85" t="n"/>
      <c r="U698" s="85" t="n"/>
      <c r="V698" s="85" t="n"/>
      <c r="W698" s="85" t="n"/>
      <c r="X698" s="85" t="n"/>
      <c r="Y698" s="85" t="n"/>
      <c r="Z698" s="85" t="n"/>
    </row>
    <row r="699" ht="15.75" customHeight="1" s="86">
      <c r="T699" s="85" t="n"/>
      <c r="U699" s="85" t="n"/>
      <c r="V699" s="85" t="n"/>
      <c r="W699" s="85" t="n"/>
      <c r="X699" s="85" t="n"/>
      <c r="Y699" s="85" t="n"/>
      <c r="Z699" s="85" t="n"/>
    </row>
    <row r="700" ht="15.75" customHeight="1" s="86">
      <c r="T700" s="85" t="n"/>
      <c r="U700" s="85" t="n"/>
      <c r="V700" s="85" t="n"/>
      <c r="W700" s="85" t="n"/>
      <c r="X700" s="85" t="n"/>
      <c r="Y700" s="85" t="n"/>
      <c r="Z700" s="85" t="n"/>
    </row>
    <row r="701" ht="15.75" customHeight="1" s="86">
      <c r="T701" s="85" t="n"/>
      <c r="U701" s="85" t="n"/>
      <c r="V701" s="85" t="n"/>
      <c r="W701" s="85" t="n"/>
      <c r="X701" s="85" t="n"/>
      <c r="Y701" s="85" t="n"/>
      <c r="Z701" s="85" t="n"/>
    </row>
    <row r="702" ht="15.75" customHeight="1" s="86">
      <c r="T702" s="85" t="n"/>
      <c r="U702" s="85" t="n"/>
      <c r="V702" s="85" t="n"/>
      <c r="W702" s="85" t="n"/>
      <c r="X702" s="85" t="n"/>
      <c r="Y702" s="85" t="n"/>
      <c r="Z702" s="85" t="n"/>
    </row>
    <row r="703" ht="15.75" customHeight="1" s="86">
      <c r="T703" s="85" t="n"/>
      <c r="U703" s="85" t="n"/>
      <c r="V703" s="85" t="n"/>
      <c r="W703" s="85" t="n"/>
      <c r="X703" s="85" t="n"/>
      <c r="Y703" s="85" t="n"/>
      <c r="Z703" s="85" t="n"/>
    </row>
    <row r="704" ht="15.75" customHeight="1" s="86">
      <c r="T704" s="85" t="n"/>
      <c r="U704" s="85" t="n"/>
      <c r="V704" s="85" t="n"/>
      <c r="W704" s="85" t="n"/>
      <c r="X704" s="85" t="n"/>
      <c r="Y704" s="85" t="n"/>
      <c r="Z704" s="85" t="n"/>
    </row>
    <row r="705" ht="15.75" customHeight="1" s="86">
      <c r="T705" s="85" t="n"/>
      <c r="U705" s="85" t="n"/>
      <c r="V705" s="85" t="n"/>
      <c r="W705" s="85" t="n"/>
      <c r="X705" s="85" t="n"/>
      <c r="Y705" s="85" t="n"/>
      <c r="Z705" s="85" t="n"/>
    </row>
    <row r="706" ht="15.75" customHeight="1" s="86">
      <c r="T706" s="85" t="n"/>
      <c r="U706" s="85" t="n"/>
      <c r="V706" s="85" t="n"/>
      <c r="W706" s="85" t="n"/>
      <c r="X706" s="85" t="n"/>
      <c r="Y706" s="85" t="n"/>
      <c r="Z706" s="85" t="n"/>
    </row>
    <row r="707" ht="15.75" customHeight="1" s="86">
      <c r="T707" s="85" t="n"/>
      <c r="U707" s="85" t="n"/>
      <c r="V707" s="85" t="n"/>
      <c r="W707" s="85" t="n"/>
      <c r="X707" s="85" t="n"/>
      <c r="Y707" s="85" t="n"/>
      <c r="Z707" s="85" t="n"/>
    </row>
    <row r="708" ht="15.75" customHeight="1" s="86">
      <c r="T708" s="85" t="n"/>
      <c r="U708" s="85" t="n"/>
      <c r="V708" s="85" t="n"/>
      <c r="W708" s="85" t="n"/>
      <c r="X708" s="85" t="n"/>
      <c r="Y708" s="85" t="n"/>
      <c r="Z708" s="85" t="n"/>
    </row>
    <row r="709" ht="15.75" customHeight="1" s="86">
      <c r="T709" s="85" t="n"/>
      <c r="U709" s="85" t="n"/>
      <c r="V709" s="85" t="n"/>
      <c r="W709" s="85" t="n"/>
      <c r="X709" s="85" t="n"/>
      <c r="Y709" s="85" t="n"/>
      <c r="Z709" s="85" t="n"/>
    </row>
    <row r="710" ht="15.75" customHeight="1" s="86">
      <c r="T710" s="85" t="n"/>
      <c r="U710" s="85" t="n"/>
      <c r="V710" s="85" t="n"/>
      <c r="W710" s="85" t="n"/>
      <c r="X710" s="85" t="n"/>
      <c r="Y710" s="85" t="n"/>
      <c r="Z710" s="85" t="n"/>
    </row>
    <row r="711" ht="15.75" customHeight="1" s="86">
      <c r="T711" s="85" t="n"/>
      <c r="U711" s="85" t="n"/>
      <c r="V711" s="85" t="n"/>
      <c r="W711" s="85" t="n"/>
      <c r="X711" s="85" t="n"/>
      <c r="Y711" s="85" t="n"/>
      <c r="Z711" s="85" t="n"/>
    </row>
    <row r="712" ht="15.75" customHeight="1" s="86">
      <c r="T712" s="85" t="n"/>
      <c r="U712" s="85" t="n"/>
      <c r="V712" s="85" t="n"/>
      <c r="W712" s="85" t="n"/>
      <c r="X712" s="85" t="n"/>
      <c r="Y712" s="85" t="n"/>
      <c r="Z712" s="85" t="n"/>
    </row>
    <row r="713" ht="15.75" customHeight="1" s="86">
      <c r="T713" s="85" t="n"/>
      <c r="U713" s="85" t="n"/>
      <c r="V713" s="85" t="n"/>
      <c r="W713" s="85" t="n"/>
      <c r="X713" s="85" t="n"/>
      <c r="Y713" s="85" t="n"/>
      <c r="Z713" s="85" t="n"/>
    </row>
    <row r="714" ht="15.75" customHeight="1" s="86">
      <c r="T714" s="85" t="n"/>
      <c r="U714" s="85" t="n"/>
      <c r="V714" s="85" t="n"/>
      <c r="W714" s="85" t="n"/>
      <c r="X714" s="85" t="n"/>
      <c r="Y714" s="85" t="n"/>
      <c r="Z714" s="85" t="n"/>
    </row>
    <row r="715" ht="15.75" customHeight="1" s="86">
      <c r="T715" s="85" t="n"/>
      <c r="U715" s="85" t="n"/>
      <c r="V715" s="85" t="n"/>
      <c r="W715" s="85" t="n"/>
      <c r="X715" s="85" t="n"/>
      <c r="Y715" s="85" t="n"/>
      <c r="Z715" s="85" t="n"/>
    </row>
    <row r="716" ht="15.75" customHeight="1" s="86">
      <c r="T716" s="85" t="n"/>
      <c r="U716" s="85" t="n"/>
      <c r="V716" s="85" t="n"/>
      <c r="W716" s="85" t="n"/>
      <c r="X716" s="85" t="n"/>
      <c r="Y716" s="85" t="n"/>
      <c r="Z716" s="85" t="n"/>
    </row>
    <row r="717" ht="15.75" customHeight="1" s="86">
      <c r="T717" s="85" t="n"/>
      <c r="U717" s="85" t="n"/>
      <c r="V717" s="85" t="n"/>
      <c r="W717" s="85" t="n"/>
      <c r="X717" s="85" t="n"/>
      <c r="Y717" s="85" t="n"/>
      <c r="Z717" s="85" t="n"/>
    </row>
    <row r="718" ht="15.75" customHeight="1" s="86">
      <c r="T718" s="85" t="n"/>
      <c r="U718" s="85" t="n"/>
      <c r="V718" s="85" t="n"/>
      <c r="W718" s="85" t="n"/>
      <c r="X718" s="85" t="n"/>
      <c r="Y718" s="85" t="n"/>
      <c r="Z718" s="85" t="n"/>
    </row>
    <row r="719" ht="15.75" customHeight="1" s="86">
      <c r="T719" s="85" t="n"/>
      <c r="U719" s="85" t="n"/>
      <c r="V719" s="85" t="n"/>
      <c r="W719" s="85" t="n"/>
      <c r="X719" s="85" t="n"/>
      <c r="Y719" s="85" t="n"/>
      <c r="Z719" s="85" t="n"/>
    </row>
    <row r="720" ht="15.75" customHeight="1" s="86">
      <c r="T720" s="85" t="n"/>
      <c r="U720" s="85" t="n"/>
      <c r="V720" s="85" t="n"/>
      <c r="W720" s="85" t="n"/>
      <c r="X720" s="85" t="n"/>
      <c r="Y720" s="85" t="n"/>
      <c r="Z720" s="85" t="n"/>
    </row>
    <row r="721" ht="15.75" customHeight="1" s="86">
      <c r="T721" s="85" t="n"/>
      <c r="U721" s="85" t="n"/>
      <c r="V721" s="85" t="n"/>
      <c r="W721" s="85" t="n"/>
      <c r="X721" s="85" t="n"/>
      <c r="Y721" s="85" t="n"/>
      <c r="Z721" s="85" t="n"/>
    </row>
    <row r="722" ht="15.75" customHeight="1" s="86">
      <c r="T722" s="85" t="n"/>
      <c r="U722" s="85" t="n"/>
      <c r="V722" s="85" t="n"/>
      <c r="W722" s="85" t="n"/>
      <c r="X722" s="85" t="n"/>
      <c r="Y722" s="85" t="n"/>
      <c r="Z722" s="85" t="n"/>
    </row>
    <row r="723" ht="15.75" customHeight="1" s="86">
      <c r="T723" s="85" t="n"/>
      <c r="U723" s="85" t="n"/>
      <c r="V723" s="85" t="n"/>
      <c r="W723" s="85" t="n"/>
      <c r="X723" s="85" t="n"/>
      <c r="Y723" s="85" t="n"/>
      <c r="Z723" s="85" t="n"/>
    </row>
    <row r="724" ht="15.75" customHeight="1" s="86">
      <c r="T724" s="85" t="n"/>
      <c r="U724" s="85" t="n"/>
      <c r="V724" s="85" t="n"/>
      <c r="W724" s="85" t="n"/>
      <c r="X724" s="85" t="n"/>
      <c r="Y724" s="85" t="n"/>
      <c r="Z724" s="85" t="n"/>
    </row>
    <row r="725" ht="15.75" customHeight="1" s="86">
      <c r="T725" s="85" t="n"/>
      <c r="U725" s="85" t="n"/>
      <c r="V725" s="85" t="n"/>
      <c r="W725" s="85" t="n"/>
      <c r="X725" s="85" t="n"/>
      <c r="Y725" s="85" t="n"/>
      <c r="Z725" s="85" t="n"/>
    </row>
    <row r="726" ht="15.75" customHeight="1" s="86">
      <c r="T726" s="85" t="n"/>
      <c r="U726" s="85" t="n"/>
      <c r="V726" s="85" t="n"/>
      <c r="W726" s="85" t="n"/>
      <c r="X726" s="85" t="n"/>
      <c r="Y726" s="85" t="n"/>
      <c r="Z726" s="85" t="n"/>
    </row>
    <row r="727" ht="15.75" customHeight="1" s="86">
      <c r="T727" s="85" t="n"/>
      <c r="U727" s="85" t="n"/>
      <c r="V727" s="85" t="n"/>
      <c r="W727" s="85" t="n"/>
      <c r="X727" s="85" t="n"/>
      <c r="Y727" s="85" t="n"/>
      <c r="Z727" s="85" t="n"/>
    </row>
    <row r="728" ht="15.75" customHeight="1" s="86">
      <c r="T728" s="85" t="n"/>
      <c r="U728" s="85" t="n"/>
      <c r="V728" s="85" t="n"/>
      <c r="W728" s="85" t="n"/>
      <c r="X728" s="85" t="n"/>
      <c r="Y728" s="85" t="n"/>
      <c r="Z728" s="85" t="n"/>
    </row>
    <row r="729" ht="15.75" customHeight="1" s="86">
      <c r="T729" s="85" t="n"/>
      <c r="U729" s="85" t="n"/>
      <c r="V729" s="85" t="n"/>
      <c r="W729" s="85" t="n"/>
      <c r="X729" s="85" t="n"/>
      <c r="Y729" s="85" t="n"/>
      <c r="Z729" s="85" t="n"/>
    </row>
    <row r="730" ht="15.75" customHeight="1" s="86">
      <c r="T730" s="85" t="n"/>
      <c r="U730" s="85" t="n"/>
      <c r="V730" s="85" t="n"/>
      <c r="W730" s="85" t="n"/>
      <c r="X730" s="85" t="n"/>
      <c r="Y730" s="85" t="n"/>
      <c r="Z730" s="85" t="n"/>
    </row>
    <row r="731" ht="15.75" customHeight="1" s="86">
      <c r="T731" s="85" t="n"/>
      <c r="U731" s="85" t="n"/>
      <c r="V731" s="85" t="n"/>
      <c r="W731" s="85" t="n"/>
      <c r="X731" s="85" t="n"/>
      <c r="Y731" s="85" t="n"/>
      <c r="Z731" s="85" t="n"/>
    </row>
    <row r="732" ht="15.75" customHeight="1" s="86">
      <c r="T732" s="85" t="n"/>
      <c r="U732" s="85" t="n"/>
      <c r="V732" s="85" t="n"/>
      <c r="W732" s="85" t="n"/>
      <c r="X732" s="85" t="n"/>
      <c r="Y732" s="85" t="n"/>
      <c r="Z732" s="85" t="n"/>
    </row>
    <row r="733" ht="15.75" customHeight="1" s="86">
      <c r="T733" s="85" t="n"/>
      <c r="U733" s="85" t="n"/>
      <c r="V733" s="85" t="n"/>
      <c r="W733" s="85" t="n"/>
      <c r="X733" s="85" t="n"/>
      <c r="Y733" s="85" t="n"/>
      <c r="Z733" s="85" t="n"/>
    </row>
    <row r="734" ht="15.75" customHeight="1" s="86">
      <c r="T734" s="85" t="n"/>
      <c r="U734" s="85" t="n"/>
      <c r="V734" s="85" t="n"/>
      <c r="W734" s="85" t="n"/>
      <c r="X734" s="85" t="n"/>
      <c r="Y734" s="85" t="n"/>
      <c r="Z734" s="85" t="n"/>
    </row>
    <row r="735" ht="15.75" customHeight="1" s="86">
      <c r="T735" s="85" t="n"/>
      <c r="U735" s="85" t="n"/>
      <c r="V735" s="85" t="n"/>
      <c r="W735" s="85" t="n"/>
      <c r="X735" s="85" t="n"/>
      <c r="Y735" s="85" t="n"/>
      <c r="Z735" s="85" t="n"/>
    </row>
    <row r="736" ht="15.75" customHeight="1" s="86">
      <c r="T736" s="85" t="n"/>
      <c r="U736" s="85" t="n"/>
      <c r="V736" s="85" t="n"/>
      <c r="W736" s="85" t="n"/>
      <c r="X736" s="85" t="n"/>
      <c r="Y736" s="85" t="n"/>
      <c r="Z736" s="85" t="n"/>
    </row>
    <row r="737" ht="15.75" customHeight="1" s="86">
      <c r="T737" s="85" t="n"/>
      <c r="U737" s="85" t="n"/>
      <c r="V737" s="85" t="n"/>
      <c r="W737" s="85" t="n"/>
      <c r="X737" s="85" t="n"/>
      <c r="Y737" s="85" t="n"/>
      <c r="Z737" s="85" t="n"/>
    </row>
    <row r="738" ht="15.75" customHeight="1" s="86">
      <c r="T738" s="85" t="n"/>
      <c r="U738" s="85" t="n"/>
      <c r="V738" s="85" t="n"/>
      <c r="W738" s="85" t="n"/>
      <c r="X738" s="85" t="n"/>
      <c r="Y738" s="85" t="n"/>
      <c r="Z738" s="85" t="n"/>
    </row>
    <row r="739" ht="15.75" customHeight="1" s="86">
      <c r="T739" s="85" t="n"/>
      <c r="U739" s="85" t="n"/>
      <c r="V739" s="85" t="n"/>
      <c r="W739" s="85" t="n"/>
      <c r="X739" s="85" t="n"/>
      <c r="Y739" s="85" t="n"/>
      <c r="Z739" s="85" t="n"/>
    </row>
    <row r="740" ht="15.75" customHeight="1" s="86">
      <c r="T740" s="85" t="n"/>
      <c r="U740" s="85" t="n"/>
      <c r="V740" s="85" t="n"/>
      <c r="W740" s="85" t="n"/>
      <c r="X740" s="85" t="n"/>
      <c r="Y740" s="85" t="n"/>
      <c r="Z740" s="85" t="n"/>
    </row>
    <row r="741" ht="15.75" customHeight="1" s="86">
      <c r="T741" s="85" t="n"/>
      <c r="U741" s="85" t="n"/>
      <c r="V741" s="85" t="n"/>
      <c r="W741" s="85" t="n"/>
      <c r="X741" s="85" t="n"/>
      <c r="Y741" s="85" t="n"/>
      <c r="Z741" s="85" t="n"/>
    </row>
    <row r="742" ht="15.75" customHeight="1" s="86">
      <c r="T742" s="85" t="n"/>
      <c r="U742" s="85" t="n"/>
      <c r="V742" s="85" t="n"/>
      <c r="W742" s="85" t="n"/>
      <c r="X742" s="85" t="n"/>
      <c r="Y742" s="85" t="n"/>
      <c r="Z742" s="85" t="n"/>
    </row>
    <row r="743" ht="15.75" customHeight="1" s="86">
      <c r="T743" s="85" t="n"/>
      <c r="U743" s="85" t="n"/>
      <c r="V743" s="85" t="n"/>
      <c r="W743" s="85" t="n"/>
      <c r="X743" s="85" t="n"/>
      <c r="Y743" s="85" t="n"/>
      <c r="Z743" s="85" t="n"/>
    </row>
    <row r="744" ht="15.75" customHeight="1" s="86">
      <c r="T744" s="85" t="n"/>
      <c r="U744" s="85" t="n"/>
      <c r="V744" s="85" t="n"/>
      <c r="W744" s="85" t="n"/>
      <c r="X744" s="85" t="n"/>
      <c r="Y744" s="85" t="n"/>
      <c r="Z744" s="85" t="n"/>
    </row>
    <row r="745" ht="15.75" customHeight="1" s="86">
      <c r="T745" s="85" t="n"/>
      <c r="U745" s="85" t="n"/>
      <c r="V745" s="85" t="n"/>
      <c r="W745" s="85" t="n"/>
      <c r="X745" s="85" t="n"/>
      <c r="Y745" s="85" t="n"/>
      <c r="Z745" s="85" t="n"/>
    </row>
    <row r="746" ht="15.75" customHeight="1" s="86">
      <c r="T746" s="85" t="n"/>
      <c r="U746" s="85" t="n"/>
      <c r="V746" s="85" t="n"/>
      <c r="W746" s="85" t="n"/>
      <c r="X746" s="85" t="n"/>
      <c r="Y746" s="85" t="n"/>
      <c r="Z746" s="85" t="n"/>
    </row>
    <row r="747" ht="15.75" customHeight="1" s="86">
      <c r="T747" s="85" t="n"/>
      <c r="U747" s="85" t="n"/>
      <c r="V747" s="85" t="n"/>
      <c r="W747" s="85" t="n"/>
      <c r="X747" s="85" t="n"/>
      <c r="Y747" s="85" t="n"/>
      <c r="Z747" s="85" t="n"/>
    </row>
    <row r="748" ht="15.75" customHeight="1" s="86">
      <c r="T748" s="85" t="n"/>
      <c r="U748" s="85" t="n"/>
      <c r="V748" s="85" t="n"/>
      <c r="W748" s="85" t="n"/>
      <c r="X748" s="85" t="n"/>
      <c r="Y748" s="85" t="n"/>
      <c r="Z748" s="85" t="n"/>
    </row>
    <row r="749" ht="15.75" customHeight="1" s="86">
      <c r="T749" s="85" t="n"/>
      <c r="U749" s="85" t="n"/>
      <c r="V749" s="85" t="n"/>
      <c r="W749" s="85" t="n"/>
      <c r="X749" s="85" t="n"/>
      <c r="Y749" s="85" t="n"/>
      <c r="Z749" s="85" t="n"/>
    </row>
    <row r="750" ht="15.75" customHeight="1" s="86">
      <c r="T750" s="85" t="n"/>
      <c r="U750" s="85" t="n"/>
      <c r="V750" s="85" t="n"/>
      <c r="W750" s="85" t="n"/>
      <c r="X750" s="85" t="n"/>
      <c r="Y750" s="85" t="n"/>
      <c r="Z750" s="85" t="n"/>
    </row>
    <row r="751" ht="15.75" customHeight="1" s="86">
      <c r="T751" s="85" t="n"/>
      <c r="U751" s="85" t="n"/>
      <c r="V751" s="85" t="n"/>
      <c r="W751" s="85" t="n"/>
      <c r="X751" s="85" t="n"/>
      <c r="Y751" s="85" t="n"/>
      <c r="Z751" s="85" t="n"/>
    </row>
    <row r="752" ht="15.75" customHeight="1" s="86">
      <c r="T752" s="85" t="n"/>
      <c r="U752" s="85" t="n"/>
      <c r="V752" s="85" t="n"/>
      <c r="W752" s="85" t="n"/>
      <c r="X752" s="85" t="n"/>
      <c r="Y752" s="85" t="n"/>
      <c r="Z752" s="85" t="n"/>
    </row>
    <row r="753" ht="15.75" customHeight="1" s="86">
      <c r="T753" s="85" t="n"/>
      <c r="U753" s="85" t="n"/>
      <c r="V753" s="85" t="n"/>
      <c r="W753" s="85" t="n"/>
      <c r="X753" s="85" t="n"/>
      <c r="Y753" s="85" t="n"/>
      <c r="Z753" s="85" t="n"/>
    </row>
    <row r="754" ht="15.75" customHeight="1" s="86">
      <c r="T754" s="85" t="n"/>
      <c r="U754" s="85" t="n"/>
      <c r="V754" s="85" t="n"/>
      <c r="W754" s="85" t="n"/>
      <c r="X754" s="85" t="n"/>
      <c r="Y754" s="85" t="n"/>
      <c r="Z754" s="85" t="n"/>
    </row>
    <row r="755" ht="15.75" customHeight="1" s="86">
      <c r="T755" s="85" t="n"/>
      <c r="U755" s="85" t="n"/>
      <c r="V755" s="85" t="n"/>
      <c r="W755" s="85" t="n"/>
      <c r="X755" s="85" t="n"/>
      <c r="Y755" s="85" t="n"/>
      <c r="Z755" s="85" t="n"/>
    </row>
    <row r="756" ht="15.75" customHeight="1" s="86">
      <c r="T756" s="85" t="n"/>
      <c r="U756" s="85" t="n"/>
      <c r="V756" s="85" t="n"/>
      <c r="W756" s="85" t="n"/>
      <c r="X756" s="85" t="n"/>
      <c r="Y756" s="85" t="n"/>
      <c r="Z756" s="85" t="n"/>
    </row>
    <row r="757" ht="15.75" customHeight="1" s="86">
      <c r="T757" s="85" t="n"/>
      <c r="U757" s="85" t="n"/>
      <c r="V757" s="85" t="n"/>
      <c r="W757" s="85" t="n"/>
      <c r="X757" s="85" t="n"/>
      <c r="Y757" s="85" t="n"/>
      <c r="Z757" s="85" t="n"/>
    </row>
    <row r="758" ht="15.75" customHeight="1" s="86">
      <c r="T758" s="85" t="n"/>
      <c r="U758" s="85" t="n"/>
      <c r="V758" s="85" t="n"/>
      <c r="W758" s="85" t="n"/>
      <c r="X758" s="85" t="n"/>
      <c r="Y758" s="85" t="n"/>
      <c r="Z758" s="85" t="n"/>
    </row>
    <row r="759" ht="15.75" customHeight="1" s="86">
      <c r="T759" s="85" t="n"/>
      <c r="U759" s="85" t="n"/>
      <c r="V759" s="85" t="n"/>
      <c r="W759" s="85" t="n"/>
      <c r="X759" s="85" t="n"/>
      <c r="Y759" s="85" t="n"/>
      <c r="Z759" s="85" t="n"/>
    </row>
    <row r="760" ht="15.75" customHeight="1" s="86">
      <c r="T760" s="85" t="n"/>
      <c r="U760" s="85" t="n"/>
      <c r="V760" s="85" t="n"/>
      <c r="W760" s="85" t="n"/>
      <c r="X760" s="85" t="n"/>
      <c r="Y760" s="85" t="n"/>
      <c r="Z760" s="85" t="n"/>
    </row>
    <row r="761" ht="15.75" customHeight="1" s="86">
      <c r="T761" s="85" t="n"/>
      <c r="U761" s="85" t="n"/>
      <c r="V761" s="85" t="n"/>
      <c r="W761" s="85" t="n"/>
      <c r="X761" s="85" t="n"/>
      <c r="Y761" s="85" t="n"/>
      <c r="Z761" s="85" t="n"/>
    </row>
    <row r="762" ht="15.75" customHeight="1" s="86">
      <c r="T762" s="85" t="n"/>
      <c r="U762" s="85" t="n"/>
      <c r="V762" s="85" t="n"/>
      <c r="W762" s="85" t="n"/>
      <c r="X762" s="85" t="n"/>
      <c r="Y762" s="85" t="n"/>
      <c r="Z762" s="85" t="n"/>
    </row>
    <row r="763" ht="15.75" customHeight="1" s="86">
      <c r="T763" s="85" t="n"/>
      <c r="U763" s="85" t="n"/>
      <c r="V763" s="85" t="n"/>
      <c r="W763" s="85" t="n"/>
      <c r="X763" s="85" t="n"/>
      <c r="Y763" s="85" t="n"/>
      <c r="Z763" s="85" t="n"/>
    </row>
    <row r="764" ht="15.75" customHeight="1" s="86">
      <c r="T764" s="85" t="n"/>
      <c r="U764" s="85" t="n"/>
      <c r="V764" s="85" t="n"/>
      <c r="W764" s="85" t="n"/>
      <c r="X764" s="85" t="n"/>
      <c r="Y764" s="85" t="n"/>
      <c r="Z764" s="85" t="n"/>
    </row>
    <row r="765" ht="15.75" customHeight="1" s="86">
      <c r="T765" s="85" t="n"/>
      <c r="U765" s="85" t="n"/>
      <c r="V765" s="85" t="n"/>
      <c r="W765" s="85" t="n"/>
      <c r="X765" s="85" t="n"/>
      <c r="Y765" s="85" t="n"/>
      <c r="Z765" s="85" t="n"/>
    </row>
    <row r="766" ht="15.75" customHeight="1" s="86">
      <c r="T766" s="85" t="n"/>
      <c r="U766" s="85" t="n"/>
      <c r="V766" s="85" t="n"/>
      <c r="W766" s="85" t="n"/>
      <c r="X766" s="85" t="n"/>
      <c r="Y766" s="85" t="n"/>
      <c r="Z766" s="85" t="n"/>
    </row>
    <row r="767" ht="15.75" customHeight="1" s="86">
      <c r="T767" s="85" t="n"/>
      <c r="U767" s="85" t="n"/>
      <c r="V767" s="85" t="n"/>
      <c r="W767" s="85" t="n"/>
      <c r="X767" s="85" t="n"/>
      <c r="Y767" s="85" t="n"/>
      <c r="Z767" s="85" t="n"/>
    </row>
    <row r="768" ht="15.75" customHeight="1" s="86">
      <c r="T768" s="85" t="n"/>
      <c r="U768" s="85" t="n"/>
      <c r="V768" s="85" t="n"/>
      <c r="W768" s="85" t="n"/>
      <c r="X768" s="85" t="n"/>
      <c r="Y768" s="85" t="n"/>
      <c r="Z768" s="85" t="n"/>
    </row>
    <row r="769" ht="15.75" customHeight="1" s="86">
      <c r="T769" s="85" t="n"/>
      <c r="U769" s="85" t="n"/>
      <c r="V769" s="85" t="n"/>
      <c r="W769" s="85" t="n"/>
      <c r="X769" s="85" t="n"/>
      <c r="Y769" s="85" t="n"/>
      <c r="Z769" s="85" t="n"/>
    </row>
    <row r="770" ht="15.75" customHeight="1" s="86">
      <c r="T770" s="85" t="n"/>
      <c r="U770" s="85" t="n"/>
      <c r="V770" s="85" t="n"/>
      <c r="W770" s="85" t="n"/>
      <c r="X770" s="85" t="n"/>
      <c r="Y770" s="85" t="n"/>
      <c r="Z770" s="85" t="n"/>
    </row>
    <row r="771" ht="15.75" customHeight="1" s="86">
      <c r="T771" s="85" t="n"/>
      <c r="U771" s="85" t="n"/>
      <c r="V771" s="85" t="n"/>
      <c r="W771" s="85" t="n"/>
      <c r="X771" s="85" t="n"/>
      <c r="Y771" s="85" t="n"/>
      <c r="Z771" s="85" t="n"/>
    </row>
    <row r="772" ht="15.75" customHeight="1" s="86">
      <c r="T772" s="85" t="n"/>
      <c r="U772" s="85" t="n"/>
      <c r="V772" s="85" t="n"/>
      <c r="W772" s="85" t="n"/>
      <c r="X772" s="85" t="n"/>
      <c r="Y772" s="85" t="n"/>
      <c r="Z772" s="85" t="n"/>
    </row>
    <row r="773" ht="15.75" customHeight="1" s="86">
      <c r="T773" s="85" t="n"/>
      <c r="U773" s="85" t="n"/>
      <c r="V773" s="85" t="n"/>
      <c r="W773" s="85" t="n"/>
      <c r="X773" s="85" t="n"/>
      <c r="Y773" s="85" t="n"/>
      <c r="Z773" s="85" t="n"/>
    </row>
    <row r="774" ht="15.75" customHeight="1" s="86">
      <c r="T774" s="85" t="n"/>
      <c r="U774" s="85" t="n"/>
      <c r="V774" s="85" t="n"/>
      <c r="W774" s="85" t="n"/>
      <c r="X774" s="85" t="n"/>
      <c r="Y774" s="85" t="n"/>
      <c r="Z774" s="85" t="n"/>
    </row>
    <row r="775" ht="15.75" customHeight="1" s="86">
      <c r="T775" s="85" t="n"/>
      <c r="U775" s="85" t="n"/>
      <c r="V775" s="85" t="n"/>
      <c r="W775" s="85" t="n"/>
      <c r="X775" s="85" t="n"/>
      <c r="Y775" s="85" t="n"/>
      <c r="Z775" s="85" t="n"/>
    </row>
    <row r="776" ht="15.75" customHeight="1" s="86">
      <c r="T776" s="85" t="n"/>
      <c r="U776" s="85" t="n"/>
      <c r="V776" s="85" t="n"/>
      <c r="W776" s="85" t="n"/>
      <c r="X776" s="85" t="n"/>
      <c r="Y776" s="85" t="n"/>
      <c r="Z776" s="85" t="n"/>
    </row>
    <row r="777" ht="15.75" customHeight="1" s="86">
      <c r="T777" s="85" t="n"/>
      <c r="U777" s="85" t="n"/>
      <c r="V777" s="85" t="n"/>
      <c r="W777" s="85" t="n"/>
      <c r="X777" s="85" t="n"/>
      <c r="Y777" s="85" t="n"/>
      <c r="Z777" s="85" t="n"/>
    </row>
    <row r="778" ht="15.75" customHeight="1" s="86">
      <c r="T778" s="85" t="n"/>
      <c r="U778" s="85" t="n"/>
      <c r="V778" s="85" t="n"/>
      <c r="W778" s="85" t="n"/>
      <c r="X778" s="85" t="n"/>
      <c r="Y778" s="85" t="n"/>
      <c r="Z778" s="85" t="n"/>
    </row>
    <row r="779" ht="15.75" customHeight="1" s="86">
      <c r="T779" s="85" t="n"/>
      <c r="U779" s="85" t="n"/>
      <c r="V779" s="85" t="n"/>
      <c r="W779" s="85" t="n"/>
      <c r="X779" s="85" t="n"/>
      <c r="Y779" s="85" t="n"/>
      <c r="Z779" s="85" t="n"/>
    </row>
    <row r="780" ht="15.75" customHeight="1" s="86">
      <c r="T780" s="85" t="n"/>
      <c r="U780" s="85" t="n"/>
      <c r="V780" s="85" t="n"/>
      <c r="W780" s="85" t="n"/>
      <c r="X780" s="85" t="n"/>
      <c r="Y780" s="85" t="n"/>
      <c r="Z780" s="85" t="n"/>
    </row>
    <row r="781" ht="15.75" customHeight="1" s="86">
      <c r="T781" s="85" t="n"/>
      <c r="U781" s="85" t="n"/>
      <c r="V781" s="85" t="n"/>
      <c r="W781" s="85" t="n"/>
      <c r="X781" s="85" t="n"/>
      <c r="Y781" s="85" t="n"/>
      <c r="Z781" s="85" t="n"/>
    </row>
    <row r="782" ht="15.75" customHeight="1" s="86">
      <c r="T782" s="85" t="n"/>
      <c r="U782" s="85" t="n"/>
      <c r="V782" s="85" t="n"/>
      <c r="W782" s="85" t="n"/>
      <c r="X782" s="85" t="n"/>
      <c r="Y782" s="85" t="n"/>
      <c r="Z782" s="85" t="n"/>
    </row>
    <row r="783" ht="15.75" customHeight="1" s="86">
      <c r="T783" s="85" t="n"/>
      <c r="U783" s="85" t="n"/>
      <c r="V783" s="85" t="n"/>
      <c r="W783" s="85" t="n"/>
      <c r="X783" s="85" t="n"/>
      <c r="Y783" s="85" t="n"/>
      <c r="Z783" s="85" t="n"/>
    </row>
    <row r="784" ht="15.75" customHeight="1" s="86">
      <c r="T784" s="85" t="n"/>
      <c r="U784" s="85" t="n"/>
      <c r="V784" s="85" t="n"/>
      <c r="W784" s="85" t="n"/>
      <c r="X784" s="85" t="n"/>
      <c r="Y784" s="85" t="n"/>
      <c r="Z784" s="85" t="n"/>
    </row>
    <row r="785" ht="15.75" customHeight="1" s="86">
      <c r="T785" s="85" t="n"/>
      <c r="U785" s="85" t="n"/>
      <c r="V785" s="85" t="n"/>
      <c r="W785" s="85" t="n"/>
      <c r="X785" s="85" t="n"/>
      <c r="Y785" s="85" t="n"/>
      <c r="Z785" s="85" t="n"/>
    </row>
    <row r="786" ht="15.75" customHeight="1" s="86">
      <c r="T786" s="85" t="n"/>
      <c r="U786" s="85" t="n"/>
      <c r="V786" s="85" t="n"/>
      <c r="W786" s="85" t="n"/>
      <c r="X786" s="85" t="n"/>
      <c r="Y786" s="85" t="n"/>
      <c r="Z786" s="85" t="n"/>
    </row>
    <row r="787" ht="15.75" customHeight="1" s="86">
      <c r="T787" s="85" t="n"/>
      <c r="U787" s="85" t="n"/>
      <c r="V787" s="85" t="n"/>
      <c r="W787" s="85" t="n"/>
      <c r="X787" s="85" t="n"/>
      <c r="Y787" s="85" t="n"/>
      <c r="Z787" s="85" t="n"/>
    </row>
    <row r="788" ht="15.75" customHeight="1" s="86">
      <c r="T788" s="85" t="n"/>
      <c r="U788" s="85" t="n"/>
      <c r="V788" s="85" t="n"/>
      <c r="W788" s="85" t="n"/>
      <c r="X788" s="85" t="n"/>
      <c r="Y788" s="85" t="n"/>
      <c r="Z788" s="85" t="n"/>
    </row>
    <row r="789" ht="15.75" customHeight="1" s="86">
      <c r="T789" s="85" t="n"/>
      <c r="U789" s="85" t="n"/>
      <c r="V789" s="85" t="n"/>
      <c r="W789" s="85" t="n"/>
      <c r="X789" s="85" t="n"/>
      <c r="Y789" s="85" t="n"/>
      <c r="Z789" s="85" t="n"/>
    </row>
    <row r="790" ht="15.75" customHeight="1" s="86">
      <c r="T790" s="85" t="n"/>
      <c r="U790" s="85" t="n"/>
      <c r="V790" s="85" t="n"/>
      <c r="W790" s="85" t="n"/>
      <c r="X790" s="85" t="n"/>
      <c r="Y790" s="85" t="n"/>
      <c r="Z790" s="85" t="n"/>
    </row>
    <row r="791" ht="15.75" customHeight="1" s="86">
      <c r="T791" s="85" t="n"/>
      <c r="U791" s="85" t="n"/>
      <c r="V791" s="85" t="n"/>
      <c r="W791" s="85" t="n"/>
      <c r="X791" s="85" t="n"/>
      <c r="Y791" s="85" t="n"/>
      <c r="Z791" s="85" t="n"/>
    </row>
    <row r="792" ht="15.75" customHeight="1" s="86">
      <c r="T792" s="85" t="n"/>
      <c r="U792" s="85" t="n"/>
      <c r="V792" s="85" t="n"/>
      <c r="W792" s="85" t="n"/>
      <c r="X792" s="85" t="n"/>
      <c r="Y792" s="85" t="n"/>
      <c r="Z792" s="85" t="n"/>
    </row>
    <row r="793" ht="15.75" customHeight="1" s="86">
      <c r="T793" s="85" t="n"/>
      <c r="U793" s="85" t="n"/>
      <c r="V793" s="85" t="n"/>
      <c r="W793" s="85" t="n"/>
      <c r="X793" s="85" t="n"/>
      <c r="Y793" s="85" t="n"/>
      <c r="Z793" s="85" t="n"/>
    </row>
    <row r="794" ht="15.75" customHeight="1" s="86">
      <c r="T794" s="85" t="n"/>
      <c r="U794" s="85" t="n"/>
      <c r="V794" s="85" t="n"/>
      <c r="W794" s="85" t="n"/>
      <c r="X794" s="85" t="n"/>
      <c r="Y794" s="85" t="n"/>
      <c r="Z794" s="85" t="n"/>
    </row>
    <row r="795" ht="15.75" customHeight="1" s="86">
      <c r="T795" s="85" t="n"/>
      <c r="U795" s="85" t="n"/>
      <c r="V795" s="85" t="n"/>
      <c r="W795" s="85" t="n"/>
      <c r="X795" s="85" t="n"/>
      <c r="Y795" s="85" t="n"/>
      <c r="Z795" s="85" t="n"/>
    </row>
    <row r="796" ht="15.75" customHeight="1" s="86">
      <c r="T796" s="85" t="n"/>
      <c r="U796" s="85" t="n"/>
      <c r="V796" s="85" t="n"/>
      <c r="W796" s="85" t="n"/>
      <c r="X796" s="85" t="n"/>
      <c r="Y796" s="85" t="n"/>
      <c r="Z796" s="85" t="n"/>
    </row>
    <row r="797" ht="15.75" customHeight="1" s="86">
      <c r="T797" s="85" t="n"/>
      <c r="U797" s="85" t="n"/>
      <c r="V797" s="85" t="n"/>
      <c r="W797" s="85" t="n"/>
      <c r="X797" s="85" t="n"/>
      <c r="Y797" s="85" t="n"/>
      <c r="Z797" s="85" t="n"/>
    </row>
    <row r="798" ht="15.75" customHeight="1" s="86">
      <c r="T798" s="85" t="n"/>
      <c r="U798" s="85" t="n"/>
      <c r="V798" s="85" t="n"/>
      <c r="W798" s="85" t="n"/>
      <c r="X798" s="85" t="n"/>
      <c r="Y798" s="85" t="n"/>
      <c r="Z798" s="85" t="n"/>
    </row>
    <row r="799" ht="15.75" customHeight="1" s="86">
      <c r="T799" s="85" t="n"/>
      <c r="U799" s="85" t="n"/>
      <c r="V799" s="85" t="n"/>
      <c r="W799" s="85" t="n"/>
      <c r="X799" s="85" t="n"/>
      <c r="Y799" s="85" t="n"/>
      <c r="Z799" s="85" t="n"/>
    </row>
    <row r="800" ht="15.75" customHeight="1" s="86">
      <c r="T800" s="85" t="n"/>
      <c r="U800" s="85" t="n"/>
      <c r="V800" s="85" t="n"/>
      <c r="W800" s="85" t="n"/>
      <c r="X800" s="85" t="n"/>
      <c r="Y800" s="85" t="n"/>
      <c r="Z800" s="85" t="n"/>
    </row>
    <row r="801" ht="15.75" customHeight="1" s="86">
      <c r="T801" s="85" t="n"/>
      <c r="U801" s="85" t="n"/>
      <c r="V801" s="85" t="n"/>
      <c r="W801" s="85" t="n"/>
      <c r="X801" s="85" t="n"/>
      <c r="Y801" s="85" t="n"/>
      <c r="Z801" s="85" t="n"/>
    </row>
    <row r="802" ht="15.75" customHeight="1" s="86">
      <c r="T802" s="85" t="n"/>
      <c r="U802" s="85" t="n"/>
      <c r="V802" s="85" t="n"/>
      <c r="W802" s="85" t="n"/>
      <c r="X802" s="85" t="n"/>
      <c r="Y802" s="85" t="n"/>
      <c r="Z802" s="85" t="n"/>
    </row>
    <row r="803" ht="15.75" customHeight="1" s="86">
      <c r="T803" s="85" t="n"/>
      <c r="U803" s="85" t="n"/>
      <c r="V803" s="85" t="n"/>
      <c r="W803" s="85" t="n"/>
      <c r="X803" s="85" t="n"/>
      <c r="Y803" s="85" t="n"/>
      <c r="Z803" s="85" t="n"/>
    </row>
    <row r="804" ht="15.75" customHeight="1" s="86">
      <c r="T804" s="85" t="n"/>
      <c r="U804" s="85" t="n"/>
      <c r="V804" s="85" t="n"/>
      <c r="W804" s="85" t="n"/>
      <c r="X804" s="85" t="n"/>
      <c r="Y804" s="85" t="n"/>
      <c r="Z804" s="85" t="n"/>
    </row>
    <row r="805" ht="15.75" customHeight="1" s="86">
      <c r="T805" s="85" t="n"/>
      <c r="U805" s="85" t="n"/>
      <c r="V805" s="85" t="n"/>
      <c r="W805" s="85" t="n"/>
      <c r="X805" s="85" t="n"/>
      <c r="Y805" s="85" t="n"/>
      <c r="Z805" s="85" t="n"/>
    </row>
    <row r="806" ht="15.75" customHeight="1" s="86">
      <c r="T806" s="85" t="n"/>
      <c r="U806" s="85" t="n"/>
      <c r="V806" s="85" t="n"/>
      <c r="W806" s="85" t="n"/>
      <c r="X806" s="85" t="n"/>
      <c r="Y806" s="85" t="n"/>
      <c r="Z806" s="85" t="n"/>
    </row>
    <row r="807" ht="15.75" customHeight="1" s="86">
      <c r="T807" s="85" t="n"/>
      <c r="U807" s="85" t="n"/>
      <c r="V807" s="85" t="n"/>
      <c r="W807" s="85" t="n"/>
      <c r="X807" s="85" t="n"/>
      <c r="Y807" s="85" t="n"/>
      <c r="Z807" s="85" t="n"/>
    </row>
    <row r="808" ht="15.75" customHeight="1" s="86">
      <c r="T808" s="85" t="n"/>
      <c r="U808" s="85" t="n"/>
      <c r="V808" s="85" t="n"/>
      <c r="W808" s="85" t="n"/>
      <c r="X808" s="85" t="n"/>
      <c r="Y808" s="85" t="n"/>
      <c r="Z808" s="85" t="n"/>
    </row>
    <row r="809" ht="15.75" customHeight="1" s="86">
      <c r="T809" s="85" t="n"/>
      <c r="U809" s="85" t="n"/>
      <c r="V809" s="85" t="n"/>
      <c r="W809" s="85" t="n"/>
      <c r="X809" s="85" t="n"/>
      <c r="Y809" s="85" t="n"/>
      <c r="Z809" s="85" t="n"/>
    </row>
    <row r="810" ht="15.75" customHeight="1" s="86">
      <c r="T810" s="85" t="n"/>
      <c r="U810" s="85" t="n"/>
      <c r="V810" s="85" t="n"/>
      <c r="W810" s="85" t="n"/>
      <c r="X810" s="85" t="n"/>
      <c r="Y810" s="85" t="n"/>
      <c r="Z810" s="85" t="n"/>
    </row>
    <row r="811" ht="15.75" customHeight="1" s="86">
      <c r="T811" s="85" t="n"/>
      <c r="U811" s="85" t="n"/>
      <c r="V811" s="85" t="n"/>
      <c r="W811" s="85" t="n"/>
      <c r="X811" s="85" t="n"/>
      <c r="Y811" s="85" t="n"/>
      <c r="Z811" s="85" t="n"/>
    </row>
    <row r="812" ht="15.75" customHeight="1" s="86">
      <c r="T812" s="85" t="n"/>
      <c r="U812" s="85" t="n"/>
      <c r="V812" s="85" t="n"/>
      <c r="W812" s="85" t="n"/>
      <c r="X812" s="85" t="n"/>
      <c r="Y812" s="85" t="n"/>
      <c r="Z812" s="85" t="n"/>
    </row>
    <row r="813" ht="15.75" customHeight="1" s="86">
      <c r="T813" s="85" t="n"/>
      <c r="U813" s="85" t="n"/>
      <c r="V813" s="85" t="n"/>
      <c r="W813" s="85" t="n"/>
      <c r="X813" s="85" t="n"/>
      <c r="Y813" s="85" t="n"/>
      <c r="Z813" s="85" t="n"/>
    </row>
    <row r="814" ht="15.75" customHeight="1" s="86">
      <c r="T814" s="85" t="n"/>
      <c r="U814" s="85" t="n"/>
      <c r="V814" s="85" t="n"/>
      <c r="W814" s="85" t="n"/>
      <c r="X814" s="85" t="n"/>
      <c r="Y814" s="85" t="n"/>
      <c r="Z814" s="85" t="n"/>
    </row>
    <row r="815" ht="15.75" customHeight="1" s="86">
      <c r="T815" s="85" t="n"/>
      <c r="U815" s="85" t="n"/>
      <c r="V815" s="85" t="n"/>
      <c r="W815" s="85" t="n"/>
      <c r="X815" s="85" t="n"/>
      <c r="Y815" s="85" t="n"/>
      <c r="Z815" s="85" t="n"/>
    </row>
    <row r="816" ht="15.75" customHeight="1" s="86">
      <c r="T816" s="85" t="n"/>
      <c r="U816" s="85" t="n"/>
      <c r="V816" s="85" t="n"/>
      <c r="W816" s="85" t="n"/>
      <c r="X816" s="85" t="n"/>
      <c r="Y816" s="85" t="n"/>
      <c r="Z816" s="85" t="n"/>
    </row>
    <row r="817" ht="15.75" customHeight="1" s="86">
      <c r="T817" s="85" t="n"/>
      <c r="U817" s="85" t="n"/>
      <c r="V817" s="85" t="n"/>
      <c r="W817" s="85" t="n"/>
      <c r="X817" s="85" t="n"/>
      <c r="Y817" s="85" t="n"/>
      <c r="Z817" s="85" t="n"/>
    </row>
    <row r="818" ht="15.75" customHeight="1" s="86">
      <c r="T818" s="85" t="n"/>
      <c r="U818" s="85" t="n"/>
      <c r="V818" s="85" t="n"/>
      <c r="W818" s="85" t="n"/>
      <c r="X818" s="85" t="n"/>
      <c r="Y818" s="85" t="n"/>
      <c r="Z818" s="85" t="n"/>
    </row>
    <row r="819" ht="15.75" customHeight="1" s="86">
      <c r="T819" s="85" t="n"/>
      <c r="U819" s="85" t="n"/>
      <c r="V819" s="85" t="n"/>
      <c r="W819" s="85" t="n"/>
      <c r="X819" s="85" t="n"/>
      <c r="Y819" s="85" t="n"/>
      <c r="Z819" s="85" t="n"/>
    </row>
    <row r="820" ht="15.75" customHeight="1" s="86">
      <c r="T820" s="85" t="n"/>
      <c r="U820" s="85" t="n"/>
      <c r="V820" s="85" t="n"/>
      <c r="W820" s="85" t="n"/>
      <c r="X820" s="85" t="n"/>
      <c r="Y820" s="85" t="n"/>
      <c r="Z820" s="85" t="n"/>
    </row>
    <row r="821" ht="15.75" customHeight="1" s="86">
      <c r="T821" s="85" t="n"/>
      <c r="U821" s="85" t="n"/>
      <c r="V821" s="85" t="n"/>
      <c r="W821" s="85" t="n"/>
      <c r="X821" s="85" t="n"/>
      <c r="Y821" s="85" t="n"/>
      <c r="Z821" s="85" t="n"/>
    </row>
    <row r="822" ht="15.75" customHeight="1" s="86">
      <c r="T822" s="85" t="n"/>
      <c r="U822" s="85" t="n"/>
      <c r="V822" s="85" t="n"/>
      <c r="W822" s="85" t="n"/>
      <c r="X822" s="85" t="n"/>
      <c r="Y822" s="85" t="n"/>
      <c r="Z822" s="85" t="n"/>
    </row>
    <row r="823" ht="15.75" customHeight="1" s="86">
      <c r="T823" s="85" t="n"/>
      <c r="U823" s="85" t="n"/>
      <c r="V823" s="85" t="n"/>
      <c r="W823" s="85" t="n"/>
      <c r="X823" s="85" t="n"/>
      <c r="Y823" s="85" t="n"/>
      <c r="Z823" s="85" t="n"/>
    </row>
    <row r="824" ht="15.75" customHeight="1" s="86">
      <c r="T824" s="85" t="n"/>
      <c r="U824" s="85" t="n"/>
      <c r="V824" s="85" t="n"/>
      <c r="W824" s="85" t="n"/>
      <c r="X824" s="85" t="n"/>
      <c r="Y824" s="85" t="n"/>
      <c r="Z824" s="85" t="n"/>
    </row>
    <row r="825" ht="15.75" customHeight="1" s="86">
      <c r="T825" s="85" t="n"/>
      <c r="U825" s="85" t="n"/>
      <c r="V825" s="85" t="n"/>
      <c r="W825" s="85" t="n"/>
      <c r="X825" s="85" t="n"/>
      <c r="Y825" s="85" t="n"/>
      <c r="Z825" s="85" t="n"/>
    </row>
    <row r="826" ht="15.75" customHeight="1" s="86">
      <c r="T826" s="85" t="n"/>
      <c r="U826" s="85" t="n"/>
      <c r="V826" s="85" t="n"/>
      <c r="W826" s="85" t="n"/>
      <c r="X826" s="85" t="n"/>
      <c r="Y826" s="85" t="n"/>
      <c r="Z826" s="85" t="n"/>
    </row>
    <row r="827" ht="15.75" customHeight="1" s="86">
      <c r="T827" s="85" t="n"/>
      <c r="U827" s="85" t="n"/>
      <c r="V827" s="85" t="n"/>
      <c r="W827" s="85" t="n"/>
      <c r="X827" s="85" t="n"/>
      <c r="Y827" s="85" t="n"/>
      <c r="Z827" s="85" t="n"/>
    </row>
    <row r="828" ht="15.75" customHeight="1" s="86">
      <c r="T828" s="85" t="n"/>
      <c r="U828" s="85" t="n"/>
      <c r="V828" s="85" t="n"/>
      <c r="W828" s="85" t="n"/>
      <c r="X828" s="85" t="n"/>
      <c r="Y828" s="85" t="n"/>
      <c r="Z828" s="85" t="n"/>
    </row>
    <row r="829" ht="15.75" customHeight="1" s="86">
      <c r="T829" s="85" t="n"/>
      <c r="U829" s="85" t="n"/>
      <c r="V829" s="85" t="n"/>
      <c r="W829" s="85" t="n"/>
      <c r="X829" s="85" t="n"/>
      <c r="Y829" s="85" t="n"/>
      <c r="Z829" s="85" t="n"/>
    </row>
    <row r="830" ht="15.75" customHeight="1" s="86">
      <c r="T830" s="85" t="n"/>
      <c r="U830" s="85" t="n"/>
      <c r="V830" s="85" t="n"/>
      <c r="W830" s="85" t="n"/>
      <c r="X830" s="85" t="n"/>
      <c r="Y830" s="85" t="n"/>
      <c r="Z830" s="85" t="n"/>
    </row>
    <row r="831" ht="15.75" customHeight="1" s="86">
      <c r="T831" s="85" t="n"/>
      <c r="U831" s="85" t="n"/>
      <c r="V831" s="85" t="n"/>
      <c r="W831" s="85" t="n"/>
      <c r="X831" s="85" t="n"/>
      <c r="Y831" s="85" t="n"/>
      <c r="Z831" s="85" t="n"/>
    </row>
    <row r="832" ht="15.75" customHeight="1" s="86">
      <c r="T832" s="85" t="n"/>
      <c r="U832" s="85" t="n"/>
      <c r="V832" s="85" t="n"/>
      <c r="W832" s="85" t="n"/>
      <c r="X832" s="85" t="n"/>
      <c r="Y832" s="85" t="n"/>
      <c r="Z832" s="85" t="n"/>
    </row>
    <row r="833" ht="15.75" customHeight="1" s="86">
      <c r="T833" s="85" t="n"/>
      <c r="U833" s="85" t="n"/>
      <c r="V833" s="85" t="n"/>
      <c r="W833" s="85" t="n"/>
      <c r="X833" s="85" t="n"/>
      <c r="Y833" s="85" t="n"/>
      <c r="Z833" s="85" t="n"/>
    </row>
    <row r="834" ht="15.75" customHeight="1" s="86">
      <c r="T834" s="85" t="n"/>
      <c r="U834" s="85" t="n"/>
      <c r="V834" s="85" t="n"/>
      <c r="W834" s="85" t="n"/>
      <c r="X834" s="85" t="n"/>
      <c r="Y834" s="85" t="n"/>
      <c r="Z834" s="85" t="n"/>
    </row>
    <row r="835" ht="15.75" customHeight="1" s="86">
      <c r="T835" s="85" t="n"/>
      <c r="U835" s="85" t="n"/>
      <c r="V835" s="85" t="n"/>
      <c r="W835" s="85" t="n"/>
      <c r="X835" s="85" t="n"/>
      <c r="Y835" s="85" t="n"/>
      <c r="Z835" s="85" t="n"/>
    </row>
    <row r="836" ht="15.75" customHeight="1" s="86">
      <c r="T836" s="85" t="n"/>
      <c r="U836" s="85" t="n"/>
      <c r="V836" s="85" t="n"/>
      <c r="W836" s="85" t="n"/>
      <c r="X836" s="85" t="n"/>
      <c r="Y836" s="85" t="n"/>
      <c r="Z836" s="85" t="n"/>
    </row>
    <row r="837" ht="15.75" customHeight="1" s="86">
      <c r="T837" s="85" t="n"/>
      <c r="U837" s="85" t="n"/>
      <c r="V837" s="85" t="n"/>
      <c r="W837" s="85" t="n"/>
      <c r="X837" s="85" t="n"/>
      <c r="Y837" s="85" t="n"/>
      <c r="Z837" s="85" t="n"/>
    </row>
    <row r="838" ht="15.75" customHeight="1" s="86">
      <c r="T838" s="85" t="n"/>
      <c r="U838" s="85" t="n"/>
      <c r="V838" s="85" t="n"/>
      <c r="W838" s="85" t="n"/>
      <c r="X838" s="85" t="n"/>
      <c r="Y838" s="85" t="n"/>
      <c r="Z838" s="85" t="n"/>
    </row>
    <row r="839" ht="15.75" customHeight="1" s="86">
      <c r="T839" s="85" t="n"/>
      <c r="U839" s="85" t="n"/>
      <c r="V839" s="85" t="n"/>
      <c r="W839" s="85" t="n"/>
      <c r="X839" s="85" t="n"/>
      <c r="Y839" s="85" t="n"/>
      <c r="Z839" s="85" t="n"/>
    </row>
    <row r="840" ht="15.75" customHeight="1" s="86">
      <c r="T840" s="85" t="n"/>
      <c r="U840" s="85" t="n"/>
      <c r="V840" s="85" t="n"/>
      <c r="W840" s="85" t="n"/>
      <c r="X840" s="85" t="n"/>
      <c r="Y840" s="85" t="n"/>
      <c r="Z840" s="85" t="n"/>
    </row>
    <row r="841" ht="15.75" customHeight="1" s="86">
      <c r="T841" s="85" t="n"/>
      <c r="U841" s="85" t="n"/>
      <c r="V841" s="85" t="n"/>
      <c r="W841" s="85" t="n"/>
      <c r="X841" s="85" t="n"/>
      <c r="Y841" s="85" t="n"/>
      <c r="Z841" s="85" t="n"/>
    </row>
    <row r="842" ht="15.75" customHeight="1" s="86">
      <c r="T842" s="85" t="n"/>
      <c r="U842" s="85" t="n"/>
      <c r="V842" s="85" t="n"/>
      <c r="W842" s="85" t="n"/>
      <c r="X842" s="85" t="n"/>
      <c r="Y842" s="85" t="n"/>
      <c r="Z842" s="85" t="n"/>
    </row>
    <row r="843" ht="15.75" customHeight="1" s="86">
      <c r="T843" s="85" t="n"/>
      <c r="U843" s="85" t="n"/>
      <c r="V843" s="85" t="n"/>
      <c r="W843" s="85" t="n"/>
      <c r="X843" s="85" t="n"/>
      <c r="Y843" s="85" t="n"/>
      <c r="Z843" s="85" t="n"/>
    </row>
    <row r="844" ht="15.75" customHeight="1" s="86">
      <c r="T844" s="85" t="n"/>
      <c r="U844" s="85" t="n"/>
      <c r="V844" s="85" t="n"/>
      <c r="W844" s="85" t="n"/>
      <c r="X844" s="85" t="n"/>
      <c r="Y844" s="85" t="n"/>
      <c r="Z844" s="85" t="n"/>
    </row>
    <row r="845" ht="15.75" customHeight="1" s="86">
      <c r="T845" s="85" t="n"/>
      <c r="U845" s="85" t="n"/>
      <c r="V845" s="85" t="n"/>
      <c r="W845" s="85" t="n"/>
      <c r="X845" s="85" t="n"/>
      <c r="Y845" s="85" t="n"/>
      <c r="Z845" s="85" t="n"/>
    </row>
    <row r="846" ht="15.75" customHeight="1" s="86">
      <c r="T846" s="85" t="n"/>
      <c r="U846" s="85" t="n"/>
      <c r="V846" s="85" t="n"/>
      <c r="W846" s="85" t="n"/>
      <c r="X846" s="85" t="n"/>
      <c r="Y846" s="85" t="n"/>
      <c r="Z846" s="85" t="n"/>
    </row>
    <row r="847" ht="15.75" customHeight="1" s="86">
      <c r="T847" s="85" t="n"/>
      <c r="U847" s="85" t="n"/>
      <c r="V847" s="85" t="n"/>
      <c r="W847" s="85" t="n"/>
      <c r="X847" s="85" t="n"/>
      <c r="Y847" s="85" t="n"/>
      <c r="Z847" s="85" t="n"/>
    </row>
    <row r="848" ht="15.75" customHeight="1" s="86">
      <c r="T848" s="85" t="n"/>
      <c r="U848" s="85" t="n"/>
      <c r="V848" s="85" t="n"/>
      <c r="W848" s="85" t="n"/>
      <c r="X848" s="85" t="n"/>
      <c r="Y848" s="85" t="n"/>
      <c r="Z848" s="85" t="n"/>
    </row>
    <row r="849" ht="15.75" customHeight="1" s="86">
      <c r="T849" s="85" t="n"/>
      <c r="U849" s="85" t="n"/>
      <c r="V849" s="85" t="n"/>
      <c r="W849" s="85" t="n"/>
      <c r="X849" s="85" t="n"/>
      <c r="Y849" s="85" t="n"/>
      <c r="Z849" s="85" t="n"/>
    </row>
    <row r="850" ht="15.75" customHeight="1" s="86">
      <c r="T850" s="85" t="n"/>
      <c r="U850" s="85" t="n"/>
      <c r="V850" s="85" t="n"/>
      <c r="W850" s="85" t="n"/>
      <c r="X850" s="85" t="n"/>
      <c r="Y850" s="85" t="n"/>
      <c r="Z850" s="85" t="n"/>
    </row>
    <row r="851" ht="15.75" customHeight="1" s="86">
      <c r="T851" s="85" t="n"/>
      <c r="U851" s="85" t="n"/>
      <c r="V851" s="85" t="n"/>
      <c r="W851" s="85" t="n"/>
      <c r="X851" s="85" t="n"/>
      <c r="Y851" s="85" t="n"/>
      <c r="Z851" s="85" t="n"/>
    </row>
    <row r="852" ht="15.75" customHeight="1" s="86">
      <c r="T852" s="85" t="n"/>
      <c r="U852" s="85" t="n"/>
      <c r="V852" s="85" t="n"/>
      <c r="W852" s="85" t="n"/>
      <c r="X852" s="85" t="n"/>
      <c r="Y852" s="85" t="n"/>
      <c r="Z852" s="85" t="n"/>
    </row>
    <row r="853" ht="15.75" customHeight="1" s="86">
      <c r="T853" s="85" t="n"/>
      <c r="U853" s="85" t="n"/>
      <c r="V853" s="85" t="n"/>
      <c r="W853" s="85" t="n"/>
      <c r="X853" s="85" t="n"/>
      <c r="Y853" s="85" t="n"/>
      <c r="Z853" s="85" t="n"/>
    </row>
    <row r="854" ht="15.75" customHeight="1" s="86">
      <c r="T854" s="85" t="n"/>
      <c r="U854" s="85" t="n"/>
      <c r="V854" s="85" t="n"/>
      <c r="W854" s="85" t="n"/>
      <c r="X854" s="85" t="n"/>
      <c r="Y854" s="85" t="n"/>
      <c r="Z854" s="85" t="n"/>
    </row>
    <row r="855" ht="15.75" customHeight="1" s="86">
      <c r="T855" s="85" t="n"/>
      <c r="U855" s="85" t="n"/>
      <c r="V855" s="85" t="n"/>
      <c r="W855" s="85" t="n"/>
      <c r="X855" s="85" t="n"/>
      <c r="Y855" s="85" t="n"/>
      <c r="Z855" s="85" t="n"/>
    </row>
    <row r="856" ht="15.75" customHeight="1" s="86">
      <c r="T856" s="85" t="n"/>
      <c r="U856" s="85" t="n"/>
      <c r="V856" s="85" t="n"/>
      <c r="W856" s="85" t="n"/>
      <c r="X856" s="85" t="n"/>
      <c r="Y856" s="85" t="n"/>
      <c r="Z856" s="85" t="n"/>
    </row>
    <row r="857" ht="15.75" customHeight="1" s="86">
      <c r="T857" s="85" t="n"/>
      <c r="U857" s="85" t="n"/>
      <c r="V857" s="85" t="n"/>
      <c r="W857" s="85" t="n"/>
      <c r="X857" s="85" t="n"/>
      <c r="Y857" s="85" t="n"/>
      <c r="Z857" s="85" t="n"/>
    </row>
    <row r="858" ht="15.75" customHeight="1" s="86">
      <c r="T858" s="85" t="n"/>
      <c r="U858" s="85" t="n"/>
      <c r="V858" s="85" t="n"/>
      <c r="W858" s="85" t="n"/>
      <c r="X858" s="85" t="n"/>
      <c r="Y858" s="85" t="n"/>
      <c r="Z858" s="85" t="n"/>
    </row>
    <row r="859" ht="15.75" customHeight="1" s="86">
      <c r="T859" s="85" t="n"/>
      <c r="U859" s="85" t="n"/>
      <c r="V859" s="85" t="n"/>
      <c r="W859" s="85" t="n"/>
      <c r="X859" s="85" t="n"/>
      <c r="Y859" s="85" t="n"/>
      <c r="Z859" s="85" t="n"/>
    </row>
    <row r="860" ht="15.75" customHeight="1" s="86">
      <c r="T860" s="85" t="n"/>
      <c r="U860" s="85" t="n"/>
      <c r="V860" s="85" t="n"/>
      <c r="W860" s="85" t="n"/>
      <c r="X860" s="85" t="n"/>
      <c r="Y860" s="85" t="n"/>
      <c r="Z860" s="85" t="n"/>
    </row>
    <row r="861" ht="15.75" customHeight="1" s="86">
      <c r="T861" s="85" t="n"/>
      <c r="U861" s="85" t="n"/>
      <c r="V861" s="85" t="n"/>
      <c r="W861" s="85" t="n"/>
      <c r="X861" s="85" t="n"/>
      <c r="Y861" s="85" t="n"/>
      <c r="Z861" s="85" t="n"/>
    </row>
    <row r="862" ht="15.75" customHeight="1" s="86">
      <c r="T862" s="85" t="n"/>
      <c r="U862" s="85" t="n"/>
      <c r="V862" s="85" t="n"/>
      <c r="W862" s="85" t="n"/>
      <c r="X862" s="85" t="n"/>
      <c r="Y862" s="85" t="n"/>
      <c r="Z862" s="85" t="n"/>
    </row>
    <row r="863" ht="15.75" customHeight="1" s="86">
      <c r="T863" s="85" t="n"/>
      <c r="U863" s="85" t="n"/>
      <c r="V863" s="85" t="n"/>
      <c r="W863" s="85" t="n"/>
      <c r="X863" s="85" t="n"/>
      <c r="Y863" s="85" t="n"/>
      <c r="Z863" s="85" t="n"/>
    </row>
    <row r="864" ht="15.75" customHeight="1" s="86">
      <c r="T864" s="85" t="n"/>
      <c r="U864" s="85" t="n"/>
      <c r="V864" s="85" t="n"/>
      <c r="W864" s="85" t="n"/>
      <c r="X864" s="85" t="n"/>
      <c r="Y864" s="85" t="n"/>
      <c r="Z864" s="85" t="n"/>
    </row>
    <row r="865" ht="15.75" customHeight="1" s="86">
      <c r="T865" s="85" t="n"/>
      <c r="U865" s="85" t="n"/>
      <c r="V865" s="85" t="n"/>
      <c r="W865" s="85" t="n"/>
      <c r="X865" s="85" t="n"/>
      <c r="Y865" s="85" t="n"/>
      <c r="Z865" s="85" t="n"/>
    </row>
    <row r="866" ht="15.75" customHeight="1" s="86">
      <c r="T866" s="85" t="n"/>
      <c r="U866" s="85" t="n"/>
      <c r="V866" s="85" t="n"/>
      <c r="W866" s="85" t="n"/>
      <c r="X866" s="85" t="n"/>
      <c r="Y866" s="85" t="n"/>
      <c r="Z866" s="85" t="n"/>
    </row>
    <row r="867" ht="15.75" customHeight="1" s="86">
      <c r="T867" s="85" t="n"/>
      <c r="U867" s="85" t="n"/>
      <c r="V867" s="85" t="n"/>
      <c r="W867" s="85" t="n"/>
      <c r="X867" s="85" t="n"/>
      <c r="Y867" s="85" t="n"/>
      <c r="Z867" s="85" t="n"/>
    </row>
    <row r="868" ht="15.75" customHeight="1" s="86">
      <c r="T868" s="85" t="n"/>
      <c r="U868" s="85" t="n"/>
      <c r="V868" s="85" t="n"/>
      <c r="W868" s="85" t="n"/>
      <c r="X868" s="85" t="n"/>
      <c r="Y868" s="85" t="n"/>
      <c r="Z868" s="85" t="n"/>
    </row>
    <row r="869" ht="15.75" customHeight="1" s="86">
      <c r="T869" s="85" t="n"/>
      <c r="U869" s="85" t="n"/>
      <c r="V869" s="85" t="n"/>
      <c r="W869" s="85" t="n"/>
      <c r="X869" s="85" t="n"/>
      <c r="Y869" s="85" t="n"/>
      <c r="Z869" s="85" t="n"/>
    </row>
    <row r="870" ht="15.75" customHeight="1" s="86">
      <c r="T870" s="85" t="n"/>
      <c r="U870" s="85" t="n"/>
      <c r="V870" s="85" t="n"/>
      <c r="W870" s="85" t="n"/>
      <c r="X870" s="85" t="n"/>
      <c r="Y870" s="85" t="n"/>
      <c r="Z870" s="85" t="n"/>
    </row>
    <row r="871" ht="15.75" customHeight="1" s="86">
      <c r="T871" s="85" t="n"/>
      <c r="U871" s="85" t="n"/>
      <c r="V871" s="85" t="n"/>
      <c r="W871" s="85" t="n"/>
      <c r="X871" s="85" t="n"/>
      <c r="Y871" s="85" t="n"/>
      <c r="Z871" s="85" t="n"/>
    </row>
    <row r="872" ht="15.75" customHeight="1" s="86">
      <c r="T872" s="85" t="n"/>
      <c r="U872" s="85" t="n"/>
      <c r="V872" s="85" t="n"/>
      <c r="W872" s="85" t="n"/>
      <c r="X872" s="85" t="n"/>
      <c r="Y872" s="85" t="n"/>
      <c r="Z872" s="85" t="n"/>
    </row>
    <row r="873" ht="15.75" customHeight="1" s="86">
      <c r="T873" s="85" t="n"/>
      <c r="U873" s="85" t="n"/>
      <c r="V873" s="85" t="n"/>
      <c r="W873" s="85" t="n"/>
      <c r="X873" s="85" t="n"/>
      <c r="Y873" s="85" t="n"/>
      <c r="Z873" s="85" t="n"/>
    </row>
    <row r="874" ht="15.75" customHeight="1" s="86">
      <c r="T874" s="85" t="n"/>
      <c r="U874" s="85" t="n"/>
      <c r="V874" s="85" t="n"/>
      <c r="W874" s="85" t="n"/>
      <c r="X874" s="85" t="n"/>
      <c r="Y874" s="85" t="n"/>
      <c r="Z874" s="85" t="n"/>
    </row>
    <row r="875" ht="15.75" customHeight="1" s="86">
      <c r="T875" s="85" t="n"/>
      <c r="U875" s="85" t="n"/>
      <c r="V875" s="85" t="n"/>
      <c r="W875" s="85" t="n"/>
      <c r="X875" s="85" t="n"/>
      <c r="Y875" s="85" t="n"/>
      <c r="Z875" s="85" t="n"/>
    </row>
    <row r="876" ht="15.75" customHeight="1" s="86">
      <c r="T876" s="85" t="n"/>
      <c r="U876" s="85" t="n"/>
      <c r="V876" s="85" t="n"/>
      <c r="W876" s="85" t="n"/>
      <c r="X876" s="85" t="n"/>
      <c r="Y876" s="85" t="n"/>
      <c r="Z876" s="85" t="n"/>
    </row>
    <row r="877" ht="15.75" customHeight="1" s="86">
      <c r="T877" s="85" t="n"/>
      <c r="U877" s="85" t="n"/>
      <c r="V877" s="85" t="n"/>
      <c r="W877" s="85" t="n"/>
      <c r="X877" s="85" t="n"/>
      <c r="Y877" s="85" t="n"/>
      <c r="Z877" s="85" t="n"/>
    </row>
    <row r="878" ht="15.75" customHeight="1" s="86">
      <c r="T878" s="85" t="n"/>
      <c r="U878" s="85" t="n"/>
      <c r="V878" s="85" t="n"/>
      <c r="W878" s="85" t="n"/>
      <c r="X878" s="85" t="n"/>
      <c r="Y878" s="85" t="n"/>
      <c r="Z878" s="85" t="n"/>
    </row>
    <row r="879" ht="15.75" customHeight="1" s="86">
      <c r="T879" s="85" t="n"/>
      <c r="U879" s="85" t="n"/>
      <c r="V879" s="85" t="n"/>
      <c r="W879" s="85" t="n"/>
      <c r="X879" s="85" t="n"/>
      <c r="Y879" s="85" t="n"/>
      <c r="Z879" s="85" t="n"/>
    </row>
    <row r="880" ht="15.75" customHeight="1" s="86">
      <c r="T880" s="85" t="n"/>
      <c r="U880" s="85" t="n"/>
      <c r="V880" s="85" t="n"/>
      <c r="W880" s="85" t="n"/>
      <c r="X880" s="85" t="n"/>
      <c r="Y880" s="85" t="n"/>
      <c r="Z880" s="85" t="n"/>
    </row>
    <row r="881" ht="15.75" customHeight="1" s="86">
      <c r="T881" s="85" t="n"/>
      <c r="U881" s="85" t="n"/>
      <c r="V881" s="85" t="n"/>
      <c r="W881" s="85" t="n"/>
      <c r="X881" s="85" t="n"/>
      <c r="Y881" s="85" t="n"/>
      <c r="Z881" s="85" t="n"/>
    </row>
    <row r="882" ht="15.75" customHeight="1" s="86">
      <c r="T882" s="85" t="n"/>
      <c r="U882" s="85" t="n"/>
      <c r="V882" s="85" t="n"/>
      <c r="W882" s="85" t="n"/>
      <c r="X882" s="85" t="n"/>
      <c r="Y882" s="85" t="n"/>
      <c r="Z882" s="85" t="n"/>
    </row>
    <row r="883" ht="15.75" customHeight="1" s="86">
      <c r="T883" s="85" t="n"/>
      <c r="U883" s="85" t="n"/>
      <c r="V883" s="85" t="n"/>
      <c r="W883" s="85" t="n"/>
      <c r="X883" s="85" t="n"/>
      <c r="Y883" s="85" t="n"/>
      <c r="Z883" s="85" t="n"/>
    </row>
    <row r="884" ht="15.75" customHeight="1" s="86">
      <c r="T884" s="85" t="n"/>
      <c r="U884" s="85" t="n"/>
      <c r="V884" s="85" t="n"/>
      <c r="W884" s="85" t="n"/>
      <c r="X884" s="85" t="n"/>
      <c r="Y884" s="85" t="n"/>
      <c r="Z884" s="85" t="n"/>
    </row>
    <row r="885" ht="15.75" customHeight="1" s="86">
      <c r="T885" s="85" t="n"/>
      <c r="U885" s="85" t="n"/>
      <c r="V885" s="85" t="n"/>
      <c r="W885" s="85" t="n"/>
      <c r="X885" s="85" t="n"/>
      <c r="Y885" s="85" t="n"/>
      <c r="Z885" s="85" t="n"/>
    </row>
    <row r="886" ht="15.75" customHeight="1" s="86">
      <c r="T886" s="85" t="n"/>
      <c r="U886" s="85" t="n"/>
      <c r="V886" s="85" t="n"/>
      <c r="W886" s="85" t="n"/>
      <c r="X886" s="85" t="n"/>
      <c r="Y886" s="85" t="n"/>
      <c r="Z886" s="85" t="n"/>
    </row>
    <row r="887" ht="15.75" customHeight="1" s="86">
      <c r="T887" s="85" t="n"/>
      <c r="U887" s="85" t="n"/>
      <c r="V887" s="85" t="n"/>
      <c r="W887" s="85" t="n"/>
      <c r="X887" s="85" t="n"/>
      <c r="Y887" s="85" t="n"/>
      <c r="Z887" s="85" t="n"/>
    </row>
    <row r="888" ht="15.75" customHeight="1" s="86">
      <c r="T888" s="85" t="n"/>
      <c r="U888" s="85" t="n"/>
      <c r="V888" s="85" t="n"/>
      <c r="W888" s="85" t="n"/>
      <c r="X888" s="85" t="n"/>
      <c r="Y888" s="85" t="n"/>
      <c r="Z888" s="85" t="n"/>
    </row>
    <row r="889" ht="15.75" customHeight="1" s="86">
      <c r="T889" s="85" t="n"/>
      <c r="U889" s="85" t="n"/>
      <c r="V889" s="85" t="n"/>
      <c r="W889" s="85" t="n"/>
      <c r="X889" s="85" t="n"/>
      <c r="Y889" s="85" t="n"/>
      <c r="Z889" s="85" t="n"/>
    </row>
    <row r="890" ht="15.75" customHeight="1" s="86">
      <c r="T890" s="85" t="n"/>
      <c r="U890" s="85" t="n"/>
      <c r="V890" s="85" t="n"/>
      <c r="W890" s="85" t="n"/>
      <c r="X890" s="85" t="n"/>
      <c r="Y890" s="85" t="n"/>
      <c r="Z890" s="85" t="n"/>
    </row>
    <row r="891" ht="15.75" customHeight="1" s="86">
      <c r="T891" s="85" t="n"/>
      <c r="U891" s="85" t="n"/>
      <c r="V891" s="85" t="n"/>
      <c r="W891" s="85" t="n"/>
      <c r="X891" s="85" t="n"/>
      <c r="Y891" s="85" t="n"/>
      <c r="Z891" s="85" t="n"/>
    </row>
    <row r="892" ht="15.75" customHeight="1" s="86">
      <c r="T892" s="85" t="n"/>
      <c r="U892" s="85" t="n"/>
      <c r="V892" s="85" t="n"/>
      <c r="W892" s="85" t="n"/>
      <c r="X892" s="85" t="n"/>
      <c r="Y892" s="85" t="n"/>
      <c r="Z892" s="85" t="n"/>
    </row>
    <row r="893" ht="15.75" customHeight="1" s="86">
      <c r="T893" s="85" t="n"/>
      <c r="U893" s="85" t="n"/>
      <c r="V893" s="85" t="n"/>
      <c r="W893" s="85" t="n"/>
      <c r="X893" s="85" t="n"/>
      <c r="Y893" s="85" t="n"/>
      <c r="Z893" s="85" t="n"/>
    </row>
    <row r="894" ht="15.75" customHeight="1" s="86">
      <c r="T894" s="85" t="n"/>
      <c r="U894" s="85" t="n"/>
      <c r="V894" s="85" t="n"/>
      <c r="W894" s="85" t="n"/>
      <c r="X894" s="85" t="n"/>
      <c r="Y894" s="85" t="n"/>
      <c r="Z894" s="85" t="n"/>
    </row>
    <row r="895" ht="15.75" customHeight="1" s="86">
      <c r="T895" s="85" t="n"/>
      <c r="U895" s="85" t="n"/>
      <c r="V895" s="85" t="n"/>
      <c r="W895" s="85" t="n"/>
      <c r="X895" s="85" t="n"/>
      <c r="Y895" s="85" t="n"/>
      <c r="Z895" s="85" t="n"/>
    </row>
    <row r="896" ht="15.75" customHeight="1" s="86">
      <c r="T896" s="85" t="n"/>
      <c r="U896" s="85" t="n"/>
      <c r="V896" s="85" t="n"/>
      <c r="W896" s="85" t="n"/>
      <c r="X896" s="85" t="n"/>
      <c r="Y896" s="85" t="n"/>
      <c r="Z896" s="85" t="n"/>
    </row>
    <row r="897" ht="15.75" customHeight="1" s="86">
      <c r="T897" s="85" t="n"/>
      <c r="U897" s="85" t="n"/>
      <c r="V897" s="85" t="n"/>
      <c r="W897" s="85" t="n"/>
      <c r="X897" s="85" t="n"/>
      <c r="Y897" s="85" t="n"/>
      <c r="Z897" s="85" t="n"/>
    </row>
    <row r="898" ht="15.75" customHeight="1" s="86">
      <c r="T898" s="85" t="n"/>
      <c r="U898" s="85" t="n"/>
      <c r="V898" s="85" t="n"/>
      <c r="W898" s="85" t="n"/>
      <c r="X898" s="85" t="n"/>
      <c r="Y898" s="85" t="n"/>
      <c r="Z898" s="85" t="n"/>
    </row>
    <row r="899" ht="15.75" customHeight="1" s="86">
      <c r="T899" s="85" t="n"/>
      <c r="U899" s="85" t="n"/>
      <c r="V899" s="85" t="n"/>
      <c r="W899" s="85" t="n"/>
      <c r="X899" s="85" t="n"/>
      <c r="Y899" s="85" t="n"/>
      <c r="Z899" s="85" t="n"/>
    </row>
    <row r="900" ht="15.75" customHeight="1" s="86">
      <c r="T900" s="85" t="n"/>
      <c r="U900" s="85" t="n"/>
      <c r="V900" s="85" t="n"/>
      <c r="W900" s="85" t="n"/>
      <c r="X900" s="85" t="n"/>
      <c r="Y900" s="85" t="n"/>
      <c r="Z900" s="85" t="n"/>
    </row>
    <row r="901" ht="15.75" customHeight="1" s="86">
      <c r="T901" s="85" t="n"/>
      <c r="U901" s="85" t="n"/>
      <c r="V901" s="85" t="n"/>
      <c r="W901" s="85" t="n"/>
      <c r="X901" s="85" t="n"/>
      <c r="Y901" s="85" t="n"/>
      <c r="Z901" s="85" t="n"/>
    </row>
    <row r="902" ht="15.75" customHeight="1" s="86">
      <c r="T902" s="85" t="n"/>
      <c r="U902" s="85" t="n"/>
      <c r="V902" s="85" t="n"/>
      <c r="W902" s="85" t="n"/>
      <c r="X902" s="85" t="n"/>
      <c r="Y902" s="85" t="n"/>
      <c r="Z902" s="85" t="n"/>
    </row>
    <row r="903" ht="15.75" customHeight="1" s="86">
      <c r="T903" s="85" t="n"/>
      <c r="U903" s="85" t="n"/>
      <c r="V903" s="85" t="n"/>
      <c r="W903" s="85" t="n"/>
      <c r="X903" s="85" t="n"/>
      <c r="Y903" s="85" t="n"/>
      <c r="Z903" s="85" t="n"/>
    </row>
    <row r="904" ht="15.75" customHeight="1" s="86">
      <c r="T904" s="85" t="n"/>
      <c r="U904" s="85" t="n"/>
      <c r="V904" s="85" t="n"/>
      <c r="W904" s="85" t="n"/>
      <c r="X904" s="85" t="n"/>
      <c r="Y904" s="85" t="n"/>
      <c r="Z904" s="85" t="n"/>
    </row>
    <row r="905" ht="15.75" customHeight="1" s="86">
      <c r="T905" s="85" t="n"/>
      <c r="U905" s="85" t="n"/>
      <c r="V905" s="85" t="n"/>
      <c r="W905" s="85" t="n"/>
      <c r="X905" s="85" t="n"/>
      <c r="Y905" s="85" t="n"/>
      <c r="Z905" s="85" t="n"/>
    </row>
    <row r="906" ht="15.75" customHeight="1" s="86">
      <c r="T906" s="85" t="n"/>
      <c r="U906" s="85" t="n"/>
      <c r="V906" s="85" t="n"/>
      <c r="W906" s="85" t="n"/>
      <c r="X906" s="85" t="n"/>
      <c r="Y906" s="85" t="n"/>
      <c r="Z906" s="85" t="n"/>
    </row>
    <row r="907" ht="15.75" customHeight="1" s="86">
      <c r="T907" s="85" t="n"/>
      <c r="U907" s="85" t="n"/>
      <c r="V907" s="85" t="n"/>
      <c r="W907" s="85" t="n"/>
      <c r="X907" s="85" t="n"/>
      <c r="Y907" s="85" t="n"/>
      <c r="Z907" s="85" t="n"/>
    </row>
    <row r="908" ht="15.75" customHeight="1" s="86">
      <c r="T908" s="85" t="n"/>
      <c r="U908" s="85" t="n"/>
      <c r="V908" s="85" t="n"/>
      <c r="W908" s="85" t="n"/>
      <c r="X908" s="85" t="n"/>
      <c r="Y908" s="85" t="n"/>
      <c r="Z908" s="85" t="n"/>
    </row>
    <row r="909" ht="15.75" customHeight="1" s="86">
      <c r="T909" s="85" t="n"/>
      <c r="U909" s="85" t="n"/>
      <c r="V909" s="85" t="n"/>
      <c r="W909" s="85" t="n"/>
      <c r="X909" s="85" t="n"/>
      <c r="Y909" s="85" t="n"/>
      <c r="Z909" s="85" t="n"/>
    </row>
    <row r="910" ht="15.75" customHeight="1" s="86">
      <c r="T910" s="85" t="n"/>
      <c r="U910" s="85" t="n"/>
      <c r="V910" s="85" t="n"/>
      <c r="W910" s="85" t="n"/>
      <c r="X910" s="85" t="n"/>
      <c r="Y910" s="85" t="n"/>
      <c r="Z910" s="85" t="n"/>
    </row>
    <row r="911" ht="15.75" customHeight="1" s="86">
      <c r="T911" s="85" t="n"/>
      <c r="U911" s="85" t="n"/>
      <c r="V911" s="85" t="n"/>
      <c r="W911" s="85" t="n"/>
      <c r="X911" s="85" t="n"/>
      <c r="Y911" s="85" t="n"/>
      <c r="Z911" s="85" t="n"/>
    </row>
    <row r="912" ht="15.75" customHeight="1" s="86">
      <c r="T912" s="85" t="n"/>
      <c r="U912" s="85" t="n"/>
      <c r="V912" s="85" t="n"/>
      <c r="W912" s="85" t="n"/>
      <c r="X912" s="85" t="n"/>
      <c r="Y912" s="85" t="n"/>
      <c r="Z912" s="85" t="n"/>
    </row>
    <row r="913" ht="15.75" customHeight="1" s="86">
      <c r="T913" s="85" t="n"/>
      <c r="U913" s="85" t="n"/>
      <c r="V913" s="85" t="n"/>
      <c r="W913" s="85" t="n"/>
      <c r="X913" s="85" t="n"/>
      <c r="Y913" s="85" t="n"/>
      <c r="Z913" s="85" t="n"/>
    </row>
    <row r="914" ht="15.75" customHeight="1" s="86">
      <c r="T914" s="85" t="n"/>
      <c r="U914" s="85" t="n"/>
      <c r="V914" s="85" t="n"/>
      <c r="W914" s="85" t="n"/>
      <c r="X914" s="85" t="n"/>
      <c r="Y914" s="85" t="n"/>
      <c r="Z914" s="85" t="n"/>
    </row>
    <row r="915" ht="15.75" customHeight="1" s="86">
      <c r="T915" s="85" t="n"/>
      <c r="U915" s="85" t="n"/>
      <c r="V915" s="85" t="n"/>
      <c r="W915" s="85" t="n"/>
      <c r="X915" s="85" t="n"/>
      <c r="Y915" s="85" t="n"/>
      <c r="Z915" s="85" t="n"/>
    </row>
    <row r="916" ht="15.75" customHeight="1" s="86">
      <c r="T916" s="85" t="n"/>
      <c r="U916" s="85" t="n"/>
      <c r="V916" s="85" t="n"/>
      <c r="W916" s="85" t="n"/>
      <c r="X916" s="85" t="n"/>
      <c r="Y916" s="85" t="n"/>
      <c r="Z916" s="85" t="n"/>
    </row>
    <row r="917" ht="15.75" customHeight="1" s="86">
      <c r="T917" s="85" t="n"/>
      <c r="U917" s="85" t="n"/>
      <c r="V917" s="85" t="n"/>
      <c r="W917" s="85" t="n"/>
      <c r="X917" s="85" t="n"/>
      <c r="Y917" s="85" t="n"/>
      <c r="Z917" s="85" t="n"/>
    </row>
    <row r="918" ht="15.75" customHeight="1" s="86">
      <c r="T918" s="85" t="n"/>
      <c r="U918" s="85" t="n"/>
      <c r="V918" s="85" t="n"/>
      <c r="W918" s="85" t="n"/>
      <c r="X918" s="85" t="n"/>
      <c r="Y918" s="85" t="n"/>
      <c r="Z918" s="85" t="n"/>
    </row>
    <row r="919" ht="15.75" customHeight="1" s="86">
      <c r="T919" s="85" t="n"/>
      <c r="U919" s="85" t="n"/>
      <c r="V919" s="85" t="n"/>
      <c r="W919" s="85" t="n"/>
      <c r="X919" s="85" t="n"/>
      <c r="Y919" s="85" t="n"/>
      <c r="Z919" s="85" t="n"/>
    </row>
    <row r="920" ht="15.75" customHeight="1" s="86">
      <c r="T920" s="85" t="n"/>
      <c r="U920" s="85" t="n"/>
      <c r="V920" s="85" t="n"/>
      <c r="W920" s="85" t="n"/>
      <c r="X920" s="85" t="n"/>
      <c r="Y920" s="85" t="n"/>
      <c r="Z920" s="85" t="n"/>
    </row>
    <row r="921" ht="15.75" customHeight="1" s="86">
      <c r="T921" s="85" t="n"/>
      <c r="U921" s="85" t="n"/>
      <c r="V921" s="85" t="n"/>
      <c r="W921" s="85" t="n"/>
      <c r="X921" s="85" t="n"/>
      <c r="Y921" s="85" t="n"/>
      <c r="Z921" s="85" t="n"/>
    </row>
    <row r="922" ht="15.75" customHeight="1" s="86">
      <c r="T922" s="85" t="n"/>
      <c r="U922" s="85" t="n"/>
      <c r="V922" s="85" t="n"/>
      <c r="W922" s="85" t="n"/>
      <c r="X922" s="85" t="n"/>
      <c r="Y922" s="85" t="n"/>
      <c r="Z922" s="85" t="n"/>
    </row>
    <row r="923" ht="15.75" customHeight="1" s="86">
      <c r="T923" s="85" t="n"/>
      <c r="U923" s="85" t="n"/>
      <c r="V923" s="85" t="n"/>
      <c r="W923" s="85" t="n"/>
      <c r="X923" s="85" t="n"/>
      <c r="Y923" s="85" t="n"/>
      <c r="Z923" s="85" t="n"/>
    </row>
    <row r="924" ht="15.75" customHeight="1" s="86">
      <c r="T924" s="85" t="n"/>
      <c r="U924" s="85" t="n"/>
      <c r="V924" s="85" t="n"/>
      <c r="W924" s="85" t="n"/>
      <c r="X924" s="85" t="n"/>
      <c r="Y924" s="85" t="n"/>
      <c r="Z924" s="85" t="n"/>
    </row>
    <row r="925" ht="15.75" customHeight="1" s="86">
      <c r="T925" s="85" t="n"/>
      <c r="U925" s="85" t="n"/>
      <c r="V925" s="85" t="n"/>
      <c r="W925" s="85" t="n"/>
      <c r="X925" s="85" t="n"/>
      <c r="Y925" s="85" t="n"/>
      <c r="Z925" s="85" t="n"/>
    </row>
    <row r="926" ht="15.75" customHeight="1" s="86">
      <c r="T926" s="85" t="n"/>
      <c r="U926" s="85" t="n"/>
      <c r="V926" s="85" t="n"/>
      <c r="W926" s="85" t="n"/>
      <c r="X926" s="85" t="n"/>
      <c r="Y926" s="85" t="n"/>
      <c r="Z926" s="85" t="n"/>
    </row>
    <row r="927" ht="15.75" customHeight="1" s="86">
      <c r="T927" s="85" t="n"/>
      <c r="U927" s="85" t="n"/>
      <c r="V927" s="85" t="n"/>
      <c r="W927" s="85" t="n"/>
      <c r="X927" s="85" t="n"/>
      <c r="Y927" s="85" t="n"/>
      <c r="Z927" s="85" t="n"/>
    </row>
    <row r="928" ht="15.75" customHeight="1" s="86">
      <c r="T928" s="85" t="n"/>
      <c r="U928" s="85" t="n"/>
      <c r="V928" s="85" t="n"/>
      <c r="W928" s="85" t="n"/>
      <c r="X928" s="85" t="n"/>
      <c r="Y928" s="85" t="n"/>
      <c r="Z928" s="85" t="n"/>
    </row>
    <row r="929" ht="15.75" customHeight="1" s="86">
      <c r="T929" s="85" t="n"/>
      <c r="U929" s="85" t="n"/>
      <c r="V929" s="85" t="n"/>
      <c r="W929" s="85" t="n"/>
      <c r="X929" s="85" t="n"/>
      <c r="Y929" s="85" t="n"/>
      <c r="Z929" s="85" t="n"/>
    </row>
    <row r="930" ht="15.75" customHeight="1" s="86">
      <c r="T930" s="85" t="n"/>
      <c r="U930" s="85" t="n"/>
      <c r="V930" s="85" t="n"/>
      <c r="W930" s="85" t="n"/>
      <c r="X930" s="85" t="n"/>
      <c r="Y930" s="85" t="n"/>
      <c r="Z930" s="85" t="n"/>
    </row>
    <row r="931" ht="15.75" customHeight="1" s="86">
      <c r="T931" s="85" t="n"/>
      <c r="U931" s="85" t="n"/>
      <c r="V931" s="85" t="n"/>
      <c r="W931" s="85" t="n"/>
      <c r="X931" s="85" t="n"/>
      <c r="Y931" s="85" t="n"/>
      <c r="Z931" s="85" t="n"/>
    </row>
    <row r="932" ht="15.75" customHeight="1" s="86">
      <c r="T932" s="85" t="n"/>
      <c r="U932" s="85" t="n"/>
      <c r="V932" s="85" t="n"/>
      <c r="W932" s="85" t="n"/>
      <c r="X932" s="85" t="n"/>
      <c r="Y932" s="85" t="n"/>
      <c r="Z932" s="85" t="n"/>
    </row>
    <row r="933" ht="15.75" customHeight="1" s="86">
      <c r="T933" s="85" t="n"/>
      <c r="U933" s="85" t="n"/>
      <c r="V933" s="85" t="n"/>
      <c r="W933" s="85" t="n"/>
      <c r="X933" s="85" t="n"/>
      <c r="Y933" s="85" t="n"/>
      <c r="Z933" s="85" t="n"/>
    </row>
    <row r="934" ht="15.75" customHeight="1" s="86">
      <c r="T934" s="85" t="n"/>
      <c r="U934" s="85" t="n"/>
      <c r="V934" s="85" t="n"/>
      <c r="W934" s="85" t="n"/>
      <c r="X934" s="85" t="n"/>
      <c r="Y934" s="85" t="n"/>
      <c r="Z934" s="85" t="n"/>
    </row>
    <row r="935" ht="15.75" customHeight="1" s="86">
      <c r="T935" s="85" t="n"/>
      <c r="U935" s="85" t="n"/>
      <c r="V935" s="85" t="n"/>
      <c r="W935" s="85" t="n"/>
      <c r="X935" s="85" t="n"/>
      <c r="Y935" s="85" t="n"/>
      <c r="Z935" s="85" t="n"/>
    </row>
    <row r="936" ht="15.75" customHeight="1" s="86">
      <c r="T936" s="85" t="n"/>
      <c r="U936" s="85" t="n"/>
      <c r="V936" s="85" t="n"/>
      <c r="W936" s="85" t="n"/>
      <c r="X936" s="85" t="n"/>
      <c r="Y936" s="85" t="n"/>
      <c r="Z936" s="85" t="n"/>
    </row>
    <row r="937" ht="15.75" customHeight="1" s="86">
      <c r="T937" s="85" t="n"/>
      <c r="U937" s="85" t="n"/>
      <c r="V937" s="85" t="n"/>
      <c r="W937" s="85" t="n"/>
      <c r="X937" s="85" t="n"/>
      <c r="Y937" s="85" t="n"/>
      <c r="Z937" s="85" t="n"/>
    </row>
    <row r="938" ht="15.75" customHeight="1" s="86">
      <c r="T938" s="85" t="n"/>
      <c r="U938" s="85" t="n"/>
      <c r="V938" s="85" t="n"/>
      <c r="W938" s="85" t="n"/>
      <c r="X938" s="85" t="n"/>
      <c r="Y938" s="85" t="n"/>
      <c r="Z938" s="85" t="n"/>
    </row>
    <row r="939" ht="15.75" customHeight="1" s="86">
      <c r="T939" s="85" t="n"/>
      <c r="U939" s="85" t="n"/>
      <c r="V939" s="85" t="n"/>
      <c r="W939" s="85" t="n"/>
      <c r="X939" s="85" t="n"/>
      <c r="Y939" s="85" t="n"/>
      <c r="Z939" s="85" t="n"/>
    </row>
    <row r="940" ht="15.75" customHeight="1" s="86">
      <c r="T940" s="85" t="n"/>
      <c r="U940" s="85" t="n"/>
      <c r="V940" s="85" t="n"/>
      <c r="W940" s="85" t="n"/>
      <c r="X940" s="85" t="n"/>
      <c r="Y940" s="85" t="n"/>
      <c r="Z940" s="85" t="n"/>
    </row>
    <row r="941" ht="15.75" customHeight="1" s="86">
      <c r="T941" s="85" t="n"/>
      <c r="U941" s="85" t="n"/>
      <c r="V941" s="85" t="n"/>
      <c r="W941" s="85" t="n"/>
      <c r="X941" s="85" t="n"/>
      <c r="Y941" s="85" t="n"/>
      <c r="Z941" s="85" t="n"/>
    </row>
    <row r="942" ht="15.75" customHeight="1" s="86">
      <c r="T942" s="85" t="n"/>
      <c r="U942" s="85" t="n"/>
      <c r="V942" s="85" t="n"/>
      <c r="W942" s="85" t="n"/>
      <c r="X942" s="85" t="n"/>
      <c r="Y942" s="85" t="n"/>
      <c r="Z942" s="85" t="n"/>
    </row>
    <row r="943" ht="15.75" customHeight="1" s="86">
      <c r="T943" s="85" t="n"/>
      <c r="U943" s="85" t="n"/>
      <c r="V943" s="85" t="n"/>
      <c r="W943" s="85" t="n"/>
      <c r="X943" s="85" t="n"/>
      <c r="Y943" s="85" t="n"/>
      <c r="Z943" s="85" t="n"/>
    </row>
    <row r="944" ht="15.75" customHeight="1" s="86">
      <c r="T944" s="85" t="n"/>
      <c r="U944" s="85" t="n"/>
      <c r="V944" s="85" t="n"/>
      <c r="W944" s="85" t="n"/>
      <c r="X944" s="85" t="n"/>
      <c r="Y944" s="85" t="n"/>
      <c r="Z944" s="85" t="n"/>
    </row>
    <row r="945" ht="15.75" customHeight="1" s="86">
      <c r="T945" s="85" t="n"/>
      <c r="U945" s="85" t="n"/>
      <c r="V945" s="85" t="n"/>
      <c r="W945" s="85" t="n"/>
      <c r="X945" s="85" t="n"/>
      <c r="Y945" s="85" t="n"/>
      <c r="Z945" s="85" t="n"/>
    </row>
    <row r="946" ht="15.75" customHeight="1" s="86">
      <c r="T946" s="85" t="n"/>
      <c r="U946" s="85" t="n"/>
      <c r="V946" s="85" t="n"/>
      <c r="W946" s="85" t="n"/>
      <c r="X946" s="85" t="n"/>
      <c r="Y946" s="85" t="n"/>
      <c r="Z946" s="85" t="n"/>
    </row>
    <row r="947" ht="15.75" customHeight="1" s="86">
      <c r="T947" s="85" t="n"/>
      <c r="U947" s="85" t="n"/>
      <c r="V947" s="85" t="n"/>
      <c r="W947" s="85" t="n"/>
      <c r="X947" s="85" t="n"/>
      <c r="Y947" s="85" t="n"/>
      <c r="Z947" s="85" t="n"/>
    </row>
    <row r="948" ht="15.75" customHeight="1" s="86">
      <c r="T948" s="85" t="n"/>
      <c r="U948" s="85" t="n"/>
      <c r="V948" s="85" t="n"/>
      <c r="W948" s="85" t="n"/>
      <c r="X948" s="85" t="n"/>
      <c r="Y948" s="85" t="n"/>
      <c r="Z948" s="85" t="n"/>
    </row>
    <row r="949" ht="15.75" customHeight="1" s="86">
      <c r="T949" s="85" t="n"/>
      <c r="U949" s="85" t="n"/>
      <c r="V949" s="85" t="n"/>
      <c r="W949" s="85" t="n"/>
      <c r="X949" s="85" t="n"/>
      <c r="Y949" s="85" t="n"/>
      <c r="Z949" s="85" t="n"/>
    </row>
    <row r="950" ht="15.75" customHeight="1" s="86">
      <c r="T950" s="85" t="n"/>
      <c r="U950" s="85" t="n"/>
      <c r="V950" s="85" t="n"/>
      <c r="W950" s="85" t="n"/>
      <c r="X950" s="85" t="n"/>
      <c r="Y950" s="85" t="n"/>
      <c r="Z950" s="85" t="n"/>
    </row>
    <row r="951" ht="15.75" customHeight="1" s="86">
      <c r="T951" s="85" t="n"/>
      <c r="U951" s="85" t="n"/>
      <c r="V951" s="85" t="n"/>
      <c r="W951" s="85" t="n"/>
      <c r="X951" s="85" t="n"/>
      <c r="Y951" s="85" t="n"/>
      <c r="Z951" s="85" t="n"/>
    </row>
    <row r="952" ht="15.75" customHeight="1" s="86">
      <c r="T952" s="85" t="n"/>
      <c r="U952" s="85" t="n"/>
      <c r="V952" s="85" t="n"/>
      <c r="W952" s="85" t="n"/>
      <c r="X952" s="85" t="n"/>
      <c r="Y952" s="85" t="n"/>
      <c r="Z952" s="85" t="n"/>
    </row>
    <row r="953" ht="15.75" customHeight="1" s="86">
      <c r="T953" s="85" t="n"/>
      <c r="U953" s="85" t="n"/>
      <c r="V953" s="85" t="n"/>
      <c r="W953" s="85" t="n"/>
      <c r="X953" s="85" t="n"/>
      <c r="Y953" s="85" t="n"/>
      <c r="Z953" s="85" t="n"/>
    </row>
    <row r="954" ht="15.75" customHeight="1" s="86">
      <c r="T954" s="85" t="n"/>
      <c r="U954" s="85" t="n"/>
      <c r="V954" s="85" t="n"/>
      <c r="W954" s="85" t="n"/>
      <c r="X954" s="85" t="n"/>
      <c r="Y954" s="85" t="n"/>
      <c r="Z954" s="85" t="n"/>
    </row>
    <row r="955" ht="15.75" customHeight="1" s="86">
      <c r="T955" s="85" t="n"/>
      <c r="U955" s="85" t="n"/>
      <c r="V955" s="85" t="n"/>
      <c r="W955" s="85" t="n"/>
      <c r="X955" s="85" t="n"/>
      <c r="Y955" s="85" t="n"/>
      <c r="Z955" s="85" t="n"/>
    </row>
    <row r="956" ht="15.75" customHeight="1" s="86">
      <c r="T956" s="85" t="n"/>
      <c r="U956" s="85" t="n"/>
      <c r="V956" s="85" t="n"/>
      <c r="W956" s="85" t="n"/>
      <c r="X956" s="85" t="n"/>
      <c r="Y956" s="85" t="n"/>
      <c r="Z956" s="85" t="n"/>
    </row>
    <row r="957" ht="15.75" customHeight="1" s="86">
      <c r="T957" s="85" t="n"/>
      <c r="U957" s="85" t="n"/>
      <c r="V957" s="85" t="n"/>
      <c r="W957" s="85" t="n"/>
      <c r="X957" s="85" t="n"/>
      <c r="Y957" s="85" t="n"/>
      <c r="Z957" s="85" t="n"/>
    </row>
    <row r="958" ht="15.75" customHeight="1" s="86">
      <c r="T958" s="85" t="n"/>
      <c r="U958" s="85" t="n"/>
      <c r="V958" s="85" t="n"/>
      <c r="W958" s="85" t="n"/>
      <c r="X958" s="85" t="n"/>
      <c r="Y958" s="85" t="n"/>
      <c r="Z958" s="85" t="n"/>
    </row>
    <row r="959" ht="15.75" customHeight="1" s="86">
      <c r="T959" s="85" t="n"/>
      <c r="U959" s="85" t="n"/>
      <c r="V959" s="85" t="n"/>
      <c r="W959" s="85" t="n"/>
      <c r="X959" s="85" t="n"/>
      <c r="Y959" s="85" t="n"/>
      <c r="Z959" s="85" t="n"/>
    </row>
    <row r="960" ht="15.75" customHeight="1" s="86">
      <c r="T960" s="85" t="n"/>
      <c r="U960" s="85" t="n"/>
      <c r="V960" s="85" t="n"/>
      <c r="W960" s="85" t="n"/>
      <c r="X960" s="85" t="n"/>
      <c r="Y960" s="85" t="n"/>
      <c r="Z960" s="85" t="n"/>
    </row>
    <row r="961" ht="15.75" customHeight="1" s="86">
      <c r="T961" s="85" t="n"/>
      <c r="U961" s="85" t="n"/>
      <c r="V961" s="85" t="n"/>
      <c r="W961" s="85" t="n"/>
      <c r="X961" s="85" t="n"/>
      <c r="Y961" s="85" t="n"/>
      <c r="Z961" s="85" t="n"/>
    </row>
    <row r="962" ht="15.75" customHeight="1" s="86">
      <c r="T962" s="85" t="n"/>
      <c r="U962" s="85" t="n"/>
      <c r="V962" s="85" t="n"/>
      <c r="W962" s="85" t="n"/>
      <c r="X962" s="85" t="n"/>
      <c r="Y962" s="85" t="n"/>
      <c r="Z962" s="85" t="n"/>
    </row>
    <row r="963" ht="15.75" customHeight="1" s="86">
      <c r="T963" s="85" t="n"/>
      <c r="U963" s="85" t="n"/>
      <c r="V963" s="85" t="n"/>
      <c r="W963" s="85" t="n"/>
      <c r="X963" s="85" t="n"/>
      <c r="Y963" s="85" t="n"/>
      <c r="Z963" s="85" t="n"/>
    </row>
    <row r="964" ht="15.75" customHeight="1" s="86">
      <c r="T964" s="85" t="n"/>
      <c r="U964" s="85" t="n"/>
      <c r="V964" s="85" t="n"/>
      <c r="W964" s="85" t="n"/>
      <c r="X964" s="85" t="n"/>
      <c r="Y964" s="85" t="n"/>
      <c r="Z964" s="85" t="n"/>
    </row>
    <row r="965" ht="15.75" customHeight="1" s="86">
      <c r="T965" s="85" t="n"/>
      <c r="U965" s="85" t="n"/>
      <c r="V965" s="85" t="n"/>
      <c r="W965" s="85" t="n"/>
      <c r="X965" s="85" t="n"/>
      <c r="Y965" s="85" t="n"/>
      <c r="Z965" s="85" t="n"/>
    </row>
    <row r="966" ht="15.75" customHeight="1" s="86">
      <c r="T966" s="85" t="n"/>
      <c r="U966" s="85" t="n"/>
      <c r="V966" s="85" t="n"/>
      <c r="W966" s="85" t="n"/>
      <c r="X966" s="85" t="n"/>
      <c r="Y966" s="85" t="n"/>
      <c r="Z966" s="85" t="n"/>
    </row>
    <row r="967" ht="15.75" customHeight="1" s="86">
      <c r="T967" s="85" t="n"/>
      <c r="U967" s="85" t="n"/>
      <c r="V967" s="85" t="n"/>
      <c r="W967" s="85" t="n"/>
      <c r="X967" s="85" t="n"/>
      <c r="Y967" s="85" t="n"/>
      <c r="Z967" s="85" t="n"/>
    </row>
    <row r="968" ht="15.75" customHeight="1" s="86">
      <c r="T968" s="85" t="n"/>
      <c r="U968" s="85" t="n"/>
      <c r="V968" s="85" t="n"/>
      <c r="W968" s="85" t="n"/>
      <c r="X968" s="85" t="n"/>
      <c r="Y968" s="85" t="n"/>
      <c r="Z968" s="85" t="n"/>
    </row>
    <row r="969" ht="15.75" customHeight="1" s="86">
      <c r="T969" s="85" t="n"/>
      <c r="U969" s="85" t="n"/>
      <c r="V969" s="85" t="n"/>
      <c r="W969" s="85" t="n"/>
      <c r="X969" s="85" t="n"/>
      <c r="Y969" s="85" t="n"/>
      <c r="Z969" s="85" t="n"/>
    </row>
    <row r="970" ht="15.75" customHeight="1" s="86">
      <c r="T970" s="85" t="n"/>
      <c r="U970" s="85" t="n"/>
      <c r="V970" s="85" t="n"/>
      <c r="W970" s="85" t="n"/>
      <c r="X970" s="85" t="n"/>
      <c r="Y970" s="85" t="n"/>
      <c r="Z970" s="85" t="n"/>
    </row>
    <row r="971" ht="15.75" customHeight="1" s="86">
      <c r="T971" s="85" t="n"/>
      <c r="U971" s="85" t="n"/>
      <c r="V971" s="85" t="n"/>
      <c r="W971" s="85" t="n"/>
      <c r="X971" s="85" t="n"/>
      <c r="Y971" s="85" t="n"/>
      <c r="Z971" s="85" t="n"/>
    </row>
    <row r="972" ht="15.75" customHeight="1" s="86">
      <c r="T972" s="85" t="n"/>
      <c r="U972" s="85" t="n"/>
      <c r="V972" s="85" t="n"/>
      <c r="W972" s="85" t="n"/>
      <c r="X972" s="85" t="n"/>
      <c r="Y972" s="85" t="n"/>
      <c r="Z972" s="85" t="n"/>
    </row>
    <row r="973" ht="15.75" customHeight="1" s="86">
      <c r="T973" s="85" t="n"/>
      <c r="U973" s="85" t="n"/>
      <c r="V973" s="85" t="n"/>
      <c r="W973" s="85" t="n"/>
      <c r="X973" s="85" t="n"/>
      <c r="Y973" s="85" t="n"/>
      <c r="Z973" s="85" t="n"/>
    </row>
    <row r="974" ht="15.75" customHeight="1" s="86">
      <c r="T974" s="85" t="n"/>
      <c r="U974" s="85" t="n"/>
      <c r="V974" s="85" t="n"/>
      <c r="W974" s="85" t="n"/>
      <c r="X974" s="85" t="n"/>
      <c r="Y974" s="85" t="n"/>
      <c r="Z974" s="85" t="n"/>
    </row>
    <row r="975" ht="15.75" customHeight="1" s="86">
      <c r="T975" s="85" t="n"/>
      <c r="U975" s="85" t="n"/>
      <c r="V975" s="85" t="n"/>
      <c r="W975" s="85" t="n"/>
      <c r="X975" s="85" t="n"/>
      <c r="Y975" s="85" t="n"/>
      <c r="Z975" s="85" t="n"/>
    </row>
    <row r="976" ht="15.75" customHeight="1" s="86">
      <c r="T976" s="85" t="n"/>
      <c r="U976" s="85" t="n"/>
      <c r="V976" s="85" t="n"/>
      <c r="W976" s="85" t="n"/>
      <c r="X976" s="85" t="n"/>
      <c r="Y976" s="85" t="n"/>
      <c r="Z976" s="85" t="n"/>
    </row>
    <row r="977" ht="15.75" customHeight="1" s="86">
      <c r="T977" s="85" t="n"/>
      <c r="U977" s="85" t="n"/>
      <c r="V977" s="85" t="n"/>
      <c r="W977" s="85" t="n"/>
      <c r="X977" s="85" t="n"/>
      <c r="Y977" s="85" t="n"/>
      <c r="Z977" s="85" t="n"/>
    </row>
    <row r="978" ht="15.75" customHeight="1" s="86">
      <c r="T978" s="85" t="n"/>
      <c r="U978" s="85" t="n"/>
      <c r="V978" s="85" t="n"/>
      <c r="W978" s="85" t="n"/>
      <c r="X978" s="85" t="n"/>
      <c r="Y978" s="85" t="n"/>
      <c r="Z978" s="85" t="n"/>
    </row>
    <row r="979" ht="15.75" customHeight="1" s="86">
      <c r="T979" s="85" t="n"/>
      <c r="U979" s="85" t="n"/>
      <c r="V979" s="85" t="n"/>
      <c r="W979" s="85" t="n"/>
      <c r="X979" s="85" t="n"/>
      <c r="Y979" s="85" t="n"/>
      <c r="Z979" s="85" t="n"/>
    </row>
    <row r="980" ht="15.75" customHeight="1" s="86">
      <c r="T980" s="85" t="n"/>
      <c r="U980" s="85" t="n"/>
      <c r="V980" s="85" t="n"/>
      <c r="W980" s="85" t="n"/>
      <c r="X980" s="85" t="n"/>
      <c r="Y980" s="85" t="n"/>
      <c r="Z980" s="85" t="n"/>
    </row>
    <row r="981" ht="15.75" customHeight="1" s="86">
      <c r="T981" s="85" t="n"/>
      <c r="U981" s="85" t="n"/>
      <c r="V981" s="85" t="n"/>
      <c r="W981" s="85" t="n"/>
      <c r="X981" s="85" t="n"/>
      <c r="Y981" s="85" t="n"/>
      <c r="Z981" s="85" t="n"/>
    </row>
    <row r="982" ht="15.75" customHeight="1" s="86">
      <c r="T982" s="85" t="n"/>
      <c r="U982" s="85" t="n"/>
      <c r="V982" s="85" t="n"/>
      <c r="W982" s="85" t="n"/>
      <c r="X982" s="85" t="n"/>
      <c r="Y982" s="85" t="n"/>
      <c r="Z982" s="85" t="n"/>
    </row>
    <row r="983" ht="15.75" customHeight="1" s="86">
      <c r="T983" s="85" t="n"/>
      <c r="U983" s="85" t="n"/>
      <c r="V983" s="85" t="n"/>
      <c r="W983" s="85" t="n"/>
      <c r="X983" s="85" t="n"/>
      <c r="Y983" s="85" t="n"/>
      <c r="Z983" s="85" t="n"/>
    </row>
    <row r="984" ht="15.75" customHeight="1" s="86">
      <c r="T984" s="85" t="n"/>
      <c r="U984" s="85" t="n"/>
      <c r="V984" s="85" t="n"/>
      <c r="W984" s="85" t="n"/>
      <c r="X984" s="85" t="n"/>
      <c r="Y984" s="85" t="n"/>
      <c r="Z984" s="85" t="n"/>
    </row>
    <row r="985" ht="15.75" customHeight="1" s="86">
      <c r="T985" s="85" t="n"/>
      <c r="U985" s="85" t="n"/>
      <c r="V985" s="85" t="n"/>
      <c r="W985" s="85" t="n"/>
      <c r="X985" s="85" t="n"/>
      <c r="Y985" s="85" t="n"/>
      <c r="Z985" s="85" t="n"/>
    </row>
    <row r="986" ht="15.75" customHeight="1" s="86">
      <c r="T986" s="85" t="n"/>
      <c r="U986" s="85" t="n"/>
      <c r="V986" s="85" t="n"/>
      <c r="W986" s="85" t="n"/>
      <c r="X986" s="85" t="n"/>
      <c r="Y986" s="85" t="n"/>
      <c r="Z986" s="85" t="n"/>
    </row>
    <row r="987" ht="15.75" customHeight="1" s="86">
      <c r="T987" s="85" t="n"/>
      <c r="U987" s="85" t="n"/>
      <c r="V987" s="85" t="n"/>
      <c r="W987" s="85" t="n"/>
      <c r="X987" s="85" t="n"/>
      <c r="Y987" s="85" t="n"/>
      <c r="Z987" s="85" t="n"/>
    </row>
    <row r="988" ht="15.75" customHeight="1" s="86">
      <c r="T988" s="85" t="n"/>
      <c r="U988" s="85" t="n"/>
      <c r="V988" s="85" t="n"/>
      <c r="W988" s="85" t="n"/>
      <c r="X988" s="85" t="n"/>
      <c r="Y988" s="85" t="n"/>
      <c r="Z988" s="85" t="n"/>
    </row>
    <row r="989" ht="15.75" customHeight="1" s="86">
      <c r="T989" s="85" t="n"/>
      <c r="U989" s="85" t="n"/>
      <c r="V989" s="85" t="n"/>
      <c r="W989" s="85" t="n"/>
      <c r="X989" s="85" t="n"/>
      <c r="Y989" s="85" t="n"/>
      <c r="Z989" s="85" t="n"/>
    </row>
    <row r="990" ht="15.75" customHeight="1" s="86">
      <c r="T990" s="85" t="n"/>
      <c r="U990" s="85" t="n"/>
      <c r="V990" s="85" t="n"/>
      <c r="W990" s="85" t="n"/>
      <c r="X990" s="85" t="n"/>
      <c r="Y990" s="85" t="n"/>
      <c r="Z990" s="85" t="n"/>
    </row>
    <row r="991" ht="15.75" customHeight="1" s="86">
      <c r="T991" s="85" t="n"/>
      <c r="U991" s="85" t="n"/>
      <c r="V991" s="85" t="n"/>
      <c r="W991" s="85" t="n"/>
      <c r="X991" s="85" t="n"/>
      <c r="Y991" s="85" t="n"/>
      <c r="Z991" s="85" t="n"/>
    </row>
    <row r="992" ht="15.75" customHeight="1" s="86">
      <c r="T992" s="85" t="n"/>
      <c r="U992" s="85" t="n"/>
      <c r="V992" s="85" t="n"/>
      <c r="W992" s="85" t="n"/>
      <c r="X992" s="85" t="n"/>
      <c r="Y992" s="85" t="n"/>
      <c r="Z992" s="85" t="n"/>
    </row>
    <row r="993" ht="15.75" customHeight="1" s="86">
      <c r="T993" s="85" t="n"/>
      <c r="U993" s="85" t="n"/>
      <c r="V993" s="85" t="n"/>
      <c r="W993" s="85" t="n"/>
      <c r="X993" s="85" t="n"/>
      <c r="Y993" s="85" t="n"/>
      <c r="Z993" s="85" t="n"/>
    </row>
    <row r="994" ht="15.75" customHeight="1" s="86">
      <c r="T994" s="85" t="n"/>
      <c r="U994" s="85" t="n"/>
      <c r="V994" s="85" t="n"/>
      <c r="W994" s="85" t="n"/>
      <c r="X994" s="85" t="n"/>
      <c r="Y994" s="85" t="n"/>
      <c r="Z994" s="85" t="n"/>
    </row>
    <row r="995" ht="15.75" customHeight="1" s="86">
      <c r="T995" s="85" t="n"/>
      <c r="U995" s="85" t="n"/>
      <c r="V995" s="85" t="n"/>
      <c r="W995" s="85" t="n"/>
      <c r="X995" s="85" t="n"/>
      <c r="Y995" s="85" t="n"/>
      <c r="Z995" s="85" t="n"/>
    </row>
    <row r="996" ht="15.75" customHeight="1" s="86">
      <c r="T996" s="85" t="n"/>
      <c r="U996" s="85" t="n"/>
      <c r="V996" s="85" t="n"/>
      <c r="W996" s="85" t="n"/>
      <c r="X996" s="85" t="n"/>
      <c r="Y996" s="85" t="n"/>
      <c r="Z996" s="85" t="n"/>
    </row>
    <row r="997" ht="15.75" customHeight="1" s="86">
      <c r="T997" s="85" t="n"/>
      <c r="U997" s="85" t="n"/>
      <c r="V997" s="85" t="n"/>
      <c r="W997" s="85" t="n"/>
      <c r="X997" s="85" t="n"/>
      <c r="Y997" s="85" t="n"/>
      <c r="Z997" s="85" t="n"/>
    </row>
    <row r="998" ht="15.75" customHeight="1" s="86">
      <c r="T998" s="85" t="n"/>
      <c r="U998" s="85" t="n"/>
      <c r="V998" s="85" t="n"/>
      <c r="W998" s="85" t="n"/>
      <c r="X998" s="85" t="n"/>
      <c r="Y998" s="85" t="n"/>
      <c r="Z998" s="85" t="n"/>
    </row>
    <row r="999" ht="15.75" customHeight="1" s="86">
      <c r="T999" s="85" t="n"/>
      <c r="U999" s="85" t="n"/>
      <c r="V999" s="85" t="n"/>
      <c r="W999" s="85" t="n"/>
      <c r="X999" s="85" t="n"/>
      <c r="Y999" s="85" t="n"/>
      <c r="Z999" s="85" t="n"/>
    </row>
    <row r="1000" ht="15.75" customHeight="1" s="86">
      <c r="T1000" s="85" t="n"/>
      <c r="U1000" s="85" t="n"/>
      <c r="V1000" s="85" t="n"/>
      <c r="W1000" s="85" t="n"/>
      <c r="X1000" s="85" t="n"/>
      <c r="Y1000" s="85" t="n"/>
      <c r="Z1000" s="8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L2"/>
    <mergeCell ref="A1:L1"/>
  </mergeCells>
  <dataValidations count="2">
    <dataValidation sqref="I7:I20" showDropDown="0" showInputMessage="0" showErrorMessage="0" allowBlank="1" type="list" errorStyle="stop" operator="between">
      <formula1>"needs,wants,savings"</formula1>
      <formula2>0</formula2>
    </dataValidation>
    <dataValidation sqref="N13" showDropDown="0" showInputMessage="0" showErrorMessage="0" allowBlank="0" type="list">
      <formula1>"50/50,By income,Custom"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2" customWidth="1" style="85" min="1" max="1"/>
    <col width="14" customWidth="1" style="85" min="2" max="2"/>
    <col width="24" customWidth="1" style="85" min="3" max="3"/>
    <col width="16" customWidth="1" style="85" min="4" max="4"/>
    <col width="13" customWidth="1" style="85" min="5" max="5"/>
    <col width="20" customWidth="1" style="85" min="6" max="6"/>
    <col width="14" customWidth="1" style="85" min="7" max="7"/>
    <col width="26" customWidth="1" style="85" min="8" max="8"/>
    <col hidden="1" width="10" customWidth="1" style="85" min="9" max="11"/>
    <col width="8.710000000000001" customWidth="1" style="85" min="12" max="19"/>
  </cols>
  <sheetData>
    <row r="1" ht="42" customHeight="1" s="86">
      <c r="A1" s="87" t="inlineStr">
        <is>
          <t>Transactions</t>
        </is>
      </c>
      <c r="J1" s="88" t="n"/>
      <c r="K1" s="88" t="n"/>
      <c r="L1" s="88" t="n"/>
      <c r="M1" s="88" t="n"/>
      <c r="N1" s="88" t="n"/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  <c r="Z1" s="88" t="n"/>
    </row>
    <row r="2" ht="21.75" customHeight="1" s="86">
      <c r="A2" s="89" t="inlineStr">
        <is>
          <t>Log every income and expense once, and mark who paid. The year, months and split fill in automatically.</t>
        </is>
      </c>
      <c r="J2" s="88" t="n"/>
      <c r="K2" s="88" t="n"/>
      <c r="L2" s="88" t="n"/>
      <c r="M2" s="88" t="n"/>
      <c r="N2" s="88" t="n"/>
      <c r="O2" s="88" t="n"/>
      <c r="P2" s="88" t="n"/>
      <c r="Q2" s="88" t="n"/>
      <c r="R2" s="88" t="n"/>
      <c r="S2" s="88" t="n"/>
      <c r="T2" s="88" t="n"/>
      <c r="U2" s="88" t="n"/>
      <c r="V2" s="88" t="n"/>
      <c r="W2" s="88" t="n"/>
      <c r="X2" s="88" t="n"/>
      <c r="Y2" s="88" t="n"/>
      <c r="Z2" s="88" t="n"/>
    </row>
    <row r="3" ht="15" customHeight="1" s="86">
      <c r="A3" s="88" t="n"/>
      <c r="B3" s="88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</row>
    <row r="4" ht="15" customHeight="1" s="86">
      <c r="A4" s="106" t="inlineStr">
        <is>
          <t>Date</t>
        </is>
      </c>
      <c r="B4" s="106" t="inlineStr">
        <is>
          <t>Type</t>
        </is>
      </c>
      <c r="C4" s="106" t="inlineStr">
        <is>
          <t>Category</t>
        </is>
      </c>
      <c r="D4" s="106" t="inlineStr">
        <is>
          <t>Account</t>
        </is>
      </c>
      <c r="E4" s="106" t="inlineStr">
        <is>
          <t>Amount</t>
        </is>
      </c>
      <c r="F4" s="106" t="inlineStr">
        <is>
          <t>Paid by</t>
        </is>
      </c>
      <c r="G4" s="106" t="inlineStr">
        <is>
          <t>Share</t>
        </is>
      </c>
      <c r="H4" s="106" t="inlineStr">
        <is>
          <t>Note</t>
        </is>
      </c>
      <c r="I4" s="101" t="inlineStr">
        <is>
          <t>Month#</t>
        </is>
      </c>
      <c r="J4" s="101" t="inlineStr">
        <is>
          <t>Year#</t>
        </is>
      </c>
      <c r="K4" s="101" t="inlineStr">
        <is>
          <t>50/30/20</t>
        </is>
      </c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</row>
    <row r="5" ht="15" customHeight="1" s="86">
      <c r="A5" s="107">
        <v>46023</v>
      </c>
      <c r="B5" s="95" t="inlineStr">
        <is>
          <t>Income</t>
        </is>
      </c>
      <c r="C5" s="102" t="inlineStr">
        <is>
          <t>Salary</t>
        </is>
      </c>
      <c r="D5" s="102" t="inlineStr">
        <is>
          <t>Checking</t>
        </is>
      </c>
      <c r="E5" s="97">
        <v>5200</v>
      </c>
      <c r="F5" s="102" t="inlineStr">
        <is>
          <t>Alex</t>
        </is>
      </c>
      <c r="G5" s="102" t="inlineStr">
        <is>
          <t>Personal</t>
        </is>
      </c>
      <c r="H5" s="102" t="inlineStr">
        <is>
          <t>Monthly pay</t>
        </is>
      </c>
      <c r="I5" s="108">
        <f>IF($A5="","",MONTH($A5))</f>
        <v/>
      </c>
      <c r="J5" s="108">
        <f>IF($A5="","",YEAR($A5))</f>
        <v/>
      </c>
      <c r="K5" s="108">
        <f>IFERROR(INDEX(Setup!$I$7:$I$22,MATCH($C5,Setup!$D$7:$D$22,0)),"")</f>
        <v/>
      </c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</row>
    <row r="6" ht="15" customHeight="1" s="86">
      <c r="A6" s="109">
        <v>46023</v>
      </c>
      <c r="B6" s="110" t="inlineStr">
        <is>
          <t>Income</t>
        </is>
      </c>
      <c r="C6" s="111" t="inlineStr">
        <is>
          <t>Salary</t>
        </is>
      </c>
      <c r="D6" s="111" t="inlineStr">
        <is>
          <t>Checking</t>
        </is>
      </c>
      <c r="E6" s="112">
        <v>3800</v>
      </c>
      <c r="F6" s="111" t="inlineStr">
        <is>
          <t>Sam</t>
        </is>
      </c>
      <c r="G6" s="111" t="inlineStr">
        <is>
          <t>Personal</t>
        </is>
      </c>
      <c r="H6" s="111" t="inlineStr">
        <is>
          <t>Monthly pay</t>
        </is>
      </c>
      <c r="I6" s="108">
        <f>IF($A6="","",MONTH($A6))</f>
        <v/>
      </c>
      <c r="J6" s="108">
        <f>IF($A6="","",YEAR($A6))</f>
        <v/>
      </c>
      <c r="K6" s="108">
        <f>IFERROR(INDEX(Setup!$I$7:$I$22,MATCH($C6,Setup!$D$7:$D$22,0)),"")</f>
        <v/>
      </c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</row>
    <row r="7" ht="15" customHeight="1" s="86">
      <c r="A7" s="107">
        <v>46023</v>
      </c>
      <c r="B7" s="95" t="inlineStr">
        <is>
          <t>Expense</t>
        </is>
      </c>
      <c r="C7" s="102" t="inlineStr">
        <is>
          <t>Rent or Mortgage</t>
        </is>
      </c>
      <c r="D7" s="102" t="inlineStr">
        <is>
          <t>Checking</t>
        </is>
      </c>
      <c r="E7" s="97">
        <v>2400.0</v>
      </c>
      <c r="F7" s="102" t="inlineStr">
        <is>
          <t>Alex</t>
        </is>
      </c>
      <c r="G7" s="102" t="inlineStr">
        <is>
          <t>Shared</t>
        </is>
      </c>
      <c r="H7" s="102" t="inlineStr">
        <is>
          <t>Rent</t>
        </is>
      </c>
      <c r="I7" s="108">
        <f>IF($A7="","",MONTH($A7))</f>
        <v/>
      </c>
      <c r="J7" s="108">
        <f>IF($A7="","",YEAR($A7))</f>
        <v/>
      </c>
      <c r="K7" s="108">
        <f>IFERROR(INDEX(Setup!$I$7:$I$22,MATCH($C7,Setup!$D$7:$D$22,0)),"")</f>
        <v/>
      </c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88" t="n"/>
      <c r="W7" s="88" t="n"/>
      <c r="X7" s="88" t="n"/>
      <c r="Y7" s="88" t="n"/>
      <c r="Z7" s="88" t="n"/>
    </row>
    <row r="8" ht="15" customHeight="1" s="86">
      <c r="A8" s="109">
        <v>46024</v>
      </c>
      <c r="B8" s="110" t="inlineStr">
        <is>
          <t>Transfer</t>
        </is>
      </c>
      <c r="C8" s="111" t="inlineStr">
        <is>
          <t>Emergency Fund</t>
        </is>
      </c>
      <c r="D8" s="111" t="inlineStr">
        <is>
          <t>Savings</t>
        </is>
      </c>
      <c r="E8" s="112">
        <v>850.0</v>
      </c>
      <c r="F8" s="111" t="inlineStr">
        <is>
          <t>Joint</t>
        </is>
      </c>
      <c r="G8" s="111" t="inlineStr">
        <is>
          <t>Shared</t>
        </is>
      </c>
      <c r="H8" s="111" t="inlineStr">
        <is>
          <t>Auto transfer</t>
        </is>
      </c>
      <c r="I8" s="108">
        <f>IF($A8="","",MONTH($A8))</f>
        <v/>
      </c>
      <c r="J8" s="108">
        <f>IF($A8="","",YEAR($A8))</f>
        <v/>
      </c>
      <c r="K8" s="108">
        <f>IFERROR(INDEX(Setup!$I$7:$I$22,MATCH($C8,Setup!$D$7:$D$22,0)),"")</f>
        <v/>
      </c>
      <c r="L8" s="88" t="n"/>
      <c r="M8" s="88" t="n"/>
      <c r="N8" s="88" t="n"/>
      <c r="O8" s="88" t="n"/>
      <c r="P8" s="88" t="n"/>
      <c r="Q8" s="88" t="n"/>
      <c r="R8" s="88" t="n"/>
      <c r="S8" s="88" t="n"/>
      <c r="T8" s="88" t="n"/>
      <c r="U8" s="88" t="n"/>
      <c r="V8" s="88" t="n"/>
      <c r="W8" s="88" t="n"/>
      <c r="X8" s="88" t="n"/>
      <c r="Y8" s="88" t="n"/>
      <c r="Z8" s="88" t="n"/>
    </row>
    <row r="9" ht="15" customHeight="1" s="86">
      <c r="A9" s="107">
        <v>46024</v>
      </c>
      <c r="B9" s="95" t="inlineStr">
        <is>
          <t>Transfer</t>
        </is>
      </c>
      <c r="C9" s="102" t="inlineStr">
        <is>
          <t>Holiday Fund</t>
        </is>
      </c>
      <c r="D9" s="102" t="inlineStr">
        <is>
          <t>Savings</t>
        </is>
      </c>
      <c r="E9" s="97">
        <v>420.0</v>
      </c>
      <c r="F9" s="102" t="inlineStr">
        <is>
          <t>Joint</t>
        </is>
      </c>
      <c r="G9" s="102" t="inlineStr">
        <is>
          <t>Shared</t>
        </is>
      </c>
      <c r="H9" s="102" t="inlineStr">
        <is>
          <t>Auto transfer</t>
        </is>
      </c>
      <c r="I9" s="108">
        <f>IF($A9="","",MONTH($A9))</f>
        <v/>
      </c>
      <c r="J9" s="108">
        <f>IF($A9="","",YEAR($A9))</f>
        <v/>
      </c>
      <c r="K9" s="108">
        <f>IFERROR(INDEX(Setup!$I$7:$I$22,MATCH($C9,Setup!$D$7:$D$22,0)),"")</f>
        <v/>
      </c>
      <c r="L9" s="88" t="n"/>
      <c r="M9" s="88" t="n"/>
      <c r="N9" s="88" t="n"/>
      <c r="O9" s="88" t="n"/>
      <c r="P9" s="88" t="n"/>
      <c r="Q9" s="88" t="n"/>
      <c r="R9" s="88" t="n"/>
      <c r="S9" s="88" t="n"/>
      <c r="T9" s="88" t="n"/>
      <c r="U9" s="88" t="n"/>
      <c r="V9" s="88" t="n"/>
      <c r="W9" s="88" t="n"/>
      <c r="X9" s="88" t="n"/>
      <c r="Y9" s="88" t="n"/>
      <c r="Z9" s="88" t="n"/>
    </row>
    <row r="10" ht="15" customHeight="1" s="86">
      <c r="A10" s="109">
        <v>46024</v>
      </c>
      <c r="B10" s="110" t="inlineStr">
        <is>
          <t>Transfer</t>
        </is>
      </c>
      <c r="C10" s="111" t="inlineStr">
        <is>
          <t>New Car</t>
        </is>
      </c>
      <c r="D10" s="111" t="inlineStr">
        <is>
          <t>Savings</t>
        </is>
      </c>
      <c r="E10" s="112">
        <v>610.0</v>
      </c>
      <c r="F10" s="111" t="inlineStr">
        <is>
          <t>Joint</t>
        </is>
      </c>
      <c r="G10" s="111" t="inlineStr">
        <is>
          <t>Shared</t>
        </is>
      </c>
      <c r="H10" s="111" t="inlineStr">
        <is>
          <t>Auto transfer</t>
        </is>
      </c>
      <c r="I10" s="108">
        <f>IF($A10="","",MONTH($A10))</f>
        <v/>
      </c>
      <c r="J10" s="108">
        <f>IF($A10="","",YEAR($A10))</f>
        <v/>
      </c>
      <c r="K10" s="108">
        <f>IFERROR(INDEX(Setup!$I$7:$I$22,MATCH($C10,Setup!$D$7:$D$22,0)),"")</f>
        <v/>
      </c>
      <c r="L10" s="88" t="n"/>
      <c r="M10" s="88" t="n"/>
      <c r="N10" s="88" t="n"/>
      <c r="O10" s="88" t="n"/>
      <c r="P10" s="88" t="n"/>
      <c r="Q10" s="88" t="n"/>
      <c r="R10" s="88" t="n"/>
      <c r="S10" s="88" t="n"/>
      <c r="T10" s="88" t="n"/>
      <c r="U10" s="88" t="n"/>
      <c r="V10" s="88" t="n"/>
      <c r="W10" s="88" t="n"/>
      <c r="X10" s="88" t="n"/>
      <c r="Y10" s="88" t="n"/>
      <c r="Z10" s="88" t="n"/>
    </row>
    <row r="11" ht="15" customHeight="1" s="86">
      <c r="A11" s="107">
        <v>46025</v>
      </c>
      <c r="B11" s="95" t="inlineStr">
        <is>
          <t>Expense</t>
        </is>
      </c>
      <c r="C11" s="102" t="inlineStr">
        <is>
          <t>Insurance</t>
        </is>
      </c>
      <c r="D11" s="102" t="inlineStr">
        <is>
          <t>Checking</t>
        </is>
      </c>
      <c r="E11" s="97">
        <v>240.0</v>
      </c>
      <c r="F11" s="102" t="inlineStr">
        <is>
          <t>Joint</t>
        </is>
      </c>
      <c r="G11" s="102" t="inlineStr">
        <is>
          <t>Shared</t>
        </is>
      </c>
      <c r="H11" s="102" t="inlineStr">
        <is>
          <t>Home + car</t>
        </is>
      </c>
      <c r="I11" s="108">
        <f>IF($A11="","",MONTH($A11))</f>
        <v/>
      </c>
      <c r="J11" s="108">
        <f>IF($A11="","",YEAR($A11))</f>
        <v/>
      </c>
      <c r="K11" s="108">
        <f>IFERROR(INDEX(Setup!$I$7:$I$22,MATCH($C11,Setup!$D$7:$D$22,0)),"")</f>
        <v/>
      </c>
      <c r="L11" s="88" t="n"/>
      <c r="M11" s="88" t="n"/>
      <c r="N11" s="88" t="n"/>
      <c r="O11" s="88" t="n"/>
      <c r="P11" s="88" t="n"/>
      <c r="Q11" s="88" t="n"/>
      <c r="R11" s="88" t="n"/>
      <c r="S11" s="88" t="n"/>
      <c r="T11" s="88" t="n"/>
      <c r="U11" s="88" t="n"/>
      <c r="V11" s="88" t="n"/>
      <c r="W11" s="88" t="n"/>
      <c r="X11" s="88" t="n"/>
      <c r="Y11" s="88" t="n"/>
      <c r="Z11" s="88" t="n"/>
    </row>
    <row r="12" ht="15" customHeight="1" s="86">
      <c r="A12" s="109">
        <v>46026</v>
      </c>
      <c r="B12" s="110" t="inlineStr">
        <is>
          <t>Expense</t>
        </is>
      </c>
      <c r="C12" s="111" t="inlineStr">
        <is>
          <t>Utilities</t>
        </is>
      </c>
      <c r="D12" s="111" t="inlineStr">
        <is>
          <t>Checking</t>
        </is>
      </c>
      <c r="E12" s="112">
        <v>254.54</v>
      </c>
      <c r="F12" s="111" t="inlineStr">
        <is>
          <t>Sam</t>
        </is>
      </c>
      <c r="G12" s="111" t="inlineStr">
        <is>
          <t>Shared</t>
        </is>
      </c>
      <c r="H12" s="111" t="inlineStr">
        <is>
          <t>Electric and gas</t>
        </is>
      </c>
      <c r="I12" s="108">
        <f>IF($A12="","",MONTH($A12))</f>
        <v/>
      </c>
      <c r="J12" s="108">
        <f>IF($A12="","",YEAR($A12))</f>
        <v/>
      </c>
      <c r="K12" s="108">
        <f>IFERROR(INDEX(Setup!$I$7:$I$22,MATCH($C12,Setup!$D$7:$D$22,0)),"")</f>
        <v/>
      </c>
      <c r="L12" s="88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 t="n"/>
      <c r="Z12" s="88" t="n"/>
    </row>
    <row r="13" ht="15" customHeight="1" s="86">
      <c r="A13" s="107">
        <v>46028</v>
      </c>
      <c r="B13" s="95" t="inlineStr">
        <is>
          <t>Expense</t>
        </is>
      </c>
      <c r="C13" s="102" t="inlineStr">
        <is>
          <t>Groceries</t>
        </is>
      </c>
      <c r="D13" s="102" t="inlineStr">
        <is>
          <t>Credit Card</t>
        </is>
      </c>
      <c r="E13" s="97">
        <v>317.36</v>
      </c>
      <c r="F13" s="102" t="inlineStr">
        <is>
          <t>Sam</t>
        </is>
      </c>
      <c r="G13" s="102" t="inlineStr">
        <is>
          <t>Shared</t>
        </is>
      </c>
      <c r="H13" s="102" t="inlineStr">
        <is>
          <t>Weekly shop</t>
        </is>
      </c>
      <c r="I13" s="108">
        <f>IF($A13="","",MONTH($A13))</f>
        <v/>
      </c>
      <c r="J13" s="108">
        <f>IF($A13="","",YEAR($A13))</f>
        <v/>
      </c>
      <c r="K13" s="108">
        <f>IFERROR(INDEX(Setup!$I$7:$I$22,MATCH($C13,Setup!$D$7:$D$22,0)),"")</f>
        <v/>
      </c>
      <c r="L13" s="88" t="n"/>
      <c r="M13" s="88" t="n"/>
      <c r="N13" s="88" t="n"/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  <c r="Y13" s="88" t="n"/>
      <c r="Z13" s="88" t="n"/>
    </row>
    <row r="14" ht="15" customHeight="1" s="86">
      <c r="A14" s="109">
        <v>46029</v>
      </c>
      <c r="B14" s="110" t="inlineStr">
        <is>
          <t>Expense</t>
        </is>
      </c>
      <c r="C14" s="111" t="inlineStr">
        <is>
          <t>Subscriptions</t>
        </is>
      </c>
      <c r="D14" s="111" t="inlineStr">
        <is>
          <t>Credit Card</t>
        </is>
      </c>
      <c r="E14" s="112">
        <v>46.99</v>
      </c>
      <c r="F14" s="111" t="inlineStr">
        <is>
          <t>Alex</t>
        </is>
      </c>
      <c r="G14" s="111" t="inlineStr">
        <is>
          <t>Shared</t>
        </is>
      </c>
      <c r="H14" s="111" t="inlineStr">
        <is>
          <t>Streaming + cloud</t>
        </is>
      </c>
      <c r="I14" s="108">
        <f>IF($A14="","",MONTH($A14))</f>
        <v/>
      </c>
      <c r="J14" s="108">
        <f>IF($A14="","",YEAR($A14))</f>
        <v/>
      </c>
      <c r="K14" s="108">
        <f>IFERROR(INDEX(Setup!$I$7:$I$22,MATCH($C14,Setup!$D$7:$D$22,0)),"")</f>
        <v/>
      </c>
      <c r="L14" s="88" t="n"/>
      <c r="M14" s="88" t="n"/>
      <c r="N14" s="88" t="n"/>
      <c r="O14" s="88" t="n"/>
      <c r="P14" s="88" t="n"/>
      <c r="Q14" s="88" t="n"/>
      <c r="R14" s="88" t="n"/>
      <c r="S14" s="88" t="n"/>
      <c r="T14" s="88" t="n"/>
      <c r="U14" s="88" t="n"/>
      <c r="V14" s="88" t="n"/>
      <c r="W14" s="88" t="n"/>
      <c r="X14" s="88" t="n"/>
      <c r="Y14" s="88" t="n"/>
      <c r="Z14" s="88" t="n"/>
    </row>
    <row r="15" ht="15" customHeight="1" s="86">
      <c r="A15" s="107">
        <v>46030</v>
      </c>
      <c r="B15" s="95" t="inlineStr">
        <is>
          <t>Expense</t>
        </is>
      </c>
      <c r="C15" s="102" t="inlineStr">
        <is>
          <t>Phone and Internet</t>
        </is>
      </c>
      <c r="D15" s="102" t="inlineStr">
        <is>
          <t>Checking</t>
        </is>
      </c>
      <c r="E15" s="97">
        <v>110.0</v>
      </c>
      <c r="F15" s="102" t="inlineStr">
        <is>
          <t>Sam</t>
        </is>
      </c>
      <c r="G15" s="102" t="inlineStr">
        <is>
          <t>Shared</t>
        </is>
      </c>
      <c r="H15" s="102" t="inlineStr">
        <is>
          <t>Fibre + mobiles</t>
        </is>
      </c>
      <c r="I15" s="108">
        <f>IF($A15="","",MONTH($A15))</f>
        <v/>
      </c>
      <c r="J15" s="108">
        <f>IF($A15="","",YEAR($A15))</f>
        <v/>
      </c>
      <c r="K15" s="108">
        <f>IFERROR(INDEX(Setup!$I$7:$I$22,MATCH($C15,Setup!$D$7:$D$22,0)),"")</f>
        <v/>
      </c>
      <c r="L15" s="88" t="n"/>
      <c r="M15" s="88" t="n"/>
      <c r="N15" s="88" t="n"/>
      <c r="O15" s="88" t="n"/>
      <c r="P15" s="88" t="n"/>
      <c r="Q15" s="88" t="n"/>
      <c r="R15" s="88" t="n"/>
      <c r="S15" s="88" t="n"/>
      <c r="T15" s="88" t="n"/>
      <c r="U15" s="88" t="n"/>
      <c r="V15" s="88" t="n"/>
      <c r="W15" s="88" t="n"/>
      <c r="X15" s="88" t="n"/>
      <c r="Y15" s="88" t="n"/>
      <c r="Z15" s="88" t="n"/>
    </row>
    <row r="16" ht="15" customHeight="1" s="86">
      <c r="A16" s="109">
        <v>46031</v>
      </c>
      <c r="B16" s="110" t="inlineStr">
        <is>
          <t>Expense</t>
        </is>
      </c>
      <c r="C16" s="111" t="inlineStr">
        <is>
          <t>Transport</t>
        </is>
      </c>
      <c r="D16" s="111" t="inlineStr">
        <is>
          <t>Credit Card</t>
        </is>
      </c>
      <c r="E16" s="112">
        <v>177.94</v>
      </c>
      <c r="F16" s="111" t="inlineStr">
        <is>
          <t>Alex</t>
        </is>
      </c>
      <c r="G16" s="111" t="inlineStr">
        <is>
          <t>Shared</t>
        </is>
      </c>
      <c r="H16" s="111" t="inlineStr">
        <is>
          <t>Fuel and transit</t>
        </is>
      </c>
      <c r="I16" s="108">
        <f>IF($A16="","",MONTH($A16))</f>
        <v/>
      </c>
      <c r="J16" s="108">
        <f>IF($A16="","",YEAR($A16))</f>
        <v/>
      </c>
      <c r="K16" s="108">
        <f>IFERROR(INDEX(Setup!$I$7:$I$22,MATCH($C16,Setup!$D$7:$D$22,0)),"")</f>
        <v/>
      </c>
      <c r="L16" s="88" t="n"/>
      <c r="M16" s="88" t="n"/>
      <c r="N16" s="88" t="n"/>
      <c r="O16" s="88" t="n"/>
      <c r="P16" s="88" t="n"/>
      <c r="Q16" s="88" t="n"/>
      <c r="R16" s="88" t="n"/>
      <c r="S16" s="88" t="n"/>
      <c r="T16" s="88" t="n"/>
      <c r="U16" s="88" t="n"/>
      <c r="V16" s="88" t="n"/>
      <c r="W16" s="88" t="n"/>
      <c r="X16" s="88" t="n"/>
      <c r="Y16" s="88" t="n"/>
      <c r="Z16" s="88" t="n"/>
    </row>
    <row r="17" ht="15" customHeight="1" s="86">
      <c r="A17" s="107">
        <v>46033</v>
      </c>
      <c r="B17" s="95" t="inlineStr">
        <is>
          <t>Expense</t>
        </is>
      </c>
      <c r="C17" s="102" t="inlineStr">
        <is>
          <t>Dining out</t>
        </is>
      </c>
      <c r="D17" s="102" t="inlineStr">
        <is>
          <t>Credit Card</t>
        </is>
      </c>
      <c r="E17" s="97">
        <v>96.36</v>
      </c>
      <c r="F17" s="102" t="inlineStr">
        <is>
          <t>Alex</t>
        </is>
      </c>
      <c r="G17" s="102" t="inlineStr">
        <is>
          <t>Shared</t>
        </is>
      </c>
      <c r="H17" s="102" t="inlineStr">
        <is>
          <t>Date night</t>
        </is>
      </c>
      <c r="I17" s="108">
        <f>IF($A17="","",MONTH($A17))</f>
        <v/>
      </c>
      <c r="J17" s="108">
        <f>IF($A17="","",YEAR($A17))</f>
        <v/>
      </c>
      <c r="K17" s="108">
        <f>IFERROR(INDEX(Setup!$I$7:$I$22,MATCH($C17,Setup!$D$7:$D$22,0)),"")</f>
        <v/>
      </c>
      <c r="L17" s="88" t="n"/>
      <c r="M17" s="88" t="n"/>
      <c r="N17" s="88" t="n"/>
      <c r="O17" s="88" t="n"/>
      <c r="P17" s="88" t="n"/>
      <c r="Q17" s="88" t="n"/>
      <c r="R17" s="88" t="n"/>
      <c r="S17" s="88" t="n"/>
      <c r="T17" s="88" t="n"/>
      <c r="U17" s="88" t="n"/>
      <c r="V17" s="88" t="n"/>
      <c r="W17" s="88" t="n"/>
      <c r="X17" s="88" t="n"/>
      <c r="Y17" s="88" t="n"/>
      <c r="Z17" s="88" t="n"/>
    </row>
    <row r="18" ht="15" customHeight="1" s="86">
      <c r="A18" s="109">
        <v>46034</v>
      </c>
      <c r="B18" s="110" t="inlineStr">
        <is>
          <t>Expense</t>
        </is>
      </c>
      <c r="C18" s="111" t="inlineStr">
        <is>
          <t>Debt</t>
        </is>
      </c>
      <c r="D18" s="111" t="inlineStr">
        <is>
          <t>Checking</t>
        </is>
      </c>
      <c r="E18" s="112">
        <v>420.0</v>
      </c>
      <c r="F18" s="111" t="inlineStr">
        <is>
          <t>Joint</t>
        </is>
      </c>
      <c r="G18" s="111" t="inlineStr">
        <is>
          <t>Shared</t>
        </is>
      </c>
      <c r="H18" s="111" t="inlineStr">
        <is>
          <t>Car loan</t>
        </is>
      </c>
      <c r="I18" s="108">
        <f>IF($A18="","",MONTH($A18))</f>
        <v/>
      </c>
      <c r="J18" s="108">
        <f>IF($A18="","",YEAR($A18))</f>
        <v/>
      </c>
      <c r="K18" s="108">
        <f>IFERROR(INDEX(Setup!$I$7:$I$22,MATCH($C18,Setup!$D$7:$D$22,0)),"")</f>
        <v/>
      </c>
      <c r="L18" s="88" t="n"/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  <c r="Y18" s="88" t="n"/>
      <c r="Z18" s="88" t="n"/>
    </row>
    <row r="19" ht="15" customHeight="1" s="86">
      <c r="A19" s="107">
        <v>46037</v>
      </c>
      <c r="B19" s="95" t="inlineStr">
        <is>
          <t>Expense</t>
        </is>
      </c>
      <c r="C19" s="102" t="inlineStr">
        <is>
          <t>Shopping</t>
        </is>
      </c>
      <c r="D19" s="102" t="inlineStr">
        <is>
          <t>Credit Card</t>
        </is>
      </c>
      <c r="E19" s="97">
        <v>150.43</v>
      </c>
      <c r="F19" s="102" t="inlineStr">
        <is>
          <t>Alex</t>
        </is>
      </c>
      <c r="G19" s="102" t="inlineStr">
        <is>
          <t>Personal</t>
        </is>
      </c>
      <c r="H19" s="102" t="inlineStr">
        <is>
          <t>Clothes</t>
        </is>
      </c>
      <c r="I19" s="108">
        <f>IF($A19="","",MONTH($A19))</f>
        <v/>
      </c>
      <c r="J19" s="108">
        <f>IF($A19="","",YEAR($A19))</f>
        <v/>
      </c>
      <c r="K19" s="108">
        <f>IFERROR(INDEX(Setup!$I$7:$I$22,MATCH($C19,Setup!$D$7:$D$22,0)),"")</f>
        <v/>
      </c>
      <c r="L19" s="88" t="n"/>
      <c r="M19" s="88" t="n"/>
      <c r="N19" s="88" t="n"/>
      <c r="O19" s="88" t="n"/>
      <c r="P19" s="88" t="n"/>
      <c r="Q19" s="88" t="n"/>
      <c r="R19" s="88" t="n"/>
      <c r="S19" s="88" t="n"/>
      <c r="T19" s="88" t="n"/>
      <c r="U19" s="88" t="n"/>
      <c r="V19" s="88" t="n"/>
      <c r="W19" s="88" t="n"/>
      <c r="X19" s="88" t="n"/>
      <c r="Y19" s="88" t="n"/>
      <c r="Z19" s="88" t="n"/>
    </row>
    <row r="20" ht="15" customHeight="1" s="86">
      <c r="A20" s="109">
        <v>46038</v>
      </c>
      <c r="B20" s="110" t="inlineStr">
        <is>
          <t>Expense</t>
        </is>
      </c>
      <c r="C20" s="111" t="inlineStr">
        <is>
          <t>Shopping</t>
        </is>
      </c>
      <c r="D20" s="111" t="inlineStr">
        <is>
          <t>Credit Card</t>
        </is>
      </c>
      <c r="E20" s="112">
        <v>117.73</v>
      </c>
      <c r="F20" s="111" t="inlineStr">
        <is>
          <t>Sam</t>
        </is>
      </c>
      <c r="G20" s="111" t="inlineStr">
        <is>
          <t>Personal</t>
        </is>
      </c>
      <c r="H20" s="111" t="inlineStr">
        <is>
          <t>Clothes</t>
        </is>
      </c>
      <c r="I20" s="108">
        <f>IF($A20="","",MONTH($A20))</f>
        <v/>
      </c>
      <c r="J20" s="108">
        <f>IF($A20="","",YEAR($A20))</f>
        <v/>
      </c>
      <c r="K20" s="108">
        <f>IFERROR(INDEX(Setup!$I$7:$I$22,MATCH($C20,Setup!$D$7:$D$22,0)),"")</f>
        <v/>
      </c>
      <c r="L20" s="88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  <c r="Z20" s="88" t="n"/>
    </row>
    <row r="21" ht="15" customHeight="1" s="86">
      <c r="A21" s="107">
        <v>46039</v>
      </c>
      <c r="B21" s="95" t="inlineStr">
        <is>
          <t>Expense</t>
        </is>
      </c>
      <c r="C21" s="102" t="inlineStr">
        <is>
          <t>Health</t>
        </is>
      </c>
      <c r="D21" s="102" t="inlineStr">
        <is>
          <t>Checking</t>
        </is>
      </c>
      <c r="E21" s="97">
        <v>90</v>
      </c>
      <c r="F21" s="102" t="inlineStr">
        <is>
          <t>Alex</t>
        </is>
      </c>
      <c r="G21" s="102" t="inlineStr">
        <is>
          <t>Personal</t>
        </is>
      </c>
      <c r="H21" s="102" t="inlineStr">
        <is>
          <t>Pharmacy</t>
        </is>
      </c>
      <c r="I21" s="108">
        <f>IF($A21="","",MONTH($A21))</f>
        <v/>
      </c>
      <c r="J21" s="108">
        <f>IF($A21="","",YEAR($A21))</f>
        <v/>
      </c>
      <c r="K21" s="108">
        <f>IFERROR(INDEX(Setup!$I$7:$I$22,MATCH($C21,Setup!$D$7:$D$22,0)),"")</f>
        <v/>
      </c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</row>
    <row r="22" ht="15" customHeight="1" s="86">
      <c r="A22" s="109">
        <v>46041</v>
      </c>
      <c r="B22" s="110" t="inlineStr">
        <is>
          <t>Expense</t>
        </is>
      </c>
      <c r="C22" s="111" t="inlineStr">
        <is>
          <t>Groceries</t>
        </is>
      </c>
      <c r="D22" s="111" t="inlineStr">
        <is>
          <t>Credit Card</t>
        </is>
      </c>
      <c r="E22" s="112">
        <v>320.6</v>
      </c>
      <c r="F22" s="111" t="inlineStr">
        <is>
          <t>Sam</t>
        </is>
      </c>
      <c r="G22" s="111" t="inlineStr">
        <is>
          <t>Shared</t>
        </is>
      </c>
      <c r="H22" s="111" t="inlineStr">
        <is>
          <t>Weekly shop</t>
        </is>
      </c>
      <c r="I22" s="108">
        <f>IF($A22="","",MONTH($A22))</f>
        <v/>
      </c>
      <c r="J22" s="108">
        <f>IF($A22="","",YEAR($A22))</f>
        <v/>
      </c>
      <c r="K22" s="108">
        <f>IFERROR(INDEX(Setup!$I$7:$I$22,MATCH($C22,Setup!$D$7:$D$22,0)),"")</f>
        <v/>
      </c>
      <c r="L22" s="88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</row>
    <row r="23" ht="15" customHeight="1" s="86">
      <c r="A23" s="107">
        <v>46043</v>
      </c>
      <c r="B23" s="95" t="inlineStr">
        <is>
          <t>Expense</t>
        </is>
      </c>
      <c r="C23" s="102" t="inlineStr">
        <is>
          <t>Fun and Leisure</t>
        </is>
      </c>
      <c r="D23" s="102" t="inlineStr">
        <is>
          <t>Credit Card</t>
        </is>
      </c>
      <c r="E23" s="97">
        <v>154.68</v>
      </c>
      <c r="F23" s="102" t="inlineStr">
        <is>
          <t>Alex</t>
        </is>
      </c>
      <c r="G23" s="102" t="inlineStr">
        <is>
          <t>Personal</t>
        </is>
      </c>
      <c r="H23" s="102" t="inlineStr">
        <is>
          <t>Gym + hobbies</t>
        </is>
      </c>
      <c r="I23" s="108">
        <f>IF($A23="","",MONTH($A23))</f>
        <v/>
      </c>
      <c r="J23" s="108">
        <f>IF($A23="","",YEAR($A23))</f>
        <v/>
      </c>
      <c r="K23" s="108">
        <f>IFERROR(INDEX(Setup!$I$7:$I$22,MATCH($C23,Setup!$D$7:$D$22,0)),"")</f>
        <v/>
      </c>
      <c r="L23" s="88" t="n"/>
      <c r="M23" s="88" t="n"/>
      <c r="N23" s="88" t="n"/>
      <c r="O23" s="88" t="n"/>
      <c r="P23" s="88" t="n"/>
      <c r="Q23" s="88" t="n"/>
      <c r="R23" s="88" t="n"/>
      <c r="S23" s="88" t="n"/>
      <c r="T23" s="88" t="n"/>
      <c r="U23" s="88" t="n"/>
      <c r="V23" s="88" t="n"/>
      <c r="W23" s="88" t="n"/>
      <c r="X23" s="88" t="n"/>
      <c r="Y23" s="88" t="n"/>
      <c r="Z23" s="88" t="n"/>
    </row>
    <row r="24" ht="15" customHeight="1" s="86">
      <c r="A24" s="109">
        <v>46044</v>
      </c>
      <c r="B24" s="110" t="inlineStr">
        <is>
          <t>Expense</t>
        </is>
      </c>
      <c r="C24" s="111" t="inlineStr">
        <is>
          <t>Fun and Leisure</t>
        </is>
      </c>
      <c r="D24" s="111" t="inlineStr">
        <is>
          <t>Credit Card</t>
        </is>
      </c>
      <c r="E24" s="112">
        <v>135.39</v>
      </c>
      <c r="F24" s="111" t="inlineStr">
        <is>
          <t>Sam</t>
        </is>
      </c>
      <c r="G24" s="111" t="inlineStr">
        <is>
          <t>Personal</t>
        </is>
      </c>
      <c r="H24" s="111" t="inlineStr">
        <is>
          <t>Gym + hobbies</t>
        </is>
      </c>
      <c r="I24" s="108">
        <f>IF($A24="","",MONTH($A24))</f>
        <v/>
      </c>
      <c r="J24" s="108">
        <f>IF($A24="","",YEAR($A24))</f>
        <v/>
      </c>
      <c r="K24" s="108">
        <f>IFERROR(INDEX(Setup!$I$7:$I$22,MATCH($C24,Setup!$D$7:$D$22,0)),"")</f>
        <v/>
      </c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8" t="n"/>
      <c r="W24" s="88" t="n"/>
      <c r="X24" s="88" t="n"/>
      <c r="Y24" s="88" t="n"/>
      <c r="Z24" s="88" t="n"/>
    </row>
    <row r="25" ht="15" customHeight="1" s="86">
      <c r="A25" s="107">
        <v>46045</v>
      </c>
      <c r="B25" s="95" t="inlineStr">
        <is>
          <t>Expense</t>
        </is>
      </c>
      <c r="C25" s="102" t="inlineStr">
        <is>
          <t>Transport</t>
        </is>
      </c>
      <c r="D25" s="102" t="inlineStr">
        <is>
          <t>Credit Card</t>
        </is>
      </c>
      <c r="E25" s="97">
        <v>183.78</v>
      </c>
      <c r="F25" s="102" t="inlineStr">
        <is>
          <t>Sam</t>
        </is>
      </c>
      <c r="G25" s="102" t="inlineStr">
        <is>
          <t>Shared</t>
        </is>
      </c>
      <c r="H25" s="102" t="inlineStr">
        <is>
          <t>Fuel and transit</t>
        </is>
      </c>
      <c r="I25" s="108">
        <f>IF($A25="","",MONTH($A25))</f>
        <v/>
      </c>
      <c r="J25" s="108">
        <f>IF($A25="","",YEAR($A25))</f>
        <v/>
      </c>
      <c r="K25" s="108">
        <f>IFERROR(INDEX(Setup!$I$7:$I$22,MATCH($C25,Setup!$D$7:$D$22,0)),"")</f>
        <v/>
      </c>
      <c r="L25" s="88" t="n"/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8" t="n"/>
      <c r="W25" s="88" t="n"/>
      <c r="X25" s="88" t="n"/>
      <c r="Y25" s="88" t="n"/>
      <c r="Z25" s="88" t="n"/>
    </row>
    <row r="26" ht="15" customHeight="1" s="86">
      <c r="A26" s="109">
        <v>46046</v>
      </c>
      <c r="B26" s="110" t="inlineStr">
        <is>
          <t>Expense</t>
        </is>
      </c>
      <c r="C26" s="111" t="inlineStr">
        <is>
          <t>Dining out</t>
        </is>
      </c>
      <c r="D26" s="111" t="inlineStr">
        <is>
          <t>Credit Card</t>
        </is>
      </c>
      <c r="E26" s="112">
        <v>87.81</v>
      </c>
      <c r="F26" s="111" t="inlineStr">
        <is>
          <t>Sam</t>
        </is>
      </c>
      <c r="G26" s="111" t="inlineStr">
        <is>
          <t>Shared</t>
        </is>
      </c>
      <c r="H26" s="111" t="inlineStr">
        <is>
          <t>Lunch out</t>
        </is>
      </c>
      <c r="I26" s="108">
        <f>IF($A26="","",MONTH($A26))</f>
        <v/>
      </c>
      <c r="J26" s="108">
        <f>IF($A26="","",YEAR($A26))</f>
        <v/>
      </c>
      <c r="K26" s="108">
        <f>IFERROR(INDEX(Setup!$I$7:$I$22,MATCH($C26,Setup!$D$7:$D$22,0)),"")</f>
        <v/>
      </c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8" t="n"/>
      <c r="W26" s="88" t="n"/>
      <c r="X26" s="88" t="n"/>
      <c r="Y26" s="88" t="n"/>
      <c r="Z26" s="88" t="n"/>
    </row>
    <row r="27" ht="15" customHeight="1" s="86">
      <c r="A27" s="107">
        <v>46054</v>
      </c>
      <c r="B27" s="95" t="inlineStr">
        <is>
          <t>Income</t>
        </is>
      </c>
      <c r="C27" s="102" t="inlineStr">
        <is>
          <t>Salary</t>
        </is>
      </c>
      <c r="D27" s="102" t="inlineStr">
        <is>
          <t>Checking</t>
        </is>
      </c>
      <c r="E27" s="97">
        <v>5200</v>
      </c>
      <c r="F27" s="102" t="inlineStr">
        <is>
          <t>Alex</t>
        </is>
      </c>
      <c r="G27" s="102" t="inlineStr">
        <is>
          <t>Personal</t>
        </is>
      </c>
      <c r="H27" s="102" t="inlineStr">
        <is>
          <t>Monthly pay</t>
        </is>
      </c>
      <c r="I27" s="108">
        <f>IF($A27="","",MONTH($A27))</f>
        <v/>
      </c>
      <c r="J27" s="108">
        <f>IF($A27="","",YEAR($A27))</f>
        <v/>
      </c>
      <c r="K27" s="108">
        <f>IFERROR(INDEX(Setup!$I$7:$I$22,MATCH($C27,Setup!$D$7:$D$22,0)),"")</f>
        <v/>
      </c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8" t="n"/>
      <c r="W27" s="88" t="n"/>
      <c r="X27" s="88" t="n"/>
      <c r="Y27" s="88" t="n"/>
      <c r="Z27" s="88" t="n"/>
    </row>
    <row r="28" ht="15" customHeight="1" s="86">
      <c r="A28" s="109">
        <v>46054</v>
      </c>
      <c r="B28" s="110" t="inlineStr">
        <is>
          <t>Income</t>
        </is>
      </c>
      <c r="C28" s="111" t="inlineStr">
        <is>
          <t>Salary</t>
        </is>
      </c>
      <c r="D28" s="111" t="inlineStr">
        <is>
          <t>Checking</t>
        </is>
      </c>
      <c r="E28" s="112">
        <v>3800</v>
      </c>
      <c r="F28" s="111" t="inlineStr">
        <is>
          <t>Sam</t>
        </is>
      </c>
      <c r="G28" s="111" t="inlineStr">
        <is>
          <t>Personal</t>
        </is>
      </c>
      <c r="H28" s="111" t="inlineStr">
        <is>
          <t>Monthly pay</t>
        </is>
      </c>
      <c r="I28" s="108">
        <f>IF($A28="","",MONTH($A28))</f>
        <v/>
      </c>
      <c r="J28" s="108">
        <f>IF($A28="","",YEAR($A28))</f>
        <v/>
      </c>
      <c r="K28" s="108">
        <f>IFERROR(INDEX(Setup!$I$7:$I$22,MATCH($C28,Setup!$D$7:$D$22,0)),"")</f>
        <v/>
      </c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  <c r="Z28" s="88" t="n"/>
    </row>
    <row r="29" ht="15" customHeight="1" s="86">
      <c r="A29" s="107">
        <v>46054</v>
      </c>
      <c r="B29" s="95" t="inlineStr">
        <is>
          <t>Expense</t>
        </is>
      </c>
      <c r="C29" s="102" t="inlineStr">
        <is>
          <t>Rent or Mortgage</t>
        </is>
      </c>
      <c r="D29" s="102" t="inlineStr">
        <is>
          <t>Checking</t>
        </is>
      </c>
      <c r="E29" s="97">
        <v>2400.0</v>
      </c>
      <c r="F29" s="102" t="inlineStr">
        <is>
          <t>Alex</t>
        </is>
      </c>
      <c r="G29" s="102" t="inlineStr">
        <is>
          <t>Shared</t>
        </is>
      </c>
      <c r="H29" s="102" t="inlineStr">
        <is>
          <t>Rent</t>
        </is>
      </c>
      <c r="I29" s="108">
        <f>IF($A29="","",MONTH($A29))</f>
        <v/>
      </c>
      <c r="J29" s="108">
        <f>IF($A29="","",YEAR($A29))</f>
        <v/>
      </c>
      <c r="K29" s="108">
        <f>IFERROR(INDEX(Setup!$I$7:$I$22,MATCH($C29,Setup!$D$7:$D$22,0)),"")</f>
        <v/>
      </c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8" t="n"/>
      <c r="Z29" s="88" t="n"/>
    </row>
    <row r="30" ht="15" customHeight="1" s="86">
      <c r="A30" s="109">
        <v>46055</v>
      </c>
      <c r="B30" s="110" t="inlineStr">
        <is>
          <t>Transfer</t>
        </is>
      </c>
      <c r="C30" s="111" t="inlineStr">
        <is>
          <t>Emergency Fund</t>
        </is>
      </c>
      <c r="D30" s="111" t="inlineStr">
        <is>
          <t>Savings</t>
        </is>
      </c>
      <c r="E30" s="112">
        <v>850.0</v>
      </c>
      <c r="F30" s="111" t="inlineStr">
        <is>
          <t>Joint</t>
        </is>
      </c>
      <c r="G30" s="111" t="inlineStr">
        <is>
          <t>Shared</t>
        </is>
      </c>
      <c r="H30" s="111" t="inlineStr">
        <is>
          <t>Auto transfer</t>
        </is>
      </c>
      <c r="I30" s="108">
        <f>IF($A30="","",MONTH($A30))</f>
        <v/>
      </c>
      <c r="J30" s="108">
        <f>IF($A30="","",YEAR($A30))</f>
        <v/>
      </c>
      <c r="K30" s="108">
        <f>IFERROR(INDEX(Setup!$I$7:$I$22,MATCH($C30,Setup!$D$7:$D$22,0)),"")</f>
        <v/>
      </c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  <c r="Y30" s="88" t="n"/>
      <c r="Z30" s="88" t="n"/>
    </row>
    <row r="31" ht="15" customHeight="1" s="86">
      <c r="A31" s="107">
        <v>46055</v>
      </c>
      <c r="B31" s="95" t="inlineStr">
        <is>
          <t>Transfer</t>
        </is>
      </c>
      <c r="C31" s="102" t="inlineStr">
        <is>
          <t>Holiday Fund</t>
        </is>
      </c>
      <c r="D31" s="102" t="inlineStr">
        <is>
          <t>Savings</t>
        </is>
      </c>
      <c r="E31" s="97">
        <v>420.0</v>
      </c>
      <c r="F31" s="102" t="inlineStr">
        <is>
          <t>Joint</t>
        </is>
      </c>
      <c r="G31" s="102" t="inlineStr">
        <is>
          <t>Shared</t>
        </is>
      </c>
      <c r="H31" s="102" t="inlineStr">
        <is>
          <t>Auto transfer</t>
        </is>
      </c>
      <c r="I31" s="108">
        <f>IF($A31="","",MONTH($A31))</f>
        <v/>
      </c>
      <c r="J31" s="108">
        <f>IF($A31="","",YEAR($A31))</f>
        <v/>
      </c>
      <c r="K31" s="108">
        <f>IFERROR(INDEX(Setup!$I$7:$I$22,MATCH($C31,Setup!$D$7:$D$22,0)),"")</f>
        <v/>
      </c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  <c r="Y31" s="88" t="n"/>
      <c r="Z31" s="88" t="n"/>
    </row>
    <row r="32" ht="15" customHeight="1" s="86">
      <c r="A32" s="109">
        <v>46055</v>
      </c>
      <c r="B32" s="110" t="inlineStr">
        <is>
          <t>Transfer</t>
        </is>
      </c>
      <c r="C32" s="111" t="inlineStr">
        <is>
          <t>New Car</t>
        </is>
      </c>
      <c r="D32" s="111" t="inlineStr">
        <is>
          <t>Savings</t>
        </is>
      </c>
      <c r="E32" s="112">
        <v>610.0</v>
      </c>
      <c r="F32" s="111" t="inlineStr">
        <is>
          <t>Joint</t>
        </is>
      </c>
      <c r="G32" s="111" t="inlineStr">
        <is>
          <t>Shared</t>
        </is>
      </c>
      <c r="H32" s="111" t="inlineStr">
        <is>
          <t>Auto transfer</t>
        </is>
      </c>
      <c r="I32" s="108">
        <f>IF($A32="","",MONTH($A32))</f>
        <v/>
      </c>
      <c r="J32" s="108">
        <f>IF($A32="","",YEAR($A32))</f>
        <v/>
      </c>
      <c r="K32" s="108">
        <f>IFERROR(INDEX(Setup!$I$7:$I$22,MATCH($C32,Setup!$D$7:$D$22,0)),"")</f>
        <v/>
      </c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8" t="n"/>
      <c r="W32" s="88" t="n"/>
      <c r="X32" s="88" t="n"/>
      <c r="Y32" s="88" t="n"/>
      <c r="Z32" s="88" t="n"/>
    </row>
    <row r="33" ht="15" customHeight="1" s="86">
      <c r="A33" s="107">
        <v>46056</v>
      </c>
      <c r="B33" s="95" t="inlineStr">
        <is>
          <t>Expense</t>
        </is>
      </c>
      <c r="C33" s="102" t="inlineStr">
        <is>
          <t>Insurance</t>
        </is>
      </c>
      <c r="D33" s="102" t="inlineStr">
        <is>
          <t>Checking</t>
        </is>
      </c>
      <c r="E33" s="97">
        <v>240.0</v>
      </c>
      <c r="F33" s="102" t="inlineStr">
        <is>
          <t>Joint</t>
        </is>
      </c>
      <c r="G33" s="102" t="inlineStr">
        <is>
          <t>Shared</t>
        </is>
      </c>
      <c r="H33" s="102" t="inlineStr">
        <is>
          <t>Home + car</t>
        </is>
      </c>
      <c r="I33" s="108">
        <f>IF($A33="","",MONTH($A33))</f>
        <v/>
      </c>
      <c r="J33" s="108">
        <f>IF($A33="","",YEAR($A33))</f>
        <v/>
      </c>
      <c r="K33" s="108">
        <f>IFERROR(INDEX(Setup!$I$7:$I$22,MATCH($C33,Setup!$D$7:$D$22,0)),"")</f>
        <v/>
      </c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8" t="n"/>
      <c r="W33" s="88" t="n"/>
      <c r="X33" s="88" t="n"/>
      <c r="Y33" s="88" t="n"/>
      <c r="Z33" s="88" t="n"/>
    </row>
    <row r="34" ht="15" customHeight="1" s="86">
      <c r="A34" s="109">
        <v>46057</v>
      </c>
      <c r="B34" s="110" t="inlineStr">
        <is>
          <t>Expense</t>
        </is>
      </c>
      <c r="C34" s="111" t="inlineStr">
        <is>
          <t>Utilities</t>
        </is>
      </c>
      <c r="D34" s="111" t="inlineStr">
        <is>
          <t>Checking</t>
        </is>
      </c>
      <c r="E34" s="112">
        <v>242.51</v>
      </c>
      <c r="F34" s="111" t="inlineStr">
        <is>
          <t>Sam</t>
        </is>
      </c>
      <c r="G34" s="111" t="inlineStr">
        <is>
          <t>Shared</t>
        </is>
      </c>
      <c r="H34" s="111" t="inlineStr">
        <is>
          <t>Electric and gas</t>
        </is>
      </c>
      <c r="I34" s="108">
        <f>IF($A34="","",MONTH($A34))</f>
        <v/>
      </c>
      <c r="J34" s="108">
        <f>IF($A34="","",YEAR($A34))</f>
        <v/>
      </c>
      <c r="K34" s="108">
        <f>IFERROR(INDEX(Setup!$I$7:$I$22,MATCH($C34,Setup!$D$7:$D$22,0)),"")</f>
        <v/>
      </c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8" t="n"/>
      <c r="W34" s="88" t="n"/>
      <c r="X34" s="88" t="n"/>
      <c r="Y34" s="88" t="n"/>
      <c r="Z34" s="88" t="n"/>
    </row>
    <row r="35" ht="15" customHeight="1" s="86">
      <c r="A35" s="107">
        <v>46059</v>
      </c>
      <c r="B35" s="95" t="inlineStr">
        <is>
          <t>Expense</t>
        </is>
      </c>
      <c r="C35" s="102" t="inlineStr">
        <is>
          <t>Groceries</t>
        </is>
      </c>
      <c r="D35" s="102" t="inlineStr">
        <is>
          <t>Credit Card</t>
        </is>
      </c>
      <c r="E35" s="97">
        <v>334.86</v>
      </c>
      <c r="F35" s="102" t="inlineStr">
        <is>
          <t>Sam</t>
        </is>
      </c>
      <c r="G35" s="102" t="inlineStr">
        <is>
          <t>Shared</t>
        </is>
      </c>
      <c r="H35" s="102" t="inlineStr">
        <is>
          <t>Weekly shop</t>
        </is>
      </c>
      <c r="I35" s="108">
        <f>IF($A35="","",MONTH($A35))</f>
        <v/>
      </c>
      <c r="J35" s="108">
        <f>IF($A35="","",YEAR($A35))</f>
        <v/>
      </c>
      <c r="K35" s="108">
        <f>IFERROR(INDEX(Setup!$I$7:$I$22,MATCH($C35,Setup!$D$7:$D$22,0)),"")</f>
        <v/>
      </c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8" t="n"/>
      <c r="X35" s="88" t="n"/>
      <c r="Y35" s="88" t="n"/>
      <c r="Z35" s="88" t="n"/>
    </row>
    <row r="36" ht="15" customHeight="1" s="86">
      <c r="A36" s="109">
        <v>46060</v>
      </c>
      <c r="B36" s="110" t="inlineStr">
        <is>
          <t>Expense</t>
        </is>
      </c>
      <c r="C36" s="111" t="inlineStr">
        <is>
          <t>Subscriptions</t>
        </is>
      </c>
      <c r="D36" s="111" t="inlineStr">
        <is>
          <t>Credit Card</t>
        </is>
      </c>
      <c r="E36" s="112">
        <v>46.99</v>
      </c>
      <c r="F36" s="111" t="inlineStr">
        <is>
          <t>Alex</t>
        </is>
      </c>
      <c r="G36" s="111" t="inlineStr">
        <is>
          <t>Shared</t>
        </is>
      </c>
      <c r="H36" s="111" t="inlineStr">
        <is>
          <t>Streaming + cloud</t>
        </is>
      </c>
      <c r="I36" s="108">
        <f>IF($A36="","",MONTH($A36))</f>
        <v/>
      </c>
      <c r="J36" s="108">
        <f>IF($A36="","",YEAR($A36))</f>
        <v/>
      </c>
      <c r="K36" s="108">
        <f>IFERROR(INDEX(Setup!$I$7:$I$22,MATCH($C36,Setup!$D$7:$D$22,0)),"")</f>
        <v/>
      </c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  <c r="Y36" s="88" t="n"/>
      <c r="Z36" s="88" t="n"/>
    </row>
    <row r="37" ht="15" customHeight="1" s="86">
      <c r="A37" s="107">
        <v>46061</v>
      </c>
      <c r="B37" s="95" t="inlineStr">
        <is>
          <t>Expense</t>
        </is>
      </c>
      <c r="C37" s="102" t="inlineStr">
        <is>
          <t>Phone and Internet</t>
        </is>
      </c>
      <c r="D37" s="102" t="inlineStr">
        <is>
          <t>Checking</t>
        </is>
      </c>
      <c r="E37" s="97">
        <v>110.0</v>
      </c>
      <c r="F37" s="102" t="inlineStr">
        <is>
          <t>Sam</t>
        </is>
      </c>
      <c r="G37" s="102" t="inlineStr">
        <is>
          <t>Shared</t>
        </is>
      </c>
      <c r="H37" s="102" t="inlineStr">
        <is>
          <t>Fibre + mobiles</t>
        </is>
      </c>
      <c r="I37" s="108">
        <f>IF($A37="","",MONTH($A37))</f>
        <v/>
      </c>
      <c r="J37" s="108">
        <f>IF($A37="","",YEAR($A37))</f>
        <v/>
      </c>
      <c r="K37" s="108">
        <f>IFERROR(INDEX(Setup!$I$7:$I$22,MATCH($C37,Setup!$D$7:$D$22,0)),"")</f>
        <v/>
      </c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8" t="n"/>
      <c r="X37" s="88" t="n"/>
      <c r="Y37" s="88" t="n"/>
      <c r="Z37" s="88" t="n"/>
    </row>
    <row r="38" ht="15" customHeight="1" s="86">
      <c r="A38" s="109">
        <v>46062</v>
      </c>
      <c r="B38" s="110" t="inlineStr">
        <is>
          <t>Expense</t>
        </is>
      </c>
      <c r="C38" s="111" t="inlineStr">
        <is>
          <t>Transport</t>
        </is>
      </c>
      <c r="D38" s="111" t="inlineStr">
        <is>
          <t>Credit Card</t>
        </is>
      </c>
      <c r="E38" s="112">
        <v>171.51</v>
      </c>
      <c r="F38" s="111" t="inlineStr">
        <is>
          <t>Alex</t>
        </is>
      </c>
      <c r="G38" s="111" t="inlineStr">
        <is>
          <t>Shared</t>
        </is>
      </c>
      <c r="H38" s="111" t="inlineStr">
        <is>
          <t>Fuel and transit</t>
        </is>
      </c>
      <c r="I38" s="108">
        <f>IF($A38="","",MONTH($A38))</f>
        <v/>
      </c>
      <c r="J38" s="108">
        <f>IF($A38="","",YEAR($A38))</f>
        <v/>
      </c>
      <c r="K38" s="108">
        <f>IFERROR(INDEX(Setup!$I$7:$I$22,MATCH($C38,Setup!$D$7:$D$22,0)),"")</f>
        <v/>
      </c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8" t="n"/>
      <c r="W38" s="88" t="n"/>
      <c r="X38" s="88" t="n"/>
      <c r="Y38" s="88" t="n"/>
      <c r="Z38" s="88" t="n"/>
    </row>
    <row r="39" ht="15" customHeight="1" s="86">
      <c r="A39" s="107">
        <v>46064</v>
      </c>
      <c r="B39" s="95" t="inlineStr">
        <is>
          <t>Expense</t>
        </is>
      </c>
      <c r="C39" s="102" t="inlineStr">
        <is>
          <t>Dining out</t>
        </is>
      </c>
      <c r="D39" s="102" t="inlineStr">
        <is>
          <t>Credit Card</t>
        </is>
      </c>
      <c r="E39" s="97">
        <v>85.67</v>
      </c>
      <c r="F39" s="102" t="inlineStr">
        <is>
          <t>Alex</t>
        </is>
      </c>
      <c r="G39" s="102" t="inlineStr">
        <is>
          <t>Shared</t>
        </is>
      </c>
      <c r="H39" s="102" t="inlineStr">
        <is>
          <t>Date night</t>
        </is>
      </c>
      <c r="I39" s="108">
        <f>IF($A39="","",MONTH($A39))</f>
        <v/>
      </c>
      <c r="J39" s="108">
        <f>IF($A39="","",YEAR($A39))</f>
        <v/>
      </c>
      <c r="K39" s="108">
        <f>IFERROR(INDEX(Setup!$I$7:$I$22,MATCH($C39,Setup!$D$7:$D$22,0)),"")</f>
        <v/>
      </c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8" t="n"/>
      <c r="X39" s="88" t="n"/>
      <c r="Y39" s="88" t="n"/>
      <c r="Z39" s="88" t="n"/>
    </row>
    <row r="40" ht="15" customHeight="1" s="86">
      <c r="A40" s="109">
        <v>46065</v>
      </c>
      <c r="B40" s="110" t="inlineStr">
        <is>
          <t>Expense</t>
        </is>
      </c>
      <c r="C40" s="111" t="inlineStr">
        <is>
          <t>Debt</t>
        </is>
      </c>
      <c r="D40" s="111" t="inlineStr">
        <is>
          <t>Checking</t>
        </is>
      </c>
      <c r="E40" s="112">
        <v>420.0</v>
      </c>
      <c r="F40" s="111" t="inlineStr">
        <is>
          <t>Joint</t>
        </is>
      </c>
      <c r="G40" s="111" t="inlineStr">
        <is>
          <t>Shared</t>
        </is>
      </c>
      <c r="H40" s="111" t="inlineStr">
        <is>
          <t>Car loan</t>
        </is>
      </c>
      <c r="I40" s="108">
        <f>IF($A40="","",MONTH($A40))</f>
        <v/>
      </c>
      <c r="J40" s="108">
        <f>IF($A40="","",YEAR($A40))</f>
        <v/>
      </c>
      <c r="K40" s="108">
        <f>IFERROR(INDEX(Setup!$I$7:$I$22,MATCH($C40,Setup!$D$7:$D$22,0)),"")</f>
        <v/>
      </c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8" t="n"/>
      <c r="X40" s="88" t="n"/>
      <c r="Y40" s="88" t="n"/>
      <c r="Z40" s="88" t="n"/>
    </row>
    <row r="41" ht="15" customHeight="1" s="86">
      <c r="A41" s="107">
        <v>46067</v>
      </c>
      <c r="B41" s="95" t="inlineStr">
        <is>
          <t>Expense</t>
        </is>
      </c>
      <c r="C41" s="102" t="inlineStr">
        <is>
          <t>Gifts</t>
        </is>
      </c>
      <c r="D41" s="102" t="inlineStr">
        <is>
          <t>Credit Card</t>
        </is>
      </c>
      <c r="E41" s="97">
        <v>140</v>
      </c>
      <c r="F41" s="102" t="inlineStr">
        <is>
          <t>Alex</t>
        </is>
      </c>
      <c r="G41" s="102" t="inlineStr">
        <is>
          <t>Personal</t>
        </is>
      </c>
      <c r="H41" s="102" t="inlineStr">
        <is>
          <t>Present</t>
        </is>
      </c>
      <c r="I41" s="108">
        <f>IF($A41="","",MONTH($A41))</f>
        <v/>
      </c>
      <c r="J41" s="108">
        <f>IF($A41="","",YEAR($A41))</f>
        <v/>
      </c>
      <c r="K41" s="108">
        <f>IFERROR(INDEX(Setup!$I$7:$I$22,MATCH($C41,Setup!$D$7:$D$22,0)),"")</f>
        <v/>
      </c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8" t="n"/>
      <c r="X41" s="88" t="n"/>
      <c r="Y41" s="88" t="n"/>
      <c r="Z41" s="88" t="n"/>
    </row>
    <row r="42" ht="15" customHeight="1" s="86">
      <c r="A42" s="109">
        <v>46068</v>
      </c>
      <c r="B42" s="110" t="inlineStr">
        <is>
          <t>Expense</t>
        </is>
      </c>
      <c r="C42" s="111" t="inlineStr">
        <is>
          <t>Shopping</t>
        </is>
      </c>
      <c r="D42" s="111" t="inlineStr">
        <is>
          <t>Credit Card</t>
        </is>
      </c>
      <c r="E42" s="112">
        <v>155.54</v>
      </c>
      <c r="F42" s="111" t="inlineStr">
        <is>
          <t>Alex</t>
        </is>
      </c>
      <c r="G42" s="111" t="inlineStr">
        <is>
          <t>Personal</t>
        </is>
      </c>
      <c r="H42" s="111" t="inlineStr">
        <is>
          <t>Clothes</t>
        </is>
      </c>
      <c r="I42" s="108">
        <f>IF($A42="","",MONTH($A42))</f>
        <v/>
      </c>
      <c r="J42" s="108">
        <f>IF($A42="","",YEAR($A42))</f>
        <v/>
      </c>
      <c r="K42" s="108">
        <f>IFERROR(INDEX(Setup!$I$7:$I$22,MATCH($C42,Setup!$D$7:$D$22,0)),"")</f>
        <v/>
      </c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8" t="n"/>
      <c r="X42" s="88" t="n"/>
      <c r="Y42" s="88" t="n"/>
      <c r="Z42" s="88" t="n"/>
    </row>
    <row r="43" ht="15" customHeight="1" s="86">
      <c r="A43" s="107">
        <v>46069</v>
      </c>
      <c r="B43" s="95" t="inlineStr">
        <is>
          <t>Expense</t>
        </is>
      </c>
      <c r="C43" s="102" t="inlineStr">
        <is>
          <t>Shopping</t>
        </is>
      </c>
      <c r="D43" s="102" t="inlineStr">
        <is>
          <t>Credit Card</t>
        </is>
      </c>
      <c r="E43" s="97">
        <v>100.96</v>
      </c>
      <c r="F43" s="102" t="inlineStr">
        <is>
          <t>Sam</t>
        </is>
      </c>
      <c r="G43" s="102" t="inlineStr">
        <is>
          <t>Personal</t>
        </is>
      </c>
      <c r="H43" s="102" t="inlineStr">
        <is>
          <t>Clothes</t>
        </is>
      </c>
      <c r="I43" s="108">
        <f>IF($A43="","",MONTH($A43))</f>
        <v/>
      </c>
      <c r="J43" s="108">
        <f>IF($A43="","",YEAR($A43))</f>
        <v/>
      </c>
      <c r="K43" s="108">
        <f>IFERROR(INDEX(Setup!$I$7:$I$22,MATCH($C43,Setup!$D$7:$D$22,0)),"")</f>
        <v/>
      </c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8" t="n"/>
      <c r="W43" s="88" t="n"/>
      <c r="X43" s="88" t="n"/>
      <c r="Y43" s="88" t="n"/>
      <c r="Z43" s="88" t="n"/>
    </row>
    <row r="44" ht="15" customHeight="1" s="86">
      <c r="A44" s="109">
        <v>46072</v>
      </c>
      <c r="B44" s="110" t="inlineStr">
        <is>
          <t>Expense</t>
        </is>
      </c>
      <c r="C44" s="111" t="inlineStr">
        <is>
          <t>Groceries</t>
        </is>
      </c>
      <c r="D44" s="111" t="inlineStr">
        <is>
          <t>Credit Card</t>
        </is>
      </c>
      <c r="E44" s="112">
        <v>284.82</v>
      </c>
      <c r="F44" s="111" t="inlineStr">
        <is>
          <t>Sam</t>
        </is>
      </c>
      <c r="G44" s="111" t="inlineStr">
        <is>
          <t>Shared</t>
        </is>
      </c>
      <c r="H44" s="111" t="inlineStr">
        <is>
          <t>Weekly shop</t>
        </is>
      </c>
      <c r="I44" s="108">
        <f>IF($A44="","",MONTH($A44))</f>
        <v/>
      </c>
      <c r="J44" s="108">
        <f>IF($A44="","",YEAR($A44))</f>
        <v/>
      </c>
      <c r="K44" s="108">
        <f>IFERROR(INDEX(Setup!$I$7:$I$22,MATCH($C44,Setup!$D$7:$D$22,0)),"")</f>
        <v/>
      </c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8" t="n"/>
      <c r="W44" s="88" t="n"/>
      <c r="X44" s="88" t="n"/>
      <c r="Y44" s="88" t="n"/>
      <c r="Z44" s="88" t="n"/>
    </row>
    <row r="45" ht="15" customHeight="1" s="86">
      <c r="A45" s="107">
        <v>46074</v>
      </c>
      <c r="B45" s="95" t="inlineStr">
        <is>
          <t>Expense</t>
        </is>
      </c>
      <c r="C45" s="102" t="inlineStr">
        <is>
          <t>Fun and Leisure</t>
        </is>
      </c>
      <c r="D45" s="102" t="inlineStr">
        <is>
          <t>Credit Card</t>
        </is>
      </c>
      <c r="E45" s="97">
        <v>154.16</v>
      </c>
      <c r="F45" s="102" t="inlineStr">
        <is>
          <t>Alex</t>
        </is>
      </c>
      <c r="G45" s="102" t="inlineStr">
        <is>
          <t>Personal</t>
        </is>
      </c>
      <c r="H45" s="102" t="inlineStr">
        <is>
          <t>Gym + hobbies</t>
        </is>
      </c>
      <c r="I45" s="108">
        <f>IF($A45="","",MONTH($A45))</f>
        <v/>
      </c>
      <c r="J45" s="108">
        <f>IF($A45="","",YEAR($A45))</f>
        <v/>
      </c>
      <c r="K45" s="108">
        <f>IFERROR(INDEX(Setup!$I$7:$I$22,MATCH($C45,Setup!$D$7:$D$22,0)),"")</f>
        <v/>
      </c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8" t="n"/>
      <c r="W45" s="88" t="n"/>
      <c r="X45" s="88" t="n"/>
      <c r="Y45" s="88" t="n"/>
      <c r="Z45" s="88" t="n"/>
    </row>
    <row r="46" ht="15" customHeight="1" s="86">
      <c r="A46" s="109">
        <v>46075</v>
      </c>
      <c r="B46" s="110" t="inlineStr">
        <is>
          <t>Expense</t>
        </is>
      </c>
      <c r="C46" s="111" t="inlineStr">
        <is>
          <t>Fun and Leisure</t>
        </is>
      </c>
      <c r="D46" s="111" t="inlineStr">
        <is>
          <t>Credit Card</t>
        </is>
      </c>
      <c r="E46" s="112">
        <v>132.54</v>
      </c>
      <c r="F46" s="111" t="inlineStr">
        <is>
          <t>Sam</t>
        </is>
      </c>
      <c r="G46" s="111" t="inlineStr">
        <is>
          <t>Personal</t>
        </is>
      </c>
      <c r="H46" s="111" t="inlineStr">
        <is>
          <t>Gym + hobbies</t>
        </is>
      </c>
      <c r="I46" s="108">
        <f>IF($A46="","",MONTH($A46))</f>
        <v/>
      </c>
      <c r="J46" s="108">
        <f>IF($A46="","",YEAR($A46))</f>
        <v/>
      </c>
      <c r="K46" s="108">
        <f>IFERROR(INDEX(Setup!$I$7:$I$22,MATCH($C46,Setup!$D$7:$D$22,0)),"")</f>
        <v/>
      </c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8" t="n"/>
      <c r="W46" s="88" t="n"/>
      <c r="X46" s="88" t="n"/>
      <c r="Y46" s="88" t="n"/>
      <c r="Z46" s="88" t="n"/>
    </row>
    <row r="47" ht="15" customHeight="1" s="86">
      <c r="A47" s="107">
        <v>46076</v>
      </c>
      <c r="B47" s="95" t="inlineStr">
        <is>
          <t>Expense</t>
        </is>
      </c>
      <c r="C47" s="102" t="inlineStr">
        <is>
          <t>Transport</t>
        </is>
      </c>
      <c r="D47" s="102" t="inlineStr">
        <is>
          <t>Credit Card</t>
        </is>
      </c>
      <c r="E47" s="97">
        <v>200.83</v>
      </c>
      <c r="F47" s="102" t="inlineStr">
        <is>
          <t>Sam</t>
        </is>
      </c>
      <c r="G47" s="102" t="inlineStr">
        <is>
          <t>Shared</t>
        </is>
      </c>
      <c r="H47" s="102" t="inlineStr">
        <is>
          <t>Fuel and transit</t>
        </is>
      </c>
      <c r="I47" s="108">
        <f>IF($A47="","",MONTH($A47))</f>
        <v/>
      </c>
      <c r="J47" s="108">
        <f>IF($A47="","",YEAR($A47))</f>
        <v/>
      </c>
      <c r="K47" s="108">
        <f>IFERROR(INDEX(Setup!$I$7:$I$22,MATCH($C47,Setup!$D$7:$D$22,0)),"")</f>
        <v/>
      </c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8" t="n"/>
      <c r="X47" s="88" t="n"/>
      <c r="Y47" s="88" t="n"/>
      <c r="Z47" s="88" t="n"/>
    </row>
    <row r="48" ht="15" customHeight="1" s="86">
      <c r="A48" s="109">
        <v>46077</v>
      </c>
      <c r="B48" s="110" t="inlineStr">
        <is>
          <t>Expense</t>
        </is>
      </c>
      <c r="C48" s="111" t="inlineStr">
        <is>
          <t>Dining out</t>
        </is>
      </c>
      <c r="D48" s="111" t="inlineStr">
        <is>
          <t>Credit Card</t>
        </is>
      </c>
      <c r="E48" s="112">
        <v>105.6</v>
      </c>
      <c r="F48" s="111" t="inlineStr">
        <is>
          <t>Sam</t>
        </is>
      </c>
      <c r="G48" s="111" t="inlineStr">
        <is>
          <t>Shared</t>
        </is>
      </c>
      <c r="H48" s="111" t="inlineStr">
        <is>
          <t>Lunch out</t>
        </is>
      </c>
      <c r="I48" s="108">
        <f>IF($A48="","",MONTH($A48))</f>
        <v/>
      </c>
      <c r="J48" s="108">
        <f>IF($A48="","",YEAR($A48))</f>
        <v/>
      </c>
      <c r="K48" s="108">
        <f>IFERROR(INDEX(Setup!$I$7:$I$22,MATCH($C48,Setup!$D$7:$D$22,0)),"")</f>
        <v/>
      </c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</row>
    <row r="49" ht="15" customHeight="1" s="86">
      <c r="A49" s="107">
        <v>46082</v>
      </c>
      <c r="B49" s="95" t="inlineStr">
        <is>
          <t>Income</t>
        </is>
      </c>
      <c r="C49" s="102" t="inlineStr">
        <is>
          <t>Salary</t>
        </is>
      </c>
      <c r="D49" s="102" t="inlineStr">
        <is>
          <t>Checking</t>
        </is>
      </c>
      <c r="E49" s="97">
        <v>5200</v>
      </c>
      <c r="F49" s="102" t="inlineStr">
        <is>
          <t>Alex</t>
        </is>
      </c>
      <c r="G49" s="102" t="inlineStr">
        <is>
          <t>Personal</t>
        </is>
      </c>
      <c r="H49" s="102" t="inlineStr">
        <is>
          <t>Monthly pay</t>
        </is>
      </c>
      <c r="I49" s="108">
        <f>IF($A49="","",MONTH($A49))</f>
        <v/>
      </c>
      <c r="J49" s="108">
        <f>IF($A49="","",YEAR($A49))</f>
        <v/>
      </c>
      <c r="K49" s="108">
        <f>IFERROR(INDEX(Setup!$I$7:$I$22,MATCH($C49,Setup!$D$7:$D$22,0)),"")</f>
        <v/>
      </c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8" t="n"/>
      <c r="X49" s="88" t="n"/>
      <c r="Y49" s="88" t="n"/>
      <c r="Z49" s="88" t="n"/>
    </row>
    <row r="50" ht="15" customHeight="1" s="86">
      <c r="A50" s="109">
        <v>46082</v>
      </c>
      <c r="B50" s="110" t="inlineStr">
        <is>
          <t>Income</t>
        </is>
      </c>
      <c r="C50" s="111" t="inlineStr">
        <is>
          <t>Salary</t>
        </is>
      </c>
      <c r="D50" s="111" t="inlineStr">
        <is>
          <t>Checking</t>
        </is>
      </c>
      <c r="E50" s="112">
        <v>3800</v>
      </c>
      <c r="F50" s="111" t="inlineStr">
        <is>
          <t>Sam</t>
        </is>
      </c>
      <c r="G50" s="111" t="inlineStr">
        <is>
          <t>Personal</t>
        </is>
      </c>
      <c r="H50" s="111" t="inlineStr">
        <is>
          <t>Monthly pay</t>
        </is>
      </c>
      <c r="I50" s="108">
        <f>IF($A50="","",MONTH($A50))</f>
        <v/>
      </c>
      <c r="J50" s="108">
        <f>IF($A50="","",YEAR($A50))</f>
        <v/>
      </c>
      <c r="K50" s="108">
        <f>IFERROR(INDEX(Setup!$I$7:$I$22,MATCH($C50,Setup!$D$7:$D$22,0)),"")</f>
        <v/>
      </c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8" t="n"/>
      <c r="X50" s="88" t="n"/>
      <c r="Y50" s="88" t="n"/>
      <c r="Z50" s="88" t="n"/>
    </row>
    <row r="51" ht="15" customHeight="1" s="86">
      <c r="A51" s="107">
        <v>46082</v>
      </c>
      <c r="B51" s="95" t="inlineStr">
        <is>
          <t>Expense</t>
        </is>
      </c>
      <c r="C51" s="102" t="inlineStr">
        <is>
          <t>Rent or Mortgage</t>
        </is>
      </c>
      <c r="D51" s="102" t="inlineStr">
        <is>
          <t>Checking</t>
        </is>
      </c>
      <c r="E51" s="97">
        <v>2400.0</v>
      </c>
      <c r="F51" s="102" t="inlineStr">
        <is>
          <t>Alex</t>
        </is>
      </c>
      <c r="G51" s="102" t="inlineStr">
        <is>
          <t>Shared</t>
        </is>
      </c>
      <c r="H51" s="102" t="inlineStr">
        <is>
          <t>Rent</t>
        </is>
      </c>
      <c r="I51" s="108">
        <f>IF($A51="","",MONTH($A51))</f>
        <v/>
      </c>
      <c r="J51" s="108">
        <f>IF($A51="","",YEAR($A51))</f>
        <v/>
      </c>
      <c r="K51" s="108">
        <f>IFERROR(INDEX(Setup!$I$7:$I$22,MATCH($C51,Setup!$D$7:$D$22,0)),"")</f>
        <v/>
      </c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8" t="n"/>
      <c r="X51" s="88" t="n"/>
      <c r="Y51" s="88" t="n"/>
      <c r="Z51" s="88" t="n"/>
    </row>
    <row r="52" ht="15" customHeight="1" s="86">
      <c r="A52" s="109">
        <v>46083</v>
      </c>
      <c r="B52" s="110" t="inlineStr">
        <is>
          <t>Transfer</t>
        </is>
      </c>
      <c r="C52" s="111" t="inlineStr">
        <is>
          <t>Emergency Fund</t>
        </is>
      </c>
      <c r="D52" s="111" t="inlineStr">
        <is>
          <t>Savings</t>
        </is>
      </c>
      <c r="E52" s="112">
        <v>850.0</v>
      </c>
      <c r="F52" s="111" t="inlineStr">
        <is>
          <t>Joint</t>
        </is>
      </c>
      <c r="G52" s="111" t="inlineStr">
        <is>
          <t>Shared</t>
        </is>
      </c>
      <c r="H52" s="111" t="inlineStr">
        <is>
          <t>Auto transfer</t>
        </is>
      </c>
      <c r="I52" s="108">
        <f>IF($A52="","",MONTH($A52))</f>
        <v/>
      </c>
      <c r="J52" s="108">
        <f>IF($A52="","",YEAR($A52))</f>
        <v/>
      </c>
      <c r="K52" s="108">
        <f>IFERROR(INDEX(Setup!$I$7:$I$22,MATCH($C52,Setup!$D$7:$D$22,0)),"")</f>
        <v/>
      </c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8" t="n"/>
      <c r="X52" s="88" t="n"/>
      <c r="Y52" s="88" t="n"/>
      <c r="Z52" s="88" t="n"/>
    </row>
    <row r="53" ht="15" customHeight="1" s="86">
      <c r="A53" s="107">
        <v>46083</v>
      </c>
      <c r="B53" s="95" t="inlineStr">
        <is>
          <t>Transfer</t>
        </is>
      </c>
      <c r="C53" s="102" t="inlineStr">
        <is>
          <t>Holiday Fund</t>
        </is>
      </c>
      <c r="D53" s="102" t="inlineStr">
        <is>
          <t>Savings</t>
        </is>
      </c>
      <c r="E53" s="97">
        <v>420.0</v>
      </c>
      <c r="F53" s="102" t="inlineStr">
        <is>
          <t>Joint</t>
        </is>
      </c>
      <c r="G53" s="102" t="inlineStr">
        <is>
          <t>Shared</t>
        </is>
      </c>
      <c r="H53" s="102" t="inlineStr">
        <is>
          <t>Auto transfer</t>
        </is>
      </c>
      <c r="I53" s="108">
        <f>IF($A53="","",MONTH($A53))</f>
        <v/>
      </c>
      <c r="J53" s="108">
        <f>IF($A53="","",YEAR($A53))</f>
        <v/>
      </c>
      <c r="K53" s="108">
        <f>IFERROR(INDEX(Setup!$I$7:$I$22,MATCH($C53,Setup!$D$7:$D$22,0)),"")</f>
        <v/>
      </c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8" t="n"/>
      <c r="W53" s="88" t="n"/>
      <c r="X53" s="88" t="n"/>
      <c r="Y53" s="88" t="n"/>
      <c r="Z53" s="88" t="n"/>
    </row>
    <row r="54" ht="15" customHeight="1" s="86">
      <c r="A54" s="109">
        <v>46083</v>
      </c>
      <c r="B54" s="110" t="inlineStr">
        <is>
          <t>Transfer</t>
        </is>
      </c>
      <c r="C54" s="111" t="inlineStr">
        <is>
          <t>New Car</t>
        </is>
      </c>
      <c r="D54" s="111" t="inlineStr">
        <is>
          <t>Savings</t>
        </is>
      </c>
      <c r="E54" s="112">
        <v>610.0</v>
      </c>
      <c r="F54" s="111" t="inlineStr">
        <is>
          <t>Joint</t>
        </is>
      </c>
      <c r="G54" s="111" t="inlineStr">
        <is>
          <t>Shared</t>
        </is>
      </c>
      <c r="H54" s="111" t="inlineStr">
        <is>
          <t>Auto transfer</t>
        </is>
      </c>
      <c r="I54" s="108">
        <f>IF($A54="","",MONTH($A54))</f>
        <v/>
      </c>
      <c r="J54" s="108">
        <f>IF($A54="","",YEAR($A54))</f>
        <v/>
      </c>
      <c r="K54" s="108">
        <f>IFERROR(INDEX(Setup!$I$7:$I$22,MATCH($C54,Setup!$D$7:$D$22,0)),"")</f>
        <v/>
      </c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8" t="n"/>
      <c r="W54" s="88" t="n"/>
      <c r="X54" s="88" t="n"/>
      <c r="Y54" s="88" t="n"/>
      <c r="Z54" s="88" t="n"/>
    </row>
    <row r="55" ht="15" customHeight="1" s="86">
      <c r="A55" s="107">
        <v>46084</v>
      </c>
      <c r="B55" s="95" t="inlineStr">
        <is>
          <t>Expense</t>
        </is>
      </c>
      <c r="C55" s="102" t="inlineStr">
        <is>
          <t>Insurance</t>
        </is>
      </c>
      <c r="D55" s="102" t="inlineStr">
        <is>
          <t>Checking</t>
        </is>
      </c>
      <c r="E55" s="97">
        <v>240.0</v>
      </c>
      <c r="F55" s="102" t="inlineStr">
        <is>
          <t>Joint</t>
        </is>
      </c>
      <c r="G55" s="102" t="inlineStr">
        <is>
          <t>Shared</t>
        </is>
      </c>
      <c r="H55" s="102" t="inlineStr">
        <is>
          <t>Home + car</t>
        </is>
      </c>
      <c r="I55" s="108">
        <f>IF($A55="","",MONTH($A55))</f>
        <v/>
      </c>
      <c r="J55" s="108">
        <f>IF($A55="","",YEAR($A55))</f>
        <v/>
      </c>
      <c r="K55" s="108">
        <f>IFERROR(INDEX(Setup!$I$7:$I$22,MATCH($C55,Setup!$D$7:$D$22,0)),"")</f>
        <v/>
      </c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8" t="n"/>
      <c r="Y55" s="88" t="n"/>
      <c r="Z55" s="88" t="n"/>
    </row>
    <row r="56" ht="15" customHeight="1" s="86">
      <c r="A56" s="109">
        <v>46085</v>
      </c>
      <c r="B56" s="110" t="inlineStr">
        <is>
          <t>Expense</t>
        </is>
      </c>
      <c r="C56" s="111" t="inlineStr">
        <is>
          <t>Utilities</t>
        </is>
      </c>
      <c r="D56" s="111" t="inlineStr">
        <is>
          <t>Checking</t>
        </is>
      </c>
      <c r="E56" s="112">
        <v>177.47</v>
      </c>
      <c r="F56" s="111" t="inlineStr">
        <is>
          <t>Sam</t>
        </is>
      </c>
      <c r="G56" s="111" t="inlineStr">
        <is>
          <t>Shared</t>
        </is>
      </c>
      <c r="H56" s="111" t="inlineStr">
        <is>
          <t>Electric and gas</t>
        </is>
      </c>
      <c r="I56" s="108">
        <f>IF($A56="","",MONTH($A56))</f>
        <v/>
      </c>
      <c r="J56" s="108">
        <f>IF($A56="","",YEAR($A56))</f>
        <v/>
      </c>
      <c r="K56" s="108">
        <f>IFERROR(INDEX(Setup!$I$7:$I$22,MATCH($C56,Setup!$D$7:$D$22,0)),"")</f>
        <v/>
      </c>
      <c r="L56" s="88" t="n"/>
      <c r="M56" s="88" t="n"/>
      <c r="N56" s="88" t="n"/>
      <c r="O56" s="88" t="n"/>
      <c r="P56" s="88" t="n"/>
      <c r="Q56" s="88" t="n"/>
      <c r="R56" s="88" t="n"/>
      <c r="S56" s="88" t="n"/>
      <c r="T56" s="88" t="n"/>
      <c r="U56" s="88" t="n"/>
      <c r="V56" s="88" t="n"/>
      <c r="W56" s="88" t="n"/>
      <c r="X56" s="88" t="n"/>
      <c r="Y56" s="88" t="n"/>
      <c r="Z56" s="88" t="n"/>
    </row>
    <row r="57" ht="15" customHeight="1" s="86">
      <c r="A57" s="107">
        <v>46087</v>
      </c>
      <c r="B57" s="95" t="inlineStr">
        <is>
          <t>Expense</t>
        </is>
      </c>
      <c r="C57" s="102" t="inlineStr">
        <is>
          <t>Groceries</t>
        </is>
      </c>
      <c r="D57" s="102" t="inlineStr">
        <is>
          <t>Credit Card</t>
        </is>
      </c>
      <c r="E57" s="97">
        <v>300.18</v>
      </c>
      <c r="F57" s="102" t="inlineStr">
        <is>
          <t>Sam</t>
        </is>
      </c>
      <c r="G57" s="102" t="inlineStr">
        <is>
          <t>Shared</t>
        </is>
      </c>
      <c r="H57" s="102" t="inlineStr">
        <is>
          <t>Weekly shop</t>
        </is>
      </c>
      <c r="I57" s="108">
        <f>IF($A57="","",MONTH($A57))</f>
        <v/>
      </c>
      <c r="J57" s="108">
        <f>IF($A57="","",YEAR($A57))</f>
        <v/>
      </c>
      <c r="K57" s="108">
        <f>IFERROR(INDEX(Setup!$I$7:$I$22,MATCH($C57,Setup!$D$7:$D$22,0)),"")</f>
        <v/>
      </c>
      <c r="L57" s="88" t="n"/>
      <c r="M57" s="88" t="n"/>
      <c r="N57" s="88" t="n"/>
      <c r="O57" s="88" t="n"/>
      <c r="P57" s="88" t="n"/>
      <c r="Q57" s="88" t="n"/>
      <c r="R57" s="88" t="n"/>
      <c r="S57" s="88" t="n"/>
      <c r="T57" s="88" t="n"/>
      <c r="U57" s="88" t="n"/>
      <c r="V57" s="88" t="n"/>
      <c r="W57" s="88" t="n"/>
      <c r="X57" s="88" t="n"/>
      <c r="Y57" s="88" t="n"/>
      <c r="Z57" s="88" t="n"/>
    </row>
    <row r="58" ht="15" customHeight="1" s="86">
      <c r="A58" s="109">
        <v>46088</v>
      </c>
      <c r="B58" s="110" t="inlineStr">
        <is>
          <t>Expense</t>
        </is>
      </c>
      <c r="C58" s="111" t="inlineStr">
        <is>
          <t>Subscriptions</t>
        </is>
      </c>
      <c r="D58" s="111" t="inlineStr">
        <is>
          <t>Credit Card</t>
        </is>
      </c>
      <c r="E58" s="112">
        <v>46.99</v>
      </c>
      <c r="F58" s="111" t="inlineStr">
        <is>
          <t>Alex</t>
        </is>
      </c>
      <c r="G58" s="111" t="inlineStr">
        <is>
          <t>Shared</t>
        </is>
      </c>
      <c r="H58" s="111" t="inlineStr">
        <is>
          <t>Streaming + cloud</t>
        </is>
      </c>
      <c r="I58" s="108">
        <f>IF($A58="","",MONTH($A58))</f>
        <v/>
      </c>
      <c r="J58" s="108">
        <f>IF($A58="","",YEAR($A58))</f>
        <v/>
      </c>
      <c r="K58" s="108">
        <f>IFERROR(INDEX(Setup!$I$7:$I$22,MATCH($C58,Setup!$D$7:$D$22,0)),"")</f>
        <v/>
      </c>
      <c r="L58" s="88" t="n"/>
      <c r="M58" s="88" t="n"/>
      <c r="N58" s="88" t="n"/>
      <c r="O58" s="88" t="n"/>
      <c r="P58" s="88" t="n"/>
      <c r="Q58" s="88" t="n"/>
      <c r="R58" s="88" t="n"/>
      <c r="S58" s="88" t="n"/>
      <c r="T58" s="88" t="n"/>
      <c r="U58" s="88" t="n"/>
      <c r="V58" s="88" t="n"/>
      <c r="W58" s="88" t="n"/>
      <c r="X58" s="88" t="n"/>
      <c r="Y58" s="88" t="n"/>
      <c r="Z58" s="88" t="n"/>
    </row>
    <row r="59" ht="15" customHeight="1" s="86">
      <c r="A59" s="107">
        <v>46089</v>
      </c>
      <c r="B59" s="95" t="inlineStr">
        <is>
          <t>Expense</t>
        </is>
      </c>
      <c r="C59" s="102" t="inlineStr">
        <is>
          <t>Phone and Internet</t>
        </is>
      </c>
      <c r="D59" s="102" t="inlineStr">
        <is>
          <t>Checking</t>
        </is>
      </c>
      <c r="E59" s="97">
        <v>110.0</v>
      </c>
      <c r="F59" s="102" t="inlineStr">
        <is>
          <t>Sam</t>
        </is>
      </c>
      <c r="G59" s="102" t="inlineStr">
        <is>
          <t>Shared</t>
        </is>
      </c>
      <c r="H59" s="102" t="inlineStr">
        <is>
          <t>Fibre + mobiles</t>
        </is>
      </c>
      <c r="I59" s="108">
        <f>IF($A59="","",MONTH($A59))</f>
        <v/>
      </c>
      <c r="J59" s="108">
        <f>IF($A59="","",YEAR($A59))</f>
        <v/>
      </c>
      <c r="K59" s="108">
        <f>IFERROR(INDEX(Setup!$I$7:$I$22,MATCH($C59,Setup!$D$7:$D$22,0)),"")</f>
        <v/>
      </c>
      <c r="L59" s="88" t="n"/>
      <c r="M59" s="88" t="n"/>
      <c r="N59" s="88" t="n"/>
      <c r="O59" s="88" t="n"/>
      <c r="P59" s="88" t="n"/>
      <c r="Q59" s="88" t="n"/>
      <c r="R59" s="88" t="n"/>
      <c r="S59" s="88" t="n"/>
      <c r="T59" s="88" t="n"/>
      <c r="U59" s="88" t="n"/>
      <c r="V59" s="88" t="n"/>
      <c r="W59" s="88" t="n"/>
      <c r="X59" s="88" t="n"/>
      <c r="Y59" s="88" t="n"/>
      <c r="Z59" s="88" t="n"/>
    </row>
    <row r="60" ht="15" customHeight="1" s="86">
      <c r="A60" s="109">
        <v>46090</v>
      </c>
      <c r="B60" s="110" t="inlineStr">
        <is>
          <t>Expense</t>
        </is>
      </c>
      <c r="C60" s="111" t="inlineStr">
        <is>
          <t>Transport</t>
        </is>
      </c>
      <c r="D60" s="111" t="inlineStr">
        <is>
          <t>Credit Card</t>
        </is>
      </c>
      <c r="E60" s="112">
        <v>181.23</v>
      </c>
      <c r="F60" s="111" t="inlineStr">
        <is>
          <t>Alex</t>
        </is>
      </c>
      <c r="G60" s="111" t="inlineStr">
        <is>
          <t>Shared</t>
        </is>
      </c>
      <c r="H60" s="111" t="inlineStr">
        <is>
          <t>Fuel and transit</t>
        </is>
      </c>
      <c r="I60" s="108">
        <f>IF($A60="","",MONTH($A60))</f>
        <v/>
      </c>
      <c r="J60" s="108">
        <f>IF($A60="","",YEAR($A60))</f>
        <v/>
      </c>
      <c r="K60" s="108">
        <f>IFERROR(INDEX(Setup!$I$7:$I$22,MATCH($C60,Setup!$D$7:$D$22,0)),"")</f>
        <v/>
      </c>
      <c r="L60" s="88" t="n"/>
      <c r="M60" s="88" t="n"/>
      <c r="N60" s="88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  <c r="Y60" s="88" t="n"/>
      <c r="Z60" s="88" t="n"/>
    </row>
    <row r="61" ht="15" customHeight="1" s="86">
      <c r="A61" s="107">
        <v>46092</v>
      </c>
      <c r="B61" s="95" t="inlineStr">
        <is>
          <t>Expense</t>
        </is>
      </c>
      <c r="C61" s="102" t="inlineStr">
        <is>
          <t>Dining out</t>
        </is>
      </c>
      <c r="D61" s="102" t="inlineStr">
        <is>
          <t>Credit Card</t>
        </is>
      </c>
      <c r="E61" s="97">
        <v>84.96</v>
      </c>
      <c r="F61" s="102" t="inlineStr">
        <is>
          <t>Alex</t>
        </is>
      </c>
      <c r="G61" s="102" t="inlineStr">
        <is>
          <t>Shared</t>
        </is>
      </c>
      <c r="H61" s="102" t="inlineStr">
        <is>
          <t>Date night</t>
        </is>
      </c>
      <c r="I61" s="108">
        <f>IF($A61="","",MONTH($A61))</f>
        <v/>
      </c>
      <c r="J61" s="108">
        <f>IF($A61="","",YEAR($A61))</f>
        <v/>
      </c>
      <c r="K61" s="108">
        <f>IFERROR(INDEX(Setup!$I$7:$I$22,MATCH($C61,Setup!$D$7:$D$22,0)),"")</f>
        <v/>
      </c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8" t="n"/>
      <c r="Y61" s="88" t="n"/>
      <c r="Z61" s="88" t="n"/>
    </row>
    <row r="62" ht="15" customHeight="1" s="86">
      <c r="A62" s="109">
        <v>46093</v>
      </c>
      <c r="B62" s="110" t="inlineStr">
        <is>
          <t>Expense</t>
        </is>
      </c>
      <c r="C62" s="111" t="inlineStr">
        <is>
          <t>Debt</t>
        </is>
      </c>
      <c r="D62" s="111" t="inlineStr">
        <is>
          <t>Checking</t>
        </is>
      </c>
      <c r="E62" s="112">
        <v>420.0</v>
      </c>
      <c r="F62" s="111" t="inlineStr">
        <is>
          <t>Joint</t>
        </is>
      </c>
      <c r="G62" s="111" t="inlineStr">
        <is>
          <t>Shared</t>
        </is>
      </c>
      <c r="H62" s="111" t="inlineStr">
        <is>
          <t>Car loan</t>
        </is>
      </c>
      <c r="I62" s="108">
        <f>IF($A62="","",MONTH($A62))</f>
        <v/>
      </c>
      <c r="J62" s="108">
        <f>IF($A62="","",YEAR($A62))</f>
        <v/>
      </c>
      <c r="K62" s="108">
        <f>IFERROR(INDEX(Setup!$I$7:$I$22,MATCH($C62,Setup!$D$7:$D$22,0)),"")</f>
        <v/>
      </c>
      <c r="L62" s="88" t="n"/>
      <c r="M62" s="88" t="n"/>
      <c r="N62" s="88" t="n"/>
      <c r="O62" s="88" t="n"/>
      <c r="P62" s="88" t="n"/>
      <c r="Q62" s="88" t="n"/>
      <c r="R62" s="88" t="n"/>
      <c r="S62" s="88" t="n"/>
      <c r="T62" s="88" t="n"/>
      <c r="U62" s="88" t="n"/>
      <c r="V62" s="88" t="n"/>
      <c r="W62" s="88" t="n"/>
      <c r="X62" s="88" t="n"/>
      <c r="Y62" s="88" t="n"/>
      <c r="Z62" s="88" t="n"/>
    </row>
    <row r="63" ht="15" customHeight="1" s="86">
      <c r="A63" s="107">
        <v>46096</v>
      </c>
      <c r="B63" s="95" t="inlineStr">
        <is>
          <t>Expense</t>
        </is>
      </c>
      <c r="C63" s="102" t="inlineStr">
        <is>
          <t>Shopping</t>
        </is>
      </c>
      <c r="D63" s="102" t="inlineStr">
        <is>
          <t>Credit Card</t>
        </is>
      </c>
      <c r="E63" s="97">
        <v>162.33</v>
      </c>
      <c r="F63" s="102" t="inlineStr">
        <is>
          <t>Alex</t>
        </is>
      </c>
      <c r="G63" s="102" t="inlineStr">
        <is>
          <t>Personal</t>
        </is>
      </c>
      <c r="H63" s="102" t="inlineStr">
        <is>
          <t>Clothes</t>
        </is>
      </c>
      <c r="I63" s="108">
        <f>IF($A63="","",MONTH($A63))</f>
        <v/>
      </c>
      <c r="J63" s="108">
        <f>IF($A63="","",YEAR($A63))</f>
        <v/>
      </c>
      <c r="K63" s="108">
        <f>IFERROR(INDEX(Setup!$I$7:$I$22,MATCH($C63,Setup!$D$7:$D$22,0)),"")</f>
        <v/>
      </c>
      <c r="L63" s="88" t="n"/>
      <c r="M63" s="88" t="n"/>
      <c r="N63" s="88" t="n"/>
      <c r="O63" s="88" t="n"/>
      <c r="P63" s="88" t="n"/>
      <c r="Q63" s="88" t="n"/>
      <c r="R63" s="88" t="n"/>
      <c r="S63" s="88" t="n"/>
      <c r="T63" s="88" t="n"/>
      <c r="U63" s="88" t="n"/>
      <c r="V63" s="88" t="n"/>
      <c r="W63" s="88" t="n"/>
      <c r="X63" s="88" t="n"/>
      <c r="Y63" s="88" t="n"/>
      <c r="Z63" s="88" t="n"/>
    </row>
    <row r="64" ht="15" customHeight="1" s="86">
      <c r="A64" s="109">
        <v>46097</v>
      </c>
      <c r="B64" s="110" t="inlineStr">
        <is>
          <t>Expense</t>
        </is>
      </c>
      <c r="C64" s="111" t="inlineStr">
        <is>
          <t>Shopping</t>
        </is>
      </c>
      <c r="D64" s="111" t="inlineStr">
        <is>
          <t>Credit Card</t>
        </is>
      </c>
      <c r="E64" s="112">
        <v>113.7</v>
      </c>
      <c r="F64" s="111" t="inlineStr">
        <is>
          <t>Sam</t>
        </is>
      </c>
      <c r="G64" s="111" t="inlineStr">
        <is>
          <t>Personal</t>
        </is>
      </c>
      <c r="H64" s="111" t="inlineStr">
        <is>
          <t>Clothes</t>
        </is>
      </c>
      <c r="I64" s="113">
        <f>IF($A64="","",MONTH($A64))</f>
        <v/>
      </c>
      <c r="J64" s="113">
        <f>IF($A64="","",YEAR($A64))</f>
        <v/>
      </c>
      <c r="K64" s="113">
        <f>IFERROR(INDEX(Setup!$I$7:$I$22,MATCH($C64,Setup!$D$7:$D$22,0)),"")</f>
        <v/>
      </c>
      <c r="L64" s="88" t="n"/>
      <c r="M64" s="88" t="n"/>
      <c r="N64" s="88" t="n"/>
      <c r="O64" s="88" t="n"/>
      <c r="P64" s="88" t="n"/>
      <c r="Q64" s="88" t="n"/>
      <c r="R64" s="88" t="n"/>
      <c r="S64" s="88" t="n"/>
      <c r="T64" s="88" t="n"/>
      <c r="U64" s="88" t="n"/>
      <c r="V64" s="88" t="n"/>
      <c r="W64" s="88" t="n"/>
      <c r="X64" s="88" t="n"/>
      <c r="Y64" s="88" t="n"/>
      <c r="Z64" s="88" t="n"/>
    </row>
    <row r="65" ht="15" customHeight="1" s="86">
      <c r="A65" s="107">
        <v>46098</v>
      </c>
      <c r="B65" s="95" t="inlineStr">
        <is>
          <t>Expense</t>
        </is>
      </c>
      <c r="C65" s="102" t="inlineStr">
        <is>
          <t>Health</t>
        </is>
      </c>
      <c r="D65" s="102" t="inlineStr">
        <is>
          <t>Checking</t>
        </is>
      </c>
      <c r="E65" s="97">
        <v>120</v>
      </c>
      <c r="F65" s="102" t="inlineStr">
        <is>
          <t>Alex</t>
        </is>
      </c>
      <c r="G65" s="102" t="inlineStr">
        <is>
          <t>Personal</t>
        </is>
      </c>
      <c r="H65" s="102" t="inlineStr">
        <is>
          <t>Pharmacy</t>
        </is>
      </c>
      <c r="I65" s="113">
        <f>IF($A65="","",MONTH($A65))</f>
        <v/>
      </c>
      <c r="J65" s="113">
        <f>IF($A65="","",YEAR($A65))</f>
        <v/>
      </c>
      <c r="K65" s="113">
        <f>IFERROR(INDEX(Setup!$I$7:$I$22,MATCH($C65,Setup!$D$7:$D$22,0)),"")</f>
        <v/>
      </c>
      <c r="L65" s="88" t="n"/>
      <c r="M65" s="88" t="n"/>
      <c r="N65" s="88" t="n"/>
      <c r="O65" s="88" t="n"/>
      <c r="P65" s="88" t="n"/>
      <c r="Q65" s="88" t="n"/>
      <c r="R65" s="88" t="n"/>
      <c r="S65" s="88" t="n"/>
      <c r="T65" s="88" t="n"/>
      <c r="U65" s="88" t="n"/>
      <c r="V65" s="88" t="n"/>
      <c r="W65" s="88" t="n"/>
      <c r="X65" s="88" t="n"/>
      <c r="Y65" s="88" t="n"/>
      <c r="Z65" s="88" t="n"/>
    </row>
    <row r="66" ht="15" customHeight="1" s="86">
      <c r="A66" s="109">
        <v>46100</v>
      </c>
      <c r="B66" s="110" t="inlineStr">
        <is>
          <t>Expense</t>
        </is>
      </c>
      <c r="C66" s="111" t="inlineStr">
        <is>
          <t>Groceries</t>
        </is>
      </c>
      <c r="D66" s="111" t="inlineStr">
        <is>
          <t>Credit Card</t>
        </is>
      </c>
      <c r="E66" s="112">
        <v>283.91</v>
      </c>
      <c r="F66" s="111" t="inlineStr">
        <is>
          <t>Sam</t>
        </is>
      </c>
      <c r="G66" s="111" t="inlineStr">
        <is>
          <t>Shared</t>
        </is>
      </c>
      <c r="H66" s="111" t="inlineStr">
        <is>
          <t>Weekly shop</t>
        </is>
      </c>
      <c r="I66" s="113">
        <f>IF($A66="","",MONTH($A66))</f>
        <v/>
      </c>
      <c r="J66" s="113">
        <f>IF($A66="","",YEAR($A66))</f>
        <v/>
      </c>
      <c r="K66" s="113">
        <f>IFERROR(INDEX(Setup!$I$7:$I$22,MATCH($C66,Setup!$D$7:$D$22,0)),"")</f>
        <v/>
      </c>
      <c r="L66" s="88" t="n"/>
      <c r="M66" s="88" t="n"/>
      <c r="N66" s="88" t="n"/>
      <c r="O66" s="88" t="n"/>
      <c r="P66" s="88" t="n"/>
      <c r="Q66" s="88" t="n"/>
      <c r="R66" s="88" t="n"/>
      <c r="S66" s="88" t="n"/>
      <c r="T66" s="88" t="n"/>
      <c r="U66" s="88" t="n"/>
      <c r="V66" s="88" t="n"/>
      <c r="W66" s="88" t="n"/>
      <c r="X66" s="88" t="n"/>
      <c r="Y66" s="88" t="n"/>
      <c r="Z66" s="88" t="n"/>
    </row>
    <row r="67" ht="15" customHeight="1" s="86">
      <c r="A67" s="107">
        <v>46102</v>
      </c>
      <c r="B67" s="95" t="inlineStr">
        <is>
          <t>Expense</t>
        </is>
      </c>
      <c r="C67" s="102" t="inlineStr">
        <is>
          <t>Fun and Leisure</t>
        </is>
      </c>
      <c r="D67" s="102" t="inlineStr">
        <is>
          <t>Credit Card</t>
        </is>
      </c>
      <c r="E67" s="97">
        <v>150.69</v>
      </c>
      <c r="F67" s="102" t="inlineStr">
        <is>
          <t>Alex</t>
        </is>
      </c>
      <c r="G67" s="102" t="inlineStr">
        <is>
          <t>Personal</t>
        </is>
      </c>
      <c r="H67" s="102" t="inlineStr">
        <is>
          <t>Gym + hobbies</t>
        </is>
      </c>
      <c r="I67" s="113">
        <f>IF($A67="","",MONTH($A67))</f>
        <v/>
      </c>
      <c r="J67" s="113">
        <f>IF($A67="","",YEAR($A67))</f>
        <v/>
      </c>
      <c r="K67" s="113">
        <f>IFERROR(INDEX(Setup!$I$7:$I$22,MATCH($C67,Setup!$D$7:$D$22,0)),"")</f>
        <v/>
      </c>
      <c r="L67" s="88" t="n"/>
      <c r="M67" s="88" t="n"/>
      <c r="N67" s="88" t="n"/>
      <c r="O67" s="88" t="n"/>
      <c r="P67" s="88" t="n"/>
      <c r="Q67" s="88" t="n"/>
      <c r="R67" s="88" t="n"/>
      <c r="S67" s="88" t="n"/>
      <c r="T67" s="88" t="n"/>
      <c r="U67" s="88" t="n"/>
      <c r="V67" s="88" t="n"/>
      <c r="W67" s="88" t="n"/>
      <c r="X67" s="88" t="n"/>
      <c r="Y67" s="88" t="n"/>
      <c r="Z67" s="88" t="n"/>
    </row>
    <row r="68" ht="15" customHeight="1" s="86">
      <c r="A68" s="109">
        <v>46103</v>
      </c>
      <c r="B68" s="110" t="inlineStr">
        <is>
          <t>Expense</t>
        </is>
      </c>
      <c r="C68" s="111" t="inlineStr">
        <is>
          <t>Fun and Leisure</t>
        </is>
      </c>
      <c r="D68" s="111" t="inlineStr">
        <is>
          <t>Credit Card</t>
        </is>
      </c>
      <c r="E68" s="112">
        <v>149.99</v>
      </c>
      <c r="F68" s="111" t="inlineStr">
        <is>
          <t>Sam</t>
        </is>
      </c>
      <c r="G68" s="111" t="inlineStr">
        <is>
          <t>Personal</t>
        </is>
      </c>
      <c r="H68" s="111" t="inlineStr">
        <is>
          <t>Gym + hobbies</t>
        </is>
      </c>
      <c r="I68" s="113">
        <f>IF($A68="","",MONTH($A68))</f>
        <v/>
      </c>
      <c r="J68" s="113">
        <f>IF($A68="","",YEAR($A68))</f>
        <v/>
      </c>
      <c r="K68" s="113">
        <f>IFERROR(INDEX(Setup!$I$7:$I$22,MATCH($C68,Setup!$D$7:$D$22,0)),"")</f>
        <v/>
      </c>
      <c r="L68" s="88" t="n"/>
      <c r="M68" s="88" t="n"/>
      <c r="N68" s="88" t="n"/>
      <c r="O68" s="88" t="n"/>
      <c r="P68" s="88" t="n"/>
      <c r="Q68" s="88" t="n"/>
      <c r="R68" s="88" t="n"/>
      <c r="S68" s="88" t="n"/>
      <c r="T68" s="88" t="n"/>
      <c r="U68" s="88" t="n"/>
      <c r="V68" s="88" t="n"/>
      <c r="W68" s="88" t="n"/>
      <c r="X68" s="88" t="n"/>
      <c r="Y68" s="88" t="n"/>
      <c r="Z68" s="88" t="n"/>
    </row>
    <row r="69" ht="15" customHeight="1" s="86">
      <c r="A69" s="107">
        <v>46104</v>
      </c>
      <c r="B69" s="95" t="inlineStr">
        <is>
          <t>Expense</t>
        </is>
      </c>
      <c r="C69" s="102" t="inlineStr">
        <is>
          <t>Transport</t>
        </is>
      </c>
      <c r="D69" s="102" t="inlineStr">
        <is>
          <t>Credit Card</t>
        </is>
      </c>
      <c r="E69" s="97">
        <v>178.44</v>
      </c>
      <c r="F69" s="102" t="inlineStr">
        <is>
          <t>Sam</t>
        </is>
      </c>
      <c r="G69" s="102" t="inlineStr">
        <is>
          <t>Shared</t>
        </is>
      </c>
      <c r="H69" s="102" t="inlineStr">
        <is>
          <t>Fuel and transit</t>
        </is>
      </c>
      <c r="I69" s="113">
        <f>IF($A69="","",MONTH($A69))</f>
        <v/>
      </c>
      <c r="J69" s="113">
        <f>IF($A69="","",YEAR($A69))</f>
        <v/>
      </c>
      <c r="K69" s="113">
        <f>IFERROR(INDEX(Setup!$I$7:$I$22,MATCH($C69,Setup!$D$7:$D$22,0)),"")</f>
        <v/>
      </c>
      <c r="L69" s="88" t="n"/>
      <c r="M69" s="88" t="n"/>
      <c r="N69" s="88" t="n"/>
      <c r="O69" s="88" t="n"/>
      <c r="P69" s="88" t="n"/>
      <c r="Q69" s="88" t="n"/>
      <c r="R69" s="88" t="n"/>
      <c r="S69" s="88" t="n"/>
      <c r="T69" s="88" t="n"/>
      <c r="U69" s="88" t="n"/>
      <c r="V69" s="88" t="n"/>
      <c r="W69" s="88" t="n"/>
      <c r="X69" s="88" t="n"/>
      <c r="Y69" s="88" t="n"/>
      <c r="Z69" s="88" t="n"/>
    </row>
    <row r="70" ht="15" customHeight="1" s="86">
      <c r="A70" s="109">
        <v>46105</v>
      </c>
      <c r="B70" s="110" t="inlineStr">
        <is>
          <t>Expense</t>
        </is>
      </c>
      <c r="C70" s="111" t="inlineStr">
        <is>
          <t>Dining out</t>
        </is>
      </c>
      <c r="D70" s="111" t="inlineStr">
        <is>
          <t>Credit Card</t>
        </is>
      </c>
      <c r="E70" s="112">
        <v>93.64</v>
      </c>
      <c r="F70" s="111" t="inlineStr">
        <is>
          <t>Sam</t>
        </is>
      </c>
      <c r="G70" s="111" t="inlineStr">
        <is>
          <t>Shared</t>
        </is>
      </c>
      <c r="H70" s="111" t="inlineStr">
        <is>
          <t>Lunch out</t>
        </is>
      </c>
      <c r="I70" s="113">
        <f>IF($A70="","",MONTH($A70))</f>
        <v/>
      </c>
      <c r="J70" s="113">
        <f>IF($A70="","",YEAR($A70))</f>
        <v/>
      </c>
      <c r="K70" s="113">
        <f>IFERROR(INDEX(Setup!$I$7:$I$22,MATCH($C70,Setup!$D$7:$D$22,0)),"")</f>
        <v/>
      </c>
      <c r="L70" s="88" t="n"/>
      <c r="M70" s="88" t="n"/>
      <c r="N70" s="88" t="n"/>
      <c r="O70" s="88" t="n"/>
      <c r="P70" s="88" t="n"/>
      <c r="Q70" s="88" t="n"/>
      <c r="R70" s="88" t="n"/>
      <c r="S70" s="88" t="n"/>
      <c r="T70" s="88" t="n"/>
      <c r="U70" s="88" t="n"/>
      <c r="V70" s="88" t="n"/>
      <c r="W70" s="88" t="n"/>
      <c r="X70" s="88" t="n"/>
      <c r="Y70" s="88" t="n"/>
      <c r="Z70" s="88" t="n"/>
    </row>
    <row r="71" ht="15" customHeight="1" s="86">
      <c r="A71" s="107">
        <v>46113</v>
      </c>
      <c r="B71" s="95" t="inlineStr">
        <is>
          <t>Income</t>
        </is>
      </c>
      <c r="C71" s="102" t="inlineStr">
        <is>
          <t>Salary</t>
        </is>
      </c>
      <c r="D71" s="102" t="inlineStr">
        <is>
          <t>Checking</t>
        </is>
      </c>
      <c r="E71" s="97">
        <v>5200</v>
      </c>
      <c r="F71" s="102" t="inlineStr">
        <is>
          <t>Alex</t>
        </is>
      </c>
      <c r="G71" s="102" t="inlineStr">
        <is>
          <t>Personal</t>
        </is>
      </c>
      <c r="H71" s="102" t="inlineStr">
        <is>
          <t>Monthly pay</t>
        </is>
      </c>
      <c r="I71" s="113">
        <f>IF($A71="","",MONTH($A71))</f>
        <v/>
      </c>
      <c r="J71" s="113">
        <f>IF($A71="","",YEAR($A71))</f>
        <v/>
      </c>
      <c r="K71" s="113">
        <f>IFERROR(INDEX(Setup!$I$7:$I$22,MATCH($C71,Setup!$D$7:$D$22,0)),"")</f>
        <v/>
      </c>
      <c r="L71" s="88" t="n"/>
      <c r="M71" s="88" t="n"/>
      <c r="N71" s="88" t="n"/>
      <c r="O71" s="88" t="n"/>
      <c r="P71" s="88" t="n"/>
      <c r="Q71" s="88" t="n"/>
      <c r="R71" s="88" t="n"/>
      <c r="S71" s="88" t="n"/>
      <c r="T71" s="88" t="n"/>
      <c r="U71" s="88" t="n"/>
      <c r="V71" s="88" t="n"/>
      <c r="W71" s="88" t="n"/>
      <c r="X71" s="88" t="n"/>
      <c r="Y71" s="88" t="n"/>
      <c r="Z71" s="88" t="n"/>
    </row>
    <row r="72" ht="15" customHeight="1" s="86">
      <c r="A72" s="109">
        <v>46113</v>
      </c>
      <c r="B72" s="110" t="inlineStr">
        <is>
          <t>Income</t>
        </is>
      </c>
      <c r="C72" s="111" t="inlineStr">
        <is>
          <t>Salary</t>
        </is>
      </c>
      <c r="D72" s="111" t="inlineStr">
        <is>
          <t>Checking</t>
        </is>
      </c>
      <c r="E72" s="112">
        <v>3800</v>
      </c>
      <c r="F72" s="111" t="inlineStr">
        <is>
          <t>Sam</t>
        </is>
      </c>
      <c r="G72" s="111" t="inlineStr">
        <is>
          <t>Personal</t>
        </is>
      </c>
      <c r="H72" s="111" t="inlineStr">
        <is>
          <t>Monthly pay</t>
        </is>
      </c>
      <c r="I72" s="113">
        <f>IF($A72="","",MONTH($A72))</f>
        <v/>
      </c>
      <c r="J72" s="113">
        <f>IF($A72="","",YEAR($A72))</f>
        <v/>
      </c>
      <c r="K72" s="113">
        <f>IFERROR(INDEX(Setup!$I$7:$I$22,MATCH($C72,Setup!$D$7:$D$22,0)),"")</f>
        <v/>
      </c>
      <c r="L72" s="88" t="n"/>
      <c r="M72" s="88" t="n"/>
      <c r="N72" s="88" t="n"/>
      <c r="O72" s="88" t="n"/>
      <c r="P72" s="88" t="n"/>
      <c r="Q72" s="88" t="n"/>
      <c r="R72" s="88" t="n"/>
      <c r="S72" s="88" t="n"/>
      <c r="T72" s="88" t="n"/>
      <c r="U72" s="88" t="n"/>
      <c r="V72" s="88" t="n"/>
      <c r="W72" s="88" t="n"/>
      <c r="X72" s="88" t="n"/>
      <c r="Y72" s="88" t="n"/>
      <c r="Z72" s="88" t="n"/>
    </row>
    <row r="73" ht="15" customHeight="1" s="86">
      <c r="A73" s="107">
        <v>46113</v>
      </c>
      <c r="B73" s="95" t="inlineStr">
        <is>
          <t>Expense</t>
        </is>
      </c>
      <c r="C73" s="102" t="inlineStr">
        <is>
          <t>Rent or Mortgage</t>
        </is>
      </c>
      <c r="D73" s="102" t="inlineStr">
        <is>
          <t>Checking</t>
        </is>
      </c>
      <c r="E73" s="97">
        <v>2400.0</v>
      </c>
      <c r="F73" s="102" t="inlineStr">
        <is>
          <t>Alex</t>
        </is>
      </c>
      <c r="G73" s="102" t="inlineStr">
        <is>
          <t>Shared</t>
        </is>
      </c>
      <c r="H73" s="102" t="inlineStr">
        <is>
          <t>Rent</t>
        </is>
      </c>
      <c r="I73" s="113">
        <f>IF($A73="","",MONTH($A73))</f>
        <v/>
      </c>
      <c r="J73" s="113">
        <f>IF($A73="","",YEAR($A73))</f>
        <v/>
      </c>
      <c r="K73" s="113">
        <f>IFERROR(INDEX(Setup!$I$7:$I$22,MATCH($C73,Setup!$D$7:$D$22,0)),"")</f>
        <v/>
      </c>
      <c r="L73" s="88" t="n"/>
      <c r="M73" s="88" t="n"/>
      <c r="N73" s="88" t="n"/>
      <c r="O73" s="88" t="n"/>
      <c r="P73" s="88" t="n"/>
      <c r="Q73" s="88" t="n"/>
      <c r="R73" s="88" t="n"/>
      <c r="S73" s="88" t="n"/>
      <c r="T73" s="88" t="n"/>
      <c r="U73" s="88" t="n"/>
      <c r="V73" s="88" t="n"/>
      <c r="W73" s="88" t="n"/>
      <c r="X73" s="88" t="n"/>
      <c r="Y73" s="88" t="n"/>
      <c r="Z73" s="88" t="n"/>
    </row>
    <row r="74" ht="15" customHeight="1" s="86">
      <c r="A74" s="109">
        <v>46114</v>
      </c>
      <c r="B74" s="110" t="inlineStr">
        <is>
          <t>Transfer</t>
        </is>
      </c>
      <c r="C74" s="111" t="inlineStr">
        <is>
          <t>Emergency Fund</t>
        </is>
      </c>
      <c r="D74" s="111" t="inlineStr">
        <is>
          <t>Savings</t>
        </is>
      </c>
      <c r="E74" s="112">
        <v>850.0</v>
      </c>
      <c r="F74" s="111" t="inlineStr">
        <is>
          <t>Joint</t>
        </is>
      </c>
      <c r="G74" s="111" t="inlineStr">
        <is>
          <t>Shared</t>
        </is>
      </c>
      <c r="H74" s="111" t="inlineStr">
        <is>
          <t>Auto transfer</t>
        </is>
      </c>
      <c r="I74" s="113">
        <f>IF($A74="","",MONTH($A74))</f>
        <v/>
      </c>
      <c r="J74" s="113">
        <f>IF($A74="","",YEAR($A74))</f>
        <v/>
      </c>
      <c r="K74" s="113">
        <f>IFERROR(INDEX(Setup!$I$7:$I$22,MATCH($C74,Setup!$D$7:$D$22,0)),"")</f>
        <v/>
      </c>
      <c r="L74" s="88" t="n"/>
      <c r="M74" s="88" t="n"/>
      <c r="N74" s="88" t="n"/>
      <c r="O74" s="88" t="n"/>
      <c r="P74" s="88" t="n"/>
      <c r="Q74" s="88" t="n"/>
      <c r="R74" s="88" t="n"/>
      <c r="S74" s="88" t="n"/>
      <c r="T74" s="88" t="n"/>
      <c r="U74" s="88" t="n"/>
      <c r="V74" s="88" t="n"/>
      <c r="W74" s="88" t="n"/>
      <c r="X74" s="88" t="n"/>
      <c r="Y74" s="88" t="n"/>
      <c r="Z74" s="88" t="n"/>
    </row>
    <row r="75" ht="15" customHeight="1" s="86">
      <c r="A75" s="107">
        <v>46114</v>
      </c>
      <c r="B75" s="95" t="inlineStr">
        <is>
          <t>Transfer</t>
        </is>
      </c>
      <c r="C75" s="102" t="inlineStr">
        <is>
          <t>Holiday Fund</t>
        </is>
      </c>
      <c r="D75" s="102" t="inlineStr">
        <is>
          <t>Savings</t>
        </is>
      </c>
      <c r="E75" s="97">
        <v>420.0</v>
      </c>
      <c r="F75" s="102" t="inlineStr">
        <is>
          <t>Joint</t>
        </is>
      </c>
      <c r="G75" s="102" t="inlineStr">
        <is>
          <t>Shared</t>
        </is>
      </c>
      <c r="H75" s="102" t="inlineStr">
        <is>
          <t>Auto transfer</t>
        </is>
      </c>
      <c r="I75" s="113">
        <f>IF($A75="","",MONTH($A75))</f>
        <v/>
      </c>
      <c r="J75" s="113">
        <f>IF($A75="","",YEAR($A75))</f>
        <v/>
      </c>
      <c r="K75" s="113">
        <f>IFERROR(INDEX(Setup!$I$7:$I$22,MATCH($C75,Setup!$D$7:$D$22,0)),"")</f>
        <v/>
      </c>
      <c r="L75" s="88" t="n"/>
      <c r="M75" s="88" t="n"/>
      <c r="N75" s="88" t="n"/>
      <c r="O75" s="88" t="n"/>
      <c r="P75" s="88" t="n"/>
      <c r="Q75" s="88" t="n"/>
      <c r="R75" s="88" t="n"/>
      <c r="S75" s="88" t="n"/>
      <c r="T75" s="88" t="n"/>
      <c r="U75" s="88" t="n"/>
      <c r="V75" s="88" t="n"/>
      <c r="W75" s="88" t="n"/>
      <c r="X75" s="88" t="n"/>
      <c r="Y75" s="88" t="n"/>
      <c r="Z75" s="88" t="n"/>
    </row>
    <row r="76" ht="15" customHeight="1" s="86">
      <c r="A76" s="109">
        <v>46114</v>
      </c>
      <c r="B76" s="110" t="inlineStr">
        <is>
          <t>Transfer</t>
        </is>
      </c>
      <c r="C76" s="111" t="inlineStr">
        <is>
          <t>New Car</t>
        </is>
      </c>
      <c r="D76" s="111" t="inlineStr">
        <is>
          <t>Savings</t>
        </is>
      </c>
      <c r="E76" s="112">
        <v>610.0</v>
      </c>
      <c r="F76" s="111" t="inlineStr">
        <is>
          <t>Joint</t>
        </is>
      </c>
      <c r="G76" s="111" t="inlineStr">
        <is>
          <t>Shared</t>
        </is>
      </c>
      <c r="H76" s="111" t="inlineStr">
        <is>
          <t>Auto transfer</t>
        </is>
      </c>
      <c r="I76" s="113">
        <f>IF($A76="","",MONTH($A76))</f>
        <v/>
      </c>
      <c r="J76" s="113">
        <f>IF($A76="","",YEAR($A76))</f>
        <v/>
      </c>
      <c r="K76" s="113">
        <f>IFERROR(INDEX(Setup!$I$7:$I$22,MATCH($C76,Setup!$D$7:$D$22,0)),"")</f>
        <v/>
      </c>
      <c r="L76" s="88" t="n"/>
      <c r="M76" s="88" t="n"/>
      <c r="N76" s="88" t="n"/>
      <c r="O76" s="88" t="n"/>
      <c r="P76" s="88" t="n"/>
      <c r="Q76" s="88" t="n"/>
      <c r="R76" s="88" t="n"/>
      <c r="S76" s="88" t="n"/>
      <c r="T76" s="88" t="n"/>
      <c r="U76" s="88" t="n"/>
      <c r="V76" s="88" t="n"/>
      <c r="W76" s="88" t="n"/>
      <c r="X76" s="88" t="n"/>
      <c r="Y76" s="88" t="n"/>
      <c r="Z76" s="88" t="n"/>
    </row>
    <row r="77" ht="15" customHeight="1" s="86">
      <c r="A77" s="107">
        <v>46115</v>
      </c>
      <c r="B77" s="95" t="inlineStr">
        <is>
          <t>Expense</t>
        </is>
      </c>
      <c r="C77" s="102" t="inlineStr">
        <is>
          <t>Insurance</t>
        </is>
      </c>
      <c r="D77" s="102" t="inlineStr">
        <is>
          <t>Checking</t>
        </is>
      </c>
      <c r="E77" s="97">
        <v>240.0</v>
      </c>
      <c r="F77" s="102" t="inlineStr">
        <is>
          <t>Joint</t>
        </is>
      </c>
      <c r="G77" s="102" t="inlineStr">
        <is>
          <t>Shared</t>
        </is>
      </c>
      <c r="H77" s="102" t="inlineStr">
        <is>
          <t>Home + car</t>
        </is>
      </c>
      <c r="I77" s="113">
        <f>IF($A77="","",MONTH($A77))</f>
        <v/>
      </c>
      <c r="J77" s="113">
        <f>IF($A77="","",YEAR($A77))</f>
        <v/>
      </c>
      <c r="K77" s="113">
        <f>IFERROR(INDEX(Setup!$I$7:$I$22,MATCH($C77,Setup!$D$7:$D$22,0)),"")</f>
        <v/>
      </c>
      <c r="L77" s="88" t="n"/>
      <c r="M77" s="88" t="n"/>
      <c r="N77" s="88" t="n"/>
      <c r="O77" s="88" t="n"/>
      <c r="P77" s="88" t="n"/>
      <c r="Q77" s="88" t="n"/>
      <c r="R77" s="88" t="n"/>
      <c r="S77" s="88" t="n"/>
      <c r="T77" s="88" t="n"/>
      <c r="U77" s="88" t="n"/>
      <c r="V77" s="88" t="n"/>
      <c r="W77" s="88" t="n"/>
      <c r="X77" s="88" t="n"/>
      <c r="Y77" s="88" t="n"/>
      <c r="Z77" s="88" t="n"/>
    </row>
    <row r="78" ht="15" customHeight="1" s="86">
      <c r="A78" s="109">
        <v>46116</v>
      </c>
      <c r="B78" s="110" t="inlineStr">
        <is>
          <t>Expense</t>
        </is>
      </c>
      <c r="C78" s="111" t="inlineStr">
        <is>
          <t>Utilities</t>
        </is>
      </c>
      <c r="D78" s="111" t="inlineStr">
        <is>
          <t>Checking</t>
        </is>
      </c>
      <c r="E78" s="112">
        <v>186.71</v>
      </c>
      <c r="F78" s="111" t="inlineStr">
        <is>
          <t>Sam</t>
        </is>
      </c>
      <c r="G78" s="111" t="inlineStr">
        <is>
          <t>Shared</t>
        </is>
      </c>
      <c r="H78" s="111" t="inlineStr">
        <is>
          <t>Electric and gas</t>
        </is>
      </c>
      <c r="I78" s="113">
        <f>IF($A78="","",MONTH($A78))</f>
        <v/>
      </c>
      <c r="J78" s="113">
        <f>IF($A78="","",YEAR($A78))</f>
        <v/>
      </c>
      <c r="K78" s="113">
        <f>IFERROR(INDEX(Setup!$I$7:$I$22,MATCH($C78,Setup!$D$7:$D$22,0)),"")</f>
        <v/>
      </c>
      <c r="L78" s="88" t="n"/>
      <c r="M78" s="88" t="n"/>
      <c r="N78" s="88" t="n"/>
      <c r="O78" s="88" t="n"/>
      <c r="P78" s="88" t="n"/>
      <c r="Q78" s="88" t="n"/>
      <c r="R78" s="88" t="n"/>
      <c r="S78" s="88" t="n"/>
      <c r="T78" s="88" t="n"/>
      <c r="U78" s="88" t="n"/>
      <c r="V78" s="88" t="n"/>
      <c r="W78" s="88" t="n"/>
      <c r="X78" s="88" t="n"/>
      <c r="Y78" s="88" t="n"/>
      <c r="Z78" s="88" t="n"/>
    </row>
    <row r="79" ht="15" customHeight="1" s="86">
      <c r="A79" s="107">
        <v>46118</v>
      </c>
      <c r="B79" s="95" t="inlineStr">
        <is>
          <t>Expense</t>
        </is>
      </c>
      <c r="C79" s="102" t="inlineStr">
        <is>
          <t>Groceries</t>
        </is>
      </c>
      <c r="D79" s="102" t="inlineStr">
        <is>
          <t>Credit Card</t>
        </is>
      </c>
      <c r="E79" s="97">
        <v>358.22</v>
      </c>
      <c r="F79" s="102" t="inlineStr">
        <is>
          <t>Sam</t>
        </is>
      </c>
      <c r="G79" s="102" t="inlineStr">
        <is>
          <t>Shared</t>
        </is>
      </c>
      <c r="H79" s="102" t="inlineStr">
        <is>
          <t>Weekly shop</t>
        </is>
      </c>
      <c r="I79" s="113">
        <f>IF($A79="","",MONTH($A79))</f>
        <v/>
      </c>
      <c r="J79" s="113">
        <f>IF($A79="","",YEAR($A79))</f>
        <v/>
      </c>
      <c r="K79" s="113">
        <f>IFERROR(INDEX(Setup!$I$7:$I$22,MATCH($C79,Setup!$D$7:$D$22,0)),"")</f>
        <v/>
      </c>
      <c r="L79" s="88" t="n"/>
      <c r="M79" s="88" t="n"/>
      <c r="N79" s="88" t="n"/>
      <c r="O79" s="88" t="n"/>
      <c r="P79" s="88" t="n"/>
      <c r="Q79" s="88" t="n"/>
      <c r="R79" s="88" t="n"/>
      <c r="S79" s="88" t="n"/>
      <c r="T79" s="88" t="n"/>
      <c r="U79" s="88" t="n"/>
      <c r="V79" s="88" t="n"/>
      <c r="W79" s="88" t="n"/>
      <c r="X79" s="88" t="n"/>
      <c r="Y79" s="88" t="n"/>
      <c r="Z79" s="88" t="n"/>
    </row>
    <row r="80" ht="15" customHeight="1" s="86">
      <c r="A80" s="109">
        <v>46119</v>
      </c>
      <c r="B80" s="110" t="inlineStr">
        <is>
          <t>Expense</t>
        </is>
      </c>
      <c r="C80" s="111" t="inlineStr">
        <is>
          <t>Subscriptions</t>
        </is>
      </c>
      <c r="D80" s="111" t="inlineStr">
        <is>
          <t>Credit Card</t>
        </is>
      </c>
      <c r="E80" s="112">
        <v>46.99</v>
      </c>
      <c r="F80" s="111" t="inlineStr">
        <is>
          <t>Alex</t>
        </is>
      </c>
      <c r="G80" s="111" t="inlineStr">
        <is>
          <t>Shared</t>
        </is>
      </c>
      <c r="H80" s="111" t="inlineStr">
        <is>
          <t>Streaming + cloud</t>
        </is>
      </c>
      <c r="I80" s="113">
        <f>IF($A80="","",MONTH($A80))</f>
        <v/>
      </c>
      <c r="J80" s="113">
        <f>IF($A80="","",YEAR($A80))</f>
        <v/>
      </c>
      <c r="K80" s="113">
        <f>IFERROR(INDEX(Setup!$I$7:$I$22,MATCH($C80,Setup!$D$7:$D$22,0)),"")</f>
        <v/>
      </c>
      <c r="L80" s="88" t="n"/>
      <c r="M80" s="88" t="n"/>
      <c r="N80" s="88" t="n"/>
      <c r="O80" s="88" t="n"/>
      <c r="P80" s="88" t="n"/>
      <c r="Q80" s="88" t="n"/>
      <c r="R80" s="88" t="n"/>
      <c r="S80" s="88" t="n"/>
      <c r="T80" s="88" t="n"/>
      <c r="U80" s="88" t="n"/>
      <c r="V80" s="88" t="n"/>
      <c r="W80" s="88" t="n"/>
      <c r="X80" s="88" t="n"/>
      <c r="Y80" s="88" t="n"/>
      <c r="Z80" s="88" t="n"/>
    </row>
    <row r="81" ht="15" customHeight="1" s="86">
      <c r="A81" s="107">
        <v>46120</v>
      </c>
      <c r="B81" s="95" t="inlineStr">
        <is>
          <t>Expense</t>
        </is>
      </c>
      <c r="C81" s="102" t="inlineStr">
        <is>
          <t>Phone and Internet</t>
        </is>
      </c>
      <c r="D81" s="102" t="inlineStr">
        <is>
          <t>Checking</t>
        </is>
      </c>
      <c r="E81" s="97">
        <v>110.0</v>
      </c>
      <c r="F81" s="102" t="inlineStr">
        <is>
          <t>Sam</t>
        </is>
      </c>
      <c r="G81" s="102" t="inlineStr">
        <is>
          <t>Shared</t>
        </is>
      </c>
      <c r="H81" s="102" t="inlineStr">
        <is>
          <t>Fibre + mobiles</t>
        </is>
      </c>
      <c r="I81" s="113">
        <f>IF($A81="","",MONTH($A81))</f>
        <v/>
      </c>
      <c r="J81" s="113">
        <f>IF($A81="","",YEAR($A81))</f>
        <v/>
      </c>
      <c r="K81" s="113">
        <f>IFERROR(INDEX(Setup!$I$7:$I$22,MATCH($C81,Setup!$D$7:$D$22,0)),"")</f>
        <v/>
      </c>
      <c r="L81" s="88" t="n"/>
      <c r="M81" s="88" t="n"/>
      <c r="N81" s="88" t="n"/>
      <c r="O81" s="88" t="n"/>
      <c r="P81" s="88" t="n"/>
      <c r="Q81" s="88" t="n"/>
      <c r="R81" s="88" t="n"/>
      <c r="S81" s="88" t="n"/>
      <c r="T81" s="88" t="n"/>
      <c r="U81" s="88" t="n"/>
      <c r="V81" s="88" t="n"/>
      <c r="W81" s="88" t="n"/>
      <c r="X81" s="88" t="n"/>
      <c r="Y81" s="88" t="n"/>
      <c r="Z81" s="88" t="n"/>
    </row>
    <row r="82" ht="15" customHeight="1" s="86">
      <c r="A82" s="109">
        <v>46121</v>
      </c>
      <c r="B82" s="110" t="inlineStr">
        <is>
          <t>Expense</t>
        </is>
      </c>
      <c r="C82" s="111" t="inlineStr">
        <is>
          <t>Transport</t>
        </is>
      </c>
      <c r="D82" s="111" t="inlineStr">
        <is>
          <t>Credit Card</t>
        </is>
      </c>
      <c r="E82" s="112">
        <v>187.02</v>
      </c>
      <c r="F82" s="111" t="inlineStr">
        <is>
          <t>Alex</t>
        </is>
      </c>
      <c r="G82" s="111" t="inlineStr">
        <is>
          <t>Shared</t>
        </is>
      </c>
      <c r="H82" s="111" t="inlineStr">
        <is>
          <t>Fuel and transit</t>
        </is>
      </c>
      <c r="I82" s="113">
        <f>IF($A82="","",MONTH($A82))</f>
        <v/>
      </c>
      <c r="J82" s="113">
        <f>IF($A82="","",YEAR($A82))</f>
        <v/>
      </c>
      <c r="K82" s="113">
        <f>IFERROR(INDEX(Setup!$I$7:$I$22,MATCH($C82,Setup!$D$7:$D$22,0)),"")</f>
        <v/>
      </c>
      <c r="L82" s="88" t="n"/>
      <c r="M82" s="88" t="n"/>
      <c r="N82" s="88" t="n"/>
      <c r="O82" s="88" t="n"/>
      <c r="P82" s="88" t="n"/>
      <c r="Q82" s="88" t="n"/>
      <c r="R82" s="88" t="n"/>
      <c r="S82" s="88" t="n"/>
      <c r="T82" s="88" t="n"/>
      <c r="U82" s="88" t="n"/>
      <c r="V82" s="88" t="n"/>
      <c r="W82" s="88" t="n"/>
      <c r="X82" s="88" t="n"/>
      <c r="Y82" s="88" t="n"/>
      <c r="Z82" s="88" t="n"/>
    </row>
    <row r="83" ht="15" customHeight="1" s="86">
      <c r="A83" s="107">
        <v>46123</v>
      </c>
      <c r="B83" s="95" t="inlineStr">
        <is>
          <t>Expense</t>
        </is>
      </c>
      <c r="C83" s="102" t="inlineStr">
        <is>
          <t>Dining out</t>
        </is>
      </c>
      <c r="D83" s="102" t="inlineStr">
        <is>
          <t>Credit Card</t>
        </is>
      </c>
      <c r="E83" s="97">
        <v>94.03</v>
      </c>
      <c r="F83" s="102" t="inlineStr">
        <is>
          <t>Alex</t>
        </is>
      </c>
      <c r="G83" s="102" t="inlineStr">
        <is>
          <t>Shared</t>
        </is>
      </c>
      <c r="H83" s="102" t="inlineStr">
        <is>
          <t>Date night</t>
        </is>
      </c>
      <c r="I83" s="113">
        <f>IF($A83="","",MONTH($A83))</f>
        <v/>
      </c>
      <c r="J83" s="113">
        <f>IF($A83="","",YEAR($A83))</f>
        <v/>
      </c>
      <c r="K83" s="113">
        <f>IFERROR(INDEX(Setup!$I$7:$I$22,MATCH($C83,Setup!$D$7:$D$22,0)),"")</f>
        <v/>
      </c>
      <c r="L83" s="88" t="n"/>
      <c r="M83" s="88" t="n"/>
      <c r="N83" s="88" t="n"/>
      <c r="O83" s="88" t="n"/>
      <c r="P83" s="88" t="n"/>
      <c r="Q83" s="88" t="n"/>
      <c r="R83" s="88" t="n"/>
      <c r="S83" s="88" t="n"/>
      <c r="T83" s="88" t="n"/>
      <c r="U83" s="88" t="n"/>
      <c r="V83" s="88" t="n"/>
      <c r="W83" s="88" t="n"/>
      <c r="X83" s="88" t="n"/>
      <c r="Y83" s="88" t="n"/>
      <c r="Z83" s="88" t="n"/>
    </row>
    <row r="84" ht="15" customHeight="1" s="86">
      <c r="A84" s="109">
        <v>46124</v>
      </c>
      <c r="B84" s="110" t="inlineStr">
        <is>
          <t>Expense</t>
        </is>
      </c>
      <c r="C84" s="111" t="inlineStr">
        <is>
          <t>Debt</t>
        </is>
      </c>
      <c r="D84" s="111" t="inlineStr">
        <is>
          <t>Checking</t>
        </is>
      </c>
      <c r="E84" s="112">
        <v>420.0</v>
      </c>
      <c r="F84" s="111" t="inlineStr">
        <is>
          <t>Joint</t>
        </is>
      </c>
      <c r="G84" s="111" t="inlineStr">
        <is>
          <t>Shared</t>
        </is>
      </c>
      <c r="H84" s="111" t="inlineStr">
        <is>
          <t>Car loan</t>
        </is>
      </c>
      <c r="I84" s="113">
        <f>IF($A84="","",MONTH($A84))</f>
        <v/>
      </c>
      <c r="J84" s="113">
        <f>IF($A84="","",YEAR($A84))</f>
        <v/>
      </c>
      <c r="K84" s="113">
        <f>IFERROR(INDEX(Setup!$I$7:$I$22,MATCH($C84,Setup!$D$7:$D$22,0)),"")</f>
        <v/>
      </c>
      <c r="L84" s="88" t="n"/>
      <c r="M84" s="88" t="n"/>
      <c r="N84" s="88" t="n"/>
      <c r="O84" s="88" t="n"/>
      <c r="P84" s="88" t="n"/>
      <c r="Q84" s="88" t="n"/>
      <c r="R84" s="88" t="n"/>
      <c r="S84" s="88" t="n"/>
      <c r="T84" s="88" t="n"/>
      <c r="U84" s="88" t="n"/>
      <c r="V84" s="88" t="n"/>
      <c r="W84" s="88" t="n"/>
      <c r="X84" s="88" t="n"/>
      <c r="Y84" s="88" t="n"/>
      <c r="Z84" s="88" t="n"/>
    </row>
    <row r="85" ht="15" customHeight="1" s="86">
      <c r="A85" s="107">
        <v>46127</v>
      </c>
      <c r="B85" s="95" t="inlineStr">
        <is>
          <t>Expense</t>
        </is>
      </c>
      <c r="C85" s="102" t="inlineStr">
        <is>
          <t>Shopping</t>
        </is>
      </c>
      <c r="D85" s="102" t="inlineStr">
        <is>
          <t>Credit Card</t>
        </is>
      </c>
      <c r="E85" s="97">
        <v>143.35</v>
      </c>
      <c r="F85" s="102" t="inlineStr">
        <is>
          <t>Alex</t>
        </is>
      </c>
      <c r="G85" s="102" t="inlineStr">
        <is>
          <t>Personal</t>
        </is>
      </c>
      <c r="H85" s="102" t="inlineStr">
        <is>
          <t>Clothes</t>
        </is>
      </c>
      <c r="I85" s="113">
        <f>IF($A85="","",MONTH($A85))</f>
        <v/>
      </c>
      <c r="J85" s="113">
        <f>IF($A85="","",YEAR($A85))</f>
        <v/>
      </c>
      <c r="K85" s="113">
        <f>IFERROR(INDEX(Setup!$I$7:$I$22,MATCH($C85,Setup!$D$7:$D$22,0)),"")</f>
        <v/>
      </c>
      <c r="L85" s="88" t="n"/>
      <c r="M85" s="88" t="n"/>
      <c r="N85" s="88" t="n"/>
      <c r="O85" s="88" t="n"/>
      <c r="P85" s="88" t="n"/>
      <c r="Q85" s="88" t="n"/>
      <c r="R85" s="88" t="n"/>
      <c r="S85" s="88" t="n"/>
      <c r="T85" s="88" t="n"/>
      <c r="U85" s="88" t="n"/>
      <c r="V85" s="88" t="n"/>
      <c r="W85" s="88" t="n"/>
      <c r="X85" s="88" t="n"/>
      <c r="Y85" s="88" t="n"/>
      <c r="Z85" s="88" t="n"/>
    </row>
    <row r="86" ht="15" customHeight="1" s="86">
      <c r="A86" s="109">
        <v>46128</v>
      </c>
      <c r="B86" s="110" t="inlineStr">
        <is>
          <t>Expense</t>
        </is>
      </c>
      <c r="C86" s="111" t="inlineStr">
        <is>
          <t>Shopping</t>
        </is>
      </c>
      <c r="D86" s="111" t="inlineStr">
        <is>
          <t>Credit Card</t>
        </is>
      </c>
      <c r="E86" s="112">
        <v>104.43</v>
      </c>
      <c r="F86" s="111" t="inlineStr">
        <is>
          <t>Sam</t>
        </is>
      </c>
      <c r="G86" s="111" t="inlineStr">
        <is>
          <t>Personal</t>
        </is>
      </c>
      <c r="H86" s="111" t="inlineStr">
        <is>
          <t>Clothes</t>
        </is>
      </c>
      <c r="I86" s="113">
        <f>IF($A86="","",MONTH($A86))</f>
        <v/>
      </c>
      <c r="J86" s="113">
        <f>IF($A86="","",YEAR($A86))</f>
        <v/>
      </c>
      <c r="K86" s="113">
        <f>IFERROR(INDEX(Setup!$I$7:$I$22,MATCH($C86,Setup!$D$7:$D$22,0)),"")</f>
        <v/>
      </c>
      <c r="L86" s="88" t="n"/>
      <c r="M86" s="88" t="n"/>
      <c r="N86" s="88" t="n"/>
      <c r="O86" s="88" t="n"/>
      <c r="P86" s="88" t="n"/>
      <c r="Q86" s="88" t="n"/>
      <c r="R86" s="88" t="n"/>
      <c r="S86" s="88" t="n"/>
      <c r="T86" s="88" t="n"/>
      <c r="U86" s="88" t="n"/>
      <c r="V86" s="88" t="n"/>
      <c r="W86" s="88" t="n"/>
      <c r="X86" s="88" t="n"/>
      <c r="Y86" s="88" t="n"/>
      <c r="Z86" s="88" t="n"/>
    </row>
    <row r="87" ht="15" customHeight="1" s="86">
      <c r="A87" s="107">
        <v>46131</v>
      </c>
      <c r="B87" s="95" t="inlineStr">
        <is>
          <t>Expense</t>
        </is>
      </c>
      <c r="C87" s="102" t="inlineStr">
        <is>
          <t>Groceries</t>
        </is>
      </c>
      <c r="D87" s="102" t="inlineStr">
        <is>
          <t>Credit Card</t>
        </is>
      </c>
      <c r="E87" s="97">
        <v>358.07</v>
      </c>
      <c r="F87" s="102" t="inlineStr">
        <is>
          <t>Sam</t>
        </is>
      </c>
      <c r="G87" s="102" t="inlineStr">
        <is>
          <t>Shared</t>
        </is>
      </c>
      <c r="H87" s="102" t="inlineStr">
        <is>
          <t>Weekly shop</t>
        </is>
      </c>
      <c r="I87" s="113">
        <f>IF($A87="","",MONTH($A87))</f>
        <v/>
      </c>
      <c r="J87" s="113">
        <f>IF($A87="","",YEAR($A87))</f>
        <v/>
      </c>
      <c r="K87" s="113">
        <f>IFERROR(INDEX(Setup!$I$7:$I$22,MATCH($C87,Setup!$D$7:$D$22,0)),"")</f>
        <v/>
      </c>
      <c r="L87" s="88" t="n"/>
      <c r="M87" s="88" t="n"/>
      <c r="N87" s="88" t="n"/>
      <c r="O87" s="88" t="n"/>
      <c r="P87" s="88" t="n"/>
      <c r="Q87" s="88" t="n"/>
      <c r="R87" s="88" t="n"/>
      <c r="S87" s="88" t="n"/>
      <c r="T87" s="88" t="n"/>
      <c r="U87" s="88" t="n"/>
      <c r="V87" s="88" t="n"/>
      <c r="W87" s="88" t="n"/>
      <c r="X87" s="88" t="n"/>
      <c r="Y87" s="88" t="n"/>
      <c r="Z87" s="88" t="n"/>
    </row>
    <row r="88" ht="15" customHeight="1" s="86">
      <c r="A88" s="109">
        <v>46133</v>
      </c>
      <c r="B88" s="110" t="inlineStr">
        <is>
          <t>Expense</t>
        </is>
      </c>
      <c r="C88" s="111" t="inlineStr">
        <is>
          <t>Fun and Leisure</t>
        </is>
      </c>
      <c r="D88" s="111" t="inlineStr">
        <is>
          <t>Credit Card</t>
        </is>
      </c>
      <c r="E88" s="112">
        <v>140.27</v>
      </c>
      <c r="F88" s="111" t="inlineStr">
        <is>
          <t>Alex</t>
        </is>
      </c>
      <c r="G88" s="111" t="inlineStr">
        <is>
          <t>Personal</t>
        </is>
      </c>
      <c r="H88" s="111" t="inlineStr">
        <is>
          <t>Gym + hobbies</t>
        </is>
      </c>
      <c r="I88" s="113">
        <f>IF($A88="","",MONTH($A88))</f>
        <v/>
      </c>
      <c r="J88" s="113">
        <f>IF($A88="","",YEAR($A88))</f>
        <v/>
      </c>
      <c r="K88" s="113">
        <f>IFERROR(INDEX(Setup!$I$7:$I$22,MATCH($C88,Setup!$D$7:$D$22,0)),"")</f>
        <v/>
      </c>
      <c r="L88" s="88" t="n"/>
      <c r="M88" s="88" t="n"/>
      <c r="N88" s="88" t="n"/>
      <c r="O88" s="88" t="n"/>
      <c r="P88" s="88" t="n"/>
      <c r="Q88" s="88" t="n"/>
      <c r="R88" s="88" t="n"/>
      <c r="S88" s="88" t="n"/>
      <c r="T88" s="88" t="n"/>
      <c r="U88" s="88" t="n"/>
      <c r="V88" s="88" t="n"/>
      <c r="W88" s="88" t="n"/>
      <c r="X88" s="88" t="n"/>
      <c r="Y88" s="88" t="n"/>
      <c r="Z88" s="88" t="n"/>
    </row>
    <row r="89" ht="15" customHeight="1" s="86">
      <c r="A89" s="107">
        <v>46134</v>
      </c>
      <c r="B89" s="95" t="inlineStr">
        <is>
          <t>Expense</t>
        </is>
      </c>
      <c r="C89" s="102" t="inlineStr">
        <is>
          <t>Fun and Leisure</t>
        </is>
      </c>
      <c r="D89" s="102" t="inlineStr">
        <is>
          <t>Credit Card</t>
        </is>
      </c>
      <c r="E89" s="97">
        <v>134.53</v>
      </c>
      <c r="F89" s="102" t="inlineStr">
        <is>
          <t>Sam</t>
        </is>
      </c>
      <c r="G89" s="102" t="inlineStr">
        <is>
          <t>Personal</t>
        </is>
      </c>
      <c r="H89" s="102" t="inlineStr">
        <is>
          <t>Gym + hobbies</t>
        </is>
      </c>
      <c r="I89" s="113">
        <f>IF($A89="","",MONTH($A89))</f>
        <v/>
      </c>
      <c r="J89" s="113">
        <f>IF($A89="","",YEAR($A89))</f>
        <v/>
      </c>
      <c r="K89" s="113">
        <f>IFERROR(INDEX(Setup!$I$7:$I$22,MATCH($C89,Setup!$D$7:$D$22,0)),"")</f>
        <v/>
      </c>
      <c r="L89" s="88" t="n"/>
      <c r="M89" s="88" t="n"/>
      <c r="N89" s="88" t="n"/>
      <c r="O89" s="88" t="n"/>
      <c r="P89" s="88" t="n"/>
      <c r="Q89" s="88" t="n"/>
      <c r="R89" s="88" t="n"/>
      <c r="S89" s="88" t="n"/>
      <c r="T89" s="88" t="n"/>
      <c r="U89" s="88" t="n"/>
      <c r="V89" s="88" t="n"/>
      <c r="W89" s="88" t="n"/>
      <c r="X89" s="88" t="n"/>
      <c r="Y89" s="88" t="n"/>
      <c r="Z89" s="88" t="n"/>
    </row>
    <row r="90" ht="15" customHeight="1" s="86">
      <c r="A90" s="109">
        <v>46135</v>
      </c>
      <c r="B90" s="110" t="inlineStr">
        <is>
          <t>Expense</t>
        </is>
      </c>
      <c r="C90" s="111" t="inlineStr">
        <is>
          <t>Transport</t>
        </is>
      </c>
      <c r="D90" s="111" t="inlineStr">
        <is>
          <t>Credit Card</t>
        </is>
      </c>
      <c r="E90" s="112">
        <v>194.7</v>
      </c>
      <c r="F90" s="111" t="inlineStr">
        <is>
          <t>Sam</t>
        </is>
      </c>
      <c r="G90" s="111" t="inlineStr">
        <is>
          <t>Shared</t>
        </is>
      </c>
      <c r="H90" s="111" t="inlineStr">
        <is>
          <t>Fuel and transit</t>
        </is>
      </c>
      <c r="I90" s="113">
        <f>IF($A90="","",MONTH($A90))</f>
        <v/>
      </c>
      <c r="J90" s="113">
        <f>IF($A90="","",YEAR($A90))</f>
        <v/>
      </c>
      <c r="K90" s="113">
        <f>IFERROR(INDEX(Setup!$I$7:$I$22,MATCH($C90,Setup!$D$7:$D$22,0)),"")</f>
        <v/>
      </c>
      <c r="L90" s="88" t="n"/>
      <c r="M90" s="88" t="n"/>
      <c r="N90" s="88" t="n"/>
      <c r="O90" s="88" t="n"/>
      <c r="P90" s="88" t="n"/>
      <c r="Q90" s="88" t="n"/>
      <c r="R90" s="88" t="n"/>
      <c r="S90" s="88" t="n"/>
      <c r="T90" s="88" t="n"/>
      <c r="U90" s="88" t="n"/>
      <c r="V90" s="88" t="n"/>
      <c r="W90" s="88" t="n"/>
      <c r="X90" s="88" t="n"/>
      <c r="Y90" s="88" t="n"/>
      <c r="Z90" s="88" t="n"/>
    </row>
    <row r="91" ht="15" customHeight="1" s="86">
      <c r="A91" s="107">
        <v>46136</v>
      </c>
      <c r="B91" s="95" t="inlineStr">
        <is>
          <t>Expense</t>
        </is>
      </c>
      <c r="C91" s="102" t="inlineStr">
        <is>
          <t>Dining out</t>
        </is>
      </c>
      <c r="D91" s="102" t="inlineStr">
        <is>
          <t>Credit Card</t>
        </is>
      </c>
      <c r="E91" s="97">
        <v>99.74</v>
      </c>
      <c r="F91" s="102" t="inlineStr">
        <is>
          <t>Sam</t>
        </is>
      </c>
      <c r="G91" s="102" t="inlineStr">
        <is>
          <t>Shared</t>
        </is>
      </c>
      <c r="H91" s="102" t="inlineStr">
        <is>
          <t>Lunch out</t>
        </is>
      </c>
      <c r="I91" s="113">
        <f>IF($A91="","",MONTH($A91))</f>
        <v/>
      </c>
      <c r="J91" s="113">
        <f>IF($A91="","",YEAR($A91))</f>
        <v/>
      </c>
      <c r="K91" s="113">
        <f>IFERROR(INDEX(Setup!$I$7:$I$22,MATCH($C91,Setup!$D$7:$D$22,0)),"")</f>
        <v/>
      </c>
      <c r="L91" s="88" t="n"/>
      <c r="M91" s="88" t="n"/>
      <c r="N91" s="88" t="n"/>
      <c r="O91" s="88" t="n"/>
      <c r="P91" s="88" t="n"/>
      <c r="Q91" s="88" t="n"/>
      <c r="R91" s="88" t="n"/>
      <c r="S91" s="88" t="n"/>
      <c r="T91" s="88" t="n"/>
      <c r="U91" s="88" t="n"/>
      <c r="V91" s="88" t="n"/>
      <c r="W91" s="88" t="n"/>
      <c r="X91" s="88" t="n"/>
      <c r="Y91" s="88" t="n"/>
      <c r="Z91" s="88" t="n"/>
    </row>
    <row r="92" ht="15" customHeight="1" s="86">
      <c r="A92" s="109">
        <v>46138</v>
      </c>
      <c r="B92" s="110" t="inlineStr">
        <is>
          <t>Expense</t>
        </is>
      </c>
      <c r="C92" s="111" t="inlineStr">
        <is>
          <t>Fun and Leisure</t>
        </is>
      </c>
      <c r="D92" s="111" t="inlineStr">
        <is>
          <t>Credit Card</t>
        </is>
      </c>
      <c r="E92" s="112">
        <v>520</v>
      </c>
      <c r="F92" s="111" t="inlineStr">
        <is>
          <t>Joint</t>
        </is>
      </c>
      <c r="G92" s="111" t="inlineStr">
        <is>
          <t>Shared</t>
        </is>
      </c>
      <c r="H92" s="111" t="inlineStr">
        <is>
          <t>Weekend away</t>
        </is>
      </c>
      <c r="I92" s="113">
        <f>IF($A92="","",MONTH($A92))</f>
        <v/>
      </c>
      <c r="J92" s="113">
        <f>IF($A92="","",YEAR($A92))</f>
        <v/>
      </c>
      <c r="K92" s="113">
        <f>IFERROR(INDEX(Setup!$I$7:$I$22,MATCH($C92,Setup!$D$7:$D$22,0)),"")</f>
        <v/>
      </c>
      <c r="L92" s="88" t="n"/>
      <c r="M92" s="88" t="n"/>
      <c r="N92" s="88" t="n"/>
      <c r="O92" s="88" t="n"/>
      <c r="P92" s="88" t="n"/>
      <c r="Q92" s="88" t="n"/>
      <c r="R92" s="88" t="n"/>
      <c r="S92" s="88" t="n"/>
      <c r="T92" s="88" t="n"/>
      <c r="U92" s="88" t="n"/>
      <c r="V92" s="88" t="n"/>
      <c r="W92" s="88" t="n"/>
      <c r="X92" s="88" t="n"/>
      <c r="Y92" s="88" t="n"/>
      <c r="Z92" s="88" t="n"/>
    </row>
    <row r="93" ht="15" customHeight="1" s="86">
      <c r="A93" s="107">
        <v>46143</v>
      </c>
      <c r="B93" s="95" t="inlineStr">
        <is>
          <t>Income</t>
        </is>
      </c>
      <c r="C93" s="102" t="inlineStr">
        <is>
          <t>Salary</t>
        </is>
      </c>
      <c r="D93" s="102" t="inlineStr">
        <is>
          <t>Checking</t>
        </is>
      </c>
      <c r="E93" s="97">
        <v>5200</v>
      </c>
      <c r="F93" s="102" t="inlineStr">
        <is>
          <t>Alex</t>
        </is>
      </c>
      <c r="G93" s="102" t="inlineStr">
        <is>
          <t>Personal</t>
        </is>
      </c>
      <c r="H93" s="102" t="inlineStr">
        <is>
          <t>Monthly pay</t>
        </is>
      </c>
      <c r="I93" s="113">
        <f>IF($A93="","",MONTH($A93))</f>
        <v/>
      </c>
      <c r="J93" s="113">
        <f>IF($A93="","",YEAR($A93))</f>
        <v/>
      </c>
      <c r="K93" s="113">
        <f>IFERROR(INDEX(Setup!$I$7:$I$22,MATCH($C93,Setup!$D$7:$D$22,0)),"")</f>
        <v/>
      </c>
      <c r="L93" s="88" t="n"/>
      <c r="M93" s="88" t="n"/>
      <c r="N93" s="88" t="n"/>
      <c r="O93" s="88" t="n"/>
      <c r="P93" s="88" t="n"/>
      <c r="Q93" s="88" t="n"/>
      <c r="R93" s="88" t="n"/>
      <c r="S93" s="88" t="n"/>
      <c r="T93" s="88" t="n"/>
      <c r="U93" s="88" t="n"/>
      <c r="V93" s="88" t="n"/>
      <c r="W93" s="88" t="n"/>
      <c r="X93" s="88" t="n"/>
      <c r="Y93" s="88" t="n"/>
      <c r="Z93" s="88" t="n"/>
    </row>
    <row r="94" ht="15" customHeight="1" s="86">
      <c r="A94" s="109">
        <v>46143</v>
      </c>
      <c r="B94" s="110" t="inlineStr">
        <is>
          <t>Income</t>
        </is>
      </c>
      <c r="C94" s="111" t="inlineStr">
        <is>
          <t>Salary</t>
        </is>
      </c>
      <c r="D94" s="111" t="inlineStr">
        <is>
          <t>Checking</t>
        </is>
      </c>
      <c r="E94" s="112">
        <v>3800</v>
      </c>
      <c r="F94" s="111" t="inlineStr">
        <is>
          <t>Sam</t>
        </is>
      </c>
      <c r="G94" s="111" t="inlineStr">
        <is>
          <t>Personal</t>
        </is>
      </c>
      <c r="H94" s="111" t="inlineStr">
        <is>
          <t>Monthly pay</t>
        </is>
      </c>
      <c r="I94" s="113">
        <f>IF($A94="","",MONTH($A94))</f>
        <v/>
      </c>
      <c r="J94" s="113">
        <f>IF($A94="","",YEAR($A94))</f>
        <v/>
      </c>
      <c r="K94" s="113">
        <f>IFERROR(INDEX(Setup!$I$7:$I$22,MATCH($C94,Setup!$D$7:$D$22,0)),"")</f>
        <v/>
      </c>
      <c r="L94" s="88" t="n"/>
      <c r="M94" s="88" t="n"/>
      <c r="N94" s="88" t="n"/>
      <c r="O94" s="88" t="n"/>
      <c r="P94" s="88" t="n"/>
      <c r="Q94" s="88" t="n"/>
      <c r="R94" s="88" t="n"/>
      <c r="S94" s="88" t="n"/>
      <c r="T94" s="88" t="n"/>
      <c r="U94" s="88" t="n"/>
      <c r="V94" s="88" t="n"/>
      <c r="W94" s="88" t="n"/>
      <c r="X94" s="88" t="n"/>
      <c r="Y94" s="88" t="n"/>
      <c r="Z94" s="88" t="n"/>
    </row>
    <row r="95" ht="15" customHeight="1" s="86">
      <c r="A95" s="107">
        <v>46143</v>
      </c>
      <c r="B95" s="95" t="inlineStr">
        <is>
          <t>Expense</t>
        </is>
      </c>
      <c r="C95" s="102" t="inlineStr">
        <is>
          <t>Rent or Mortgage</t>
        </is>
      </c>
      <c r="D95" s="102" t="inlineStr">
        <is>
          <t>Checking</t>
        </is>
      </c>
      <c r="E95" s="97">
        <v>2400.0</v>
      </c>
      <c r="F95" s="102" t="inlineStr">
        <is>
          <t>Alex</t>
        </is>
      </c>
      <c r="G95" s="102" t="inlineStr">
        <is>
          <t>Shared</t>
        </is>
      </c>
      <c r="H95" s="102" t="inlineStr">
        <is>
          <t>Rent</t>
        </is>
      </c>
      <c r="I95" s="113">
        <f>IF($A95="","",MONTH($A95))</f>
        <v/>
      </c>
      <c r="J95" s="113">
        <f>IF($A95="","",YEAR($A95))</f>
        <v/>
      </c>
      <c r="K95" s="113">
        <f>IFERROR(INDEX(Setup!$I$7:$I$22,MATCH($C95,Setup!$D$7:$D$22,0)),"")</f>
        <v/>
      </c>
      <c r="L95" s="88" t="n"/>
      <c r="M95" s="88" t="n"/>
      <c r="N95" s="88" t="n"/>
      <c r="O95" s="88" t="n"/>
      <c r="P95" s="88" t="n"/>
      <c r="Q95" s="88" t="n"/>
      <c r="R95" s="88" t="n"/>
      <c r="S95" s="88" t="n"/>
      <c r="T95" s="88" t="n"/>
      <c r="U95" s="88" t="n"/>
      <c r="V95" s="88" t="n"/>
      <c r="W95" s="88" t="n"/>
      <c r="X95" s="88" t="n"/>
      <c r="Y95" s="88" t="n"/>
      <c r="Z95" s="88" t="n"/>
    </row>
    <row r="96" ht="15" customHeight="1" s="86">
      <c r="A96" s="109">
        <v>46144</v>
      </c>
      <c r="B96" s="110" t="inlineStr">
        <is>
          <t>Transfer</t>
        </is>
      </c>
      <c r="C96" s="111" t="inlineStr">
        <is>
          <t>Emergency Fund</t>
        </is>
      </c>
      <c r="D96" s="111" t="inlineStr">
        <is>
          <t>Savings</t>
        </is>
      </c>
      <c r="E96" s="112">
        <v>850.0</v>
      </c>
      <c r="F96" s="111" t="inlineStr">
        <is>
          <t>Joint</t>
        </is>
      </c>
      <c r="G96" s="111" t="inlineStr">
        <is>
          <t>Shared</t>
        </is>
      </c>
      <c r="H96" s="111" t="inlineStr">
        <is>
          <t>Auto transfer</t>
        </is>
      </c>
      <c r="I96" s="113">
        <f>IF($A96="","",MONTH($A96))</f>
        <v/>
      </c>
      <c r="J96" s="113">
        <f>IF($A96="","",YEAR($A96))</f>
        <v/>
      </c>
      <c r="K96" s="113">
        <f>IFERROR(INDEX(Setup!$I$7:$I$22,MATCH($C96,Setup!$D$7:$D$22,0)),"")</f>
        <v/>
      </c>
      <c r="L96" s="88" t="n"/>
      <c r="M96" s="88" t="n"/>
      <c r="N96" s="88" t="n"/>
      <c r="O96" s="88" t="n"/>
      <c r="P96" s="88" t="n"/>
      <c r="Q96" s="88" t="n"/>
      <c r="R96" s="88" t="n"/>
      <c r="S96" s="88" t="n"/>
      <c r="T96" s="88" t="n"/>
      <c r="U96" s="88" t="n"/>
      <c r="V96" s="88" t="n"/>
      <c r="W96" s="88" t="n"/>
      <c r="X96" s="88" t="n"/>
      <c r="Y96" s="88" t="n"/>
      <c r="Z96" s="88" t="n"/>
    </row>
    <row r="97" ht="15" customHeight="1" s="86">
      <c r="A97" s="107">
        <v>46144</v>
      </c>
      <c r="B97" s="95" t="inlineStr">
        <is>
          <t>Transfer</t>
        </is>
      </c>
      <c r="C97" s="102" t="inlineStr">
        <is>
          <t>Holiday Fund</t>
        </is>
      </c>
      <c r="D97" s="102" t="inlineStr">
        <is>
          <t>Savings</t>
        </is>
      </c>
      <c r="E97" s="97">
        <v>420.0</v>
      </c>
      <c r="F97" s="102" t="inlineStr">
        <is>
          <t>Joint</t>
        </is>
      </c>
      <c r="G97" s="102" t="inlineStr">
        <is>
          <t>Shared</t>
        </is>
      </c>
      <c r="H97" s="102" t="inlineStr">
        <is>
          <t>Auto transfer</t>
        </is>
      </c>
      <c r="I97" s="113">
        <f>IF($A97="","",MONTH($A97))</f>
        <v/>
      </c>
      <c r="J97" s="113">
        <f>IF($A97="","",YEAR($A97))</f>
        <v/>
      </c>
      <c r="K97" s="113">
        <f>IFERROR(INDEX(Setup!$I$7:$I$22,MATCH($C97,Setup!$D$7:$D$22,0)),"")</f>
        <v/>
      </c>
      <c r="L97" s="88" t="n"/>
      <c r="M97" s="88" t="n"/>
      <c r="N97" s="88" t="n"/>
      <c r="O97" s="88" t="n"/>
      <c r="P97" s="88" t="n"/>
      <c r="Q97" s="88" t="n"/>
      <c r="R97" s="88" t="n"/>
      <c r="S97" s="88" t="n"/>
      <c r="T97" s="88" t="n"/>
      <c r="U97" s="88" t="n"/>
      <c r="V97" s="88" t="n"/>
      <c r="W97" s="88" t="n"/>
      <c r="X97" s="88" t="n"/>
      <c r="Y97" s="88" t="n"/>
      <c r="Z97" s="88" t="n"/>
    </row>
    <row r="98" ht="15" customHeight="1" s="86">
      <c r="A98" s="109">
        <v>46144</v>
      </c>
      <c r="B98" s="110" t="inlineStr">
        <is>
          <t>Transfer</t>
        </is>
      </c>
      <c r="C98" s="111" t="inlineStr">
        <is>
          <t>New Car</t>
        </is>
      </c>
      <c r="D98" s="111" t="inlineStr">
        <is>
          <t>Savings</t>
        </is>
      </c>
      <c r="E98" s="112">
        <v>610.0</v>
      </c>
      <c r="F98" s="111" t="inlineStr">
        <is>
          <t>Joint</t>
        </is>
      </c>
      <c r="G98" s="111" t="inlineStr">
        <is>
          <t>Shared</t>
        </is>
      </c>
      <c r="H98" s="111" t="inlineStr">
        <is>
          <t>Auto transfer</t>
        </is>
      </c>
      <c r="I98" s="113">
        <f>IF($A98="","",MONTH($A98))</f>
        <v/>
      </c>
      <c r="J98" s="113">
        <f>IF($A98="","",YEAR($A98))</f>
        <v/>
      </c>
      <c r="K98" s="113">
        <f>IFERROR(INDEX(Setup!$I$7:$I$22,MATCH($C98,Setup!$D$7:$D$22,0)),"")</f>
        <v/>
      </c>
      <c r="L98" s="88" t="n"/>
      <c r="M98" s="88" t="n"/>
      <c r="N98" s="88" t="n"/>
      <c r="O98" s="88" t="n"/>
      <c r="P98" s="88" t="n"/>
      <c r="Q98" s="88" t="n"/>
      <c r="R98" s="88" t="n"/>
      <c r="S98" s="88" t="n"/>
      <c r="T98" s="88" t="n"/>
      <c r="U98" s="88" t="n"/>
      <c r="V98" s="88" t="n"/>
      <c r="W98" s="88" t="n"/>
      <c r="X98" s="88" t="n"/>
      <c r="Y98" s="88" t="n"/>
      <c r="Z98" s="88" t="n"/>
    </row>
    <row r="99" ht="15" customHeight="1" s="86">
      <c r="A99" s="107">
        <v>46145</v>
      </c>
      <c r="B99" s="95" t="inlineStr">
        <is>
          <t>Expense</t>
        </is>
      </c>
      <c r="C99" s="102" t="inlineStr">
        <is>
          <t>Insurance</t>
        </is>
      </c>
      <c r="D99" s="102" t="inlineStr">
        <is>
          <t>Checking</t>
        </is>
      </c>
      <c r="E99" s="97">
        <v>240.0</v>
      </c>
      <c r="F99" s="102" t="inlineStr">
        <is>
          <t>Joint</t>
        </is>
      </c>
      <c r="G99" s="102" t="inlineStr">
        <is>
          <t>Shared</t>
        </is>
      </c>
      <c r="H99" s="102" t="inlineStr">
        <is>
          <t>Home + car</t>
        </is>
      </c>
      <c r="I99" s="113">
        <f>IF($A99="","",MONTH($A99))</f>
        <v/>
      </c>
      <c r="J99" s="113">
        <f>IF($A99="","",YEAR($A99))</f>
        <v/>
      </c>
      <c r="K99" s="113">
        <f>IFERROR(INDEX(Setup!$I$7:$I$22,MATCH($C99,Setup!$D$7:$D$22,0)),"")</f>
        <v/>
      </c>
      <c r="L99" s="88" t="n"/>
      <c r="M99" s="88" t="n"/>
      <c r="N99" s="88" t="n"/>
      <c r="O99" s="88" t="n"/>
      <c r="P99" s="88" t="n"/>
      <c r="Q99" s="88" t="n"/>
      <c r="R99" s="88" t="n"/>
      <c r="S99" s="88" t="n"/>
      <c r="T99" s="88" t="n"/>
      <c r="U99" s="88" t="n"/>
      <c r="V99" s="88" t="n"/>
      <c r="W99" s="88" t="n"/>
      <c r="X99" s="88" t="n"/>
      <c r="Y99" s="88" t="n"/>
      <c r="Z99" s="88" t="n"/>
    </row>
    <row r="100" ht="15" customHeight="1" s="86">
      <c r="A100" s="109">
        <v>46146</v>
      </c>
      <c r="B100" s="110" t="inlineStr">
        <is>
          <t>Expense</t>
        </is>
      </c>
      <c r="C100" s="111" t="inlineStr">
        <is>
          <t>Utilities</t>
        </is>
      </c>
      <c r="D100" s="111" t="inlineStr">
        <is>
          <t>Checking</t>
        </is>
      </c>
      <c r="E100" s="112">
        <v>246.39</v>
      </c>
      <c r="F100" s="111" t="inlineStr">
        <is>
          <t>Sam</t>
        </is>
      </c>
      <c r="G100" s="111" t="inlineStr">
        <is>
          <t>Shared</t>
        </is>
      </c>
      <c r="H100" s="111" t="inlineStr">
        <is>
          <t>Electric and gas</t>
        </is>
      </c>
      <c r="I100" s="113">
        <f>IF($A100="","",MONTH($A100))</f>
        <v/>
      </c>
      <c r="J100" s="113">
        <f>IF($A100="","",YEAR($A100))</f>
        <v/>
      </c>
      <c r="K100" s="113">
        <f>IFERROR(INDEX(Setup!$I$7:$I$22,MATCH($C100,Setup!$D$7:$D$22,0)),"")</f>
        <v/>
      </c>
      <c r="L100" s="88" t="n"/>
      <c r="M100" s="88" t="n"/>
      <c r="N100" s="88" t="n"/>
      <c r="O100" s="88" t="n"/>
      <c r="P100" s="88" t="n"/>
      <c r="Q100" s="88" t="n"/>
      <c r="R100" s="88" t="n"/>
      <c r="S100" s="88" t="n"/>
      <c r="T100" s="88" t="n"/>
      <c r="U100" s="88" t="n"/>
      <c r="V100" s="88" t="n"/>
      <c r="W100" s="88" t="n"/>
      <c r="X100" s="88" t="n"/>
      <c r="Y100" s="88" t="n"/>
      <c r="Z100" s="88" t="n"/>
    </row>
    <row r="101" ht="15" customHeight="1" s="86">
      <c r="A101" s="107">
        <v>46148</v>
      </c>
      <c r="B101" s="95" t="inlineStr">
        <is>
          <t>Expense</t>
        </is>
      </c>
      <c r="C101" s="102" t="inlineStr">
        <is>
          <t>Groceries</t>
        </is>
      </c>
      <c r="D101" s="102" t="inlineStr">
        <is>
          <t>Credit Card</t>
        </is>
      </c>
      <c r="E101" s="97">
        <v>311.28</v>
      </c>
      <c r="F101" s="102" t="inlineStr">
        <is>
          <t>Sam</t>
        </is>
      </c>
      <c r="G101" s="102" t="inlineStr">
        <is>
          <t>Shared</t>
        </is>
      </c>
      <c r="H101" s="102" t="inlineStr">
        <is>
          <t>Weekly shop</t>
        </is>
      </c>
      <c r="I101" s="113">
        <f>IF($A101="","",MONTH($A101))</f>
        <v/>
      </c>
      <c r="J101" s="113">
        <f>IF($A101="","",YEAR($A101))</f>
        <v/>
      </c>
      <c r="K101" s="113">
        <f>IFERROR(INDEX(Setup!$I$7:$I$22,MATCH($C101,Setup!$D$7:$D$22,0)),"")</f>
        <v/>
      </c>
      <c r="L101" s="88" t="n"/>
      <c r="M101" s="88" t="n"/>
      <c r="N101" s="88" t="n"/>
      <c r="O101" s="88" t="n"/>
      <c r="P101" s="88" t="n"/>
      <c r="Q101" s="88" t="n"/>
      <c r="R101" s="88" t="n"/>
      <c r="S101" s="88" t="n"/>
      <c r="T101" s="88" t="n"/>
      <c r="U101" s="88" t="n"/>
      <c r="V101" s="88" t="n"/>
      <c r="W101" s="88" t="n"/>
      <c r="X101" s="88" t="n"/>
      <c r="Y101" s="88" t="n"/>
      <c r="Z101" s="88" t="n"/>
    </row>
    <row r="102" ht="15" customHeight="1" s="86">
      <c r="A102" s="109">
        <v>46149</v>
      </c>
      <c r="B102" s="110" t="inlineStr">
        <is>
          <t>Expense</t>
        </is>
      </c>
      <c r="C102" s="111" t="inlineStr">
        <is>
          <t>Subscriptions</t>
        </is>
      </c>
      <c r="D102" s="111" t="inlineStr">
        <is>
          <t>Credit Card</t>
        </is>
      </c>
      <c r="E102" s="112">
        <v>46.99</v>
      </c>
      <c r="F102" s="111" t="inlineStr">
        <is>
          <t>Alex</t>
        </is>
      </c>
      <c r="G102" s="111" t="inlineStr">
        <is>
          <t>Shared</t>
        </is>
      </c>
      <c r="H102" s="111" t="inlineStr">
        <is>
          <t>Streaming + cloud</t>
        </is>
      </c>
      <c r="I102" s="113">
        <f>IF($A102="","",MONTH($A102))</f>
        <v/>
      </c>
      <c r="J102" s="113">
        <f>IF($A102="","",YEAR($A102))</f>
        <v/>
      </c>
      <c r="K102" s="113">
        <f>IFERROR(INDEX(Setup!$I$7:$I$22,MATCH($C102,Setup!$D$7:$D$22,0)),"")</f>
        <v/>
      </c>
      <c r="L102" s="88" t="n"/>
      <c r="M102" s="88" t="n"/>
      <c r="N102" s="88" t="n"/>
      <c r="O102" s="88" t="n"/>
      <c r="P102" s="88" t="n"/>
      <c r="Q102" s="88" t="n"/>
      <c r="R102" s="88" t="n"/>
      <c r="S102" s="88" t="n"/>
      <c r="T102" s="88" t="n"/>
      <c r="U102" s="88" t="n"/>
      <c r="V102" s="88" t="n"/>
      <c r="W102" s="88" t="n"/>
      <c r="X102" s="88" t="n"/>
      <c r="Y102" s="88" t="n"/>
      <c r="Z102" s="88" t="n"/>
    </row>
    <row r="103" ht="15" customHeight="1" s="86">
      <c r="A103" s="107">
        <v>46150</v>
      </c>
      <c r="B103" s="95" t="inlineStr">
        <is>
          <t>Expense</t>
        </is>
      </c>
      <c r="C103" s="102" t="inlineStr">
        <is>
          <t>Phone and Internet</t>
        </is>
      </c>
      <c r="D103" s="102" t="inlineStr">
        <is>
          <t>Checking</t>
        </is>
      </c>
      <c r="E103" s="97">
        <v>110.0</v>
      </c>
      <c r="F103" s="102" t="inlineStr">
        <is>
          <t>Sam</t>
        </is>
      </c>
      <c r="G103" s="102" t="inlineStr">
        <is>
          <t>Shared</t>
        </is>
      </c>
      <c r="H103" s="102" t="inlineStr">
        <is>
          <t>Fibre + mobiles</t>
        </is>
      </c>
      <c r="I103" s="113">
        <f>IF($A103="","",MONTH($A103))</f>
        <v/>
      </c>
      <c r="J103" s="113">
        <f>IF($A103="","",YEAR($A103))</f>
        <v/>
      </c>
      <c r="K103" s="113">
        <f>IFERROR(INDEX(Setup!$I$7:$I$22,MATCH($C103,Setup!$D$7:$D$22,0)),"")</f>
        <v/>
      </c>
      <c r="L103" s="88" t="n"/>
      <c r="M103" s="88" t="n"/>
      <c r="N103" s="88" t="n"/>
      <c r="O103" s="88" t="n"/>
      <c r="P103" s="88" t="n"/>
      <c r="Q103" s="88" t="n"/>
      <c r="R103" s="88" t="n"/>
      <c r="S103" s="88" t="n"/>
      <c r="T103" s="88" t="n"/>
      <c r="U103" s="88" t="n"/>
      <c r="V103" s="88" t="n"/>
      <c r="W103" s="88" t="n"/>
      <c r="X103" s="88" t="n"/>
      <c r="Y103" s="88" t="n"/>
      <c r="Z103" s="88" t="n"/>
    </row>
    <row r="104" ht="15" customHeight="1" s="86">
      <c r="A104" s="109">
        <v>46151</v>
      </c>
      <c r="B104" s="110" t="inlineStr">
        <is>
          <t>Expense</t>
        </is>
      </c>
      <c r="C104" s="111" t="inlineStr">
        <is>
          <t>Transport</t>
        </is>
      </c>
      <c r="D104" s="111" t="inlineStr">
        <is>
          <t>Credit Card</t>
        </is>
      </c>
      <c r="E104" s="112">
        <v>191.5</v>
      </c>
      <c r="F104" s="111" t="inlineStr">
        <is>
          <t>Alex</t>
        </is>
      </c>
      <c r="G104" s="111" t="inlineStr">
        <is>
          <t>Shared</t>
        </is>
      </c>
      <c r="H104" s="111" t="inlineStr">
        <is>
          <t>Fuel and transit</t>
        </is>
      </c>
      <c r="I104" s="113">
        <f>IF($A104="","",MONTH($A104))</f>
        <v/>
      </c>
      <c r="J104" s="113">
        <f>IF($A104="","",YEAR($A104))</f>
        <v/>
      </c>
      <c r="K104" s="113">
        <f>IFERROR(INDEX(Setup!$I$7:$I$22,MATCH($C104,Setup!$D$7:$D$22,0)),"")</f>
        <v/>
      </c>
      <c r="L104" s="88" t="n"/>
      <c r="M104" s="88" t="n"/>
      <c r="N104" s="88" t="n"/>
      <c r="O104" s="88" t="n"/>
      <c r="P104" s="88" t="n"/>
      <c r="Q104" s="88" t="n"/>
      <c r="R104" s="88" t="n"/>
      <c r="S104" s="88" t="n"/>
      <c r="T104" s="88" t="n"/>
      <c r="U104" s="88" t="n"/>
      <c r="V104" s="88" t="n"/>
      <c r="W104" s="88" t="n"/>
      <c r="X104" s="88" t="n"/>
      <c r="Y104" s="88" t="n"/>
      <c r="Z104" s="88" t="n"/>
    </row>
    <row r="105" ht="15" customHeight="1" s="86">
      <c r="A105" s="107">
        <v>46153</v>
      </c>
      <c r="B105" s="95" t="inlineStr">
        <is>
          <t>Expense</t>
        </is>
      </c>
      <c r="C105" s="102" t="inlineStr">
        <is>
          <t>Dining out</t>
        </is>
      </c>
      <c r="D105" s="102" t="inlineStr">
        <is>
          <t>Credit Card</t>
        </is>
      </c>
      <c r="E105" s="97">
        <v>92.73</v>
      </c>
      <c r="F105" s="102" t="inlineStr">
        <is>
          <t>Alex</t>
        </is>
      </c>
      <c r="G105" s="102" t="inlineStr">
        <is>
          <t>Shared</t>
        </is>
      </c>
      <c r="H105" s="102" t="inlineStr">
        <is>
          <t>Date night</t>
        </is>
      </c>
      <c r="I105" s="113">
        <f>IF($A105="","",MONTH($A105))</f>
        <v/>
      </c>
      <c r="J105" s="113">
        <f>IF($A105="","",YEAR($A105))</f>
        <v/>
      </c>
      <c r="K105" s="113">
        <f>IFERROR(INDEX(Setup!$I$7:$I$22,MATCH($C105,Setup!$D$7:$D$22,0)),"")</f>
        <v/>
      </c>
      <c r="L105" s="88" t="n"/>
      <c r="M105" s="88" t="n"/>
      <c r="N105" s="88" t="n"/>
      <c r="O105" s="88" t="n"/>
      <c r="P105" s="88" t="n"/>
      <c r="Q105" s="88" t="n"/>
      <c r="R105" s="88" t="n"/>
      <c r="S105" s="88" t="n"/>
      <c r="T105" s="88" t="n"/>
      <c r="U105" s="88" t="n"/>
      <c r="V105" s="88" t="n"/>
      <c r="W105" s="88" t="n"/>
      <c r="X105" s="88" t="n"/>
      <c r="Y105" s="88" t="n"/>
      <c r="Z105" s="88" t="n"/>
    </row>
    <row r="106" ht="15" customHeight="1" s="86">
      <c r="A106" s="109">
        <v>46154</v>
      </c>
      <c r="B106" s="110" t="inlineStr">
        <is>
          <t>Expense</t>
        </is>
      </c>
      <c r="C106" s="111" t="inlineStr">
        <is>
          <t>Debt</t>
        </is>
      </c>
      <c r="D106" s="111" t="inlineStr">
        <is>
          <t>Checking</t>
        </is>
      </c>
      <c r="E106" s="112">
        <v>420.0</v>
      </c>
      <c r="F106" s="111" t="inlineStr">
        <is>
          <t>Joint</t>
        </is>
      </c>
      <c r="G106" s="111" t="inlineStr">
        <is>
          <t>Shared</t>
        </is>
      </c>
      <c r="H106" s="111" t="inlineStr">
        <is>
          <t>Car loan</t>
        </is>
      </c>
      <c r="I106" s="113">
        <f>IF($A106="","",MONTH($A106))</f>
        <v/>
      </c>
      <c r="J106" s="113">
        <f>IF($A106="","",YEAR($A106))</f>
        <v/>
      </c>
      <c r="K106" s="113">
        <f>IFERROR(INDEX(Setup!$I$7:$I$22,MATCH($C106,Setup!$D$7:$D$22,0)),"")</f>
        <v/>
      </c>
      <c r="L106" s="88" t="n"/>
      <c r="M106" s="88" t="n"/>
      <c r="N106" s="88" t="n"/>
      <c r="O106" s="88" t="n"/>
      <c r="P106" s="88" t="n"/>
      <c r="Q106" s="88" t="n"/>
      <c r="R106" s="88" t="n"/>
      <c r="S106" s="88" t="n"/>
      <c r="T106" s="88" t="n"/>
      <c r="U106" s="88" t="n"/>
      <c r="V106" s="88" t="n"/>
      <c r="W106" s="88" t="n"/>
      <c r="X106" s="88" t="n"/>
      <c r="Y106" s="88" t="n"/>
      <c r="Z106" s="88" t="n"/>
    </row>
    <row r="107" ht="15" customHeight="1" s="86">
      <c r="A107" s="107">
        <v>46156</v>
      </c>
      <c r="B107" s="95" t="inlineStr">
        <is>
          <t>Expense</t>
        </is>
      </c>
      <c r="C107" s="102" t="inlineStr">
        <is>
          <t>Gifts</t>
        </is>
      </c>
      <c r="D107" s="102" t="inlineStr">
        <is>
          <t>Credit Card</t>
        </is>
      </c>
      <c r="E107" s="97">
        <v>180</v>
      </c>
      <c r="F107" s="102" t="inlineStr">
        <is>
          <t>Sam</t>
        </is>
      </c>
      <c r="G107" s="102" t="inlineStr">
        <is>
          <t>Personal</t>
        </is>
      </c>
      <c r="H107" s="102" t="inlineStr">
        <is>
          <t>Present</t>
        </is>
      </c>
      <c r="I107" s="113">
        <f>IF($A107="","",MONTH($A107))</f>
        <v/>
      </c>
      <c r="J107" s="113">
        <f>IF($A107="","",YEAR($A107))</f>
        <v/>
      </c>
      <c r="K107" s="113">
        <f>IFERROR(INDEX(Setup!$I$7:$I$22,MATCH($C107,Setup!$D$7:$D$22,0)),"")</f>
        <v/>
      </c>
      <c r="L107" s="88" t="n"/>
      <c r="M107" s="88" t="n"/>
      <c r="N107" s="88" t="n"/>
      <c r="O107" s="88" t="n"/>
      <c r="P107" s="88" t="n"/>
      <c r="Q107" s="88" t="n"/>
      <c r="R107" s="88" t="n"/>
      <c r="S107" s="88" t="n"/>
      <c r="T107" s="88" t="n"/>
      <c r="U107" s="88" t="n"/>
      <c r="V107" s="88" t="n"/>
      <c r="W107" s="88" t="n"/>
      <c r="X107" s="88" t="n"/>
      <c r="Y107" s="88" t="n"/>
      <c r="Z107" s="88" t="n"/>
    </row>
    <row r="108" ht="15" customHeight="1" s="86">
      <c r="A108" s="109">
        <v>46157</v>
      </c>
      <c r="B108" s="110" t="inlineStr">
        <is>
          <t>Expense</t>
        </is>
      </c>
      <c r="C108" s="111" t="inlineStr">
        <is>
          <t>Shopping</t>
        </is>
      </c>
      <c r="D108" s="111" t="inlineStr">
        <is>
          <t>Credit Card</t>
        </is>
      </c>
      <c r="E108" s="112">
        <v>139.55</v>
      </c>
      <c r="F108" s="111" t="inlineStr">
        <is>
          <t>Alex</t>
        </is>
      </c>
      <c r="G108" s="111" t="inlineStr">
        <is>
          <t>Personal</t>
        </is>
      </c>
      <c r="H108" s="111" t="inlineStr">
        <is>
          <t>Clothes</t>
        </is>
      </c>
      <c r="I108" s="113">
        <f>IF($A108="","",MONTH($A108))</f>
        <v/>
      </c>
      <c r="J108" s="113">
        <f>IF($A108="","",YEAR($A108))</f>
        <v/>
      </c>
      <c r="K108" s="113">
        <f>IFERROR(INDEX(Setup!$I$7:$I$22,MATCH($C108,Setup!$D$7:$D$22,0)),"")</f>
        <v/>
      </c>
      <c r="L108" s="88" t="n"/>
      <c r="M108" s="88" t="n"/>
      <c r="N108" s="88" t="n"/>
      <c r="O108" s="88" t="n"/>
      <c r="P108" s="88" t="n"/>
      <c r="Q108" s="88" t="n"/>
      <c r="R108" s="88" t="n"/>
      <c r="S108" s="88" t="n"/>
      <c r="T108" s="88" t="n"/>
      <c r="U108" s="88" t="n"/>
      <c r="V108" s="88" t="n"/>
      <c r="W108" s="88" t="n"/>
      <c r="X108" s="88" t="n"/>
      <c r="Y108" s="88" t="n"/>
      <c r="Z108" s="88" t="n"/>
    </row>
    <row r="109" ht="15" customHeight="1" s="86">
      <c r="A109" s="107">
        <v>46158</v>
      </c>
      <c r="B109" s="95" t="inlineStr">
        <is>
          <t>Expense</t>
        </is>
      </c>
      <c r="C109" s="102" t="inlineStr">
        <is>
          <t>Shopping</t>
        </is>
      </c>
      <c r="D109" s="102" t="inlineStr">
        <is>
          <t>Credit Card</t>
        </is>
      </c>
      <c r="E109" s="97">
        <v>109.21</v>
      </c>
      <c r="F109" s="102" t="inlineStr">
        <is>
          <t>Sam</t>
        </is>
      </c>
      <c r="G109" s="102" t="inlineStr">
        <is>
          <t>Personal</t>
        </is>
      </c>
      <c r="H109" s="102" t="inlineStr">
        <is>
          <t>Clothes</t>
        </is>
      </c>
      <c r="I109" s="113">
        <f>IF($A109="","",MONTH($A109))</f>
        <v/>
      </c>
      <c r="J109" s="113">
        <f>IF($A109="","",YEAR($A109))</f>
        <v/>
      </c>
      <c r="K109" s="113">
        <f>IFERROR(INDEX(Setup!$I$7:$I$22,MATCH($C109,Setup!$D$7:$D$22,0)),"")</f>
        <v/>
      </c>
      <c r="L109" s="88" t="n"/>
      <c r="M109" s="88" t="n"/>
      <c r="N109" s="88" t="n"/>
      <c r="O109" s="88" t="n"/>
      <c r="P109" s="88" t="n"/>
      <c r="Q109" s="88" t="n"/>
      <c r="R109" s="88" t="n"/>
      <c r="S109" s="88" t="n"/>
      <c r="T109" s="88" t="n"/>
      <c r="U109" s="88" t="n"/>
      <c r="V109" s="88" t="n"/>
      <c r="W109" s="88" t="n"/>
      <c r="X109" s="88" t="n"/>
      <c r="Y109" s="88" t="n"/>
      <c r="Z109" s="88" t="n"/>
    </row>
    <row r="110" ht="15" customHeight="1" s="86">
      <c r="A110" s="109">
        <v>46159</v>
      </c>
      <c r="B110" s="110" t="inlineStr">
        <is>
          <t>Expense</t>
        </is>
      </c>
      <c r="C110" s="111" t="inlineStr">
        <is>
          <t>Health</t>
        </is>
      </c>
      <c r="D110" s="111" t="inlineStr">
        <is>
          <t>Checking</t>
        </is>
      </c>
      <c r="E110" s="112">
        <v>70</v>
      </c>
      <c r="F110" s="111" t="inlineStr">
        <is>
          <t>Alex</t>
        </is>
      </c>
      <c r="G110" s="111" t="inlineStr">
        <is>
          <t>Personal</t>
        </is>
      </c>
      <c r="H110" s="111" t="inlineStr">
        <is>
          <t>Pharmacy</t>
        </is>
      </c>
      <c r="I110" s="113">
        <f>IF($A110="","",MONTH($A110))</f>
        <v/>
      </c>
      <c r="J110" s="113">
        <f>IF($A110="","",YEAR($A110))</f>
        <v/>
      </c>
      <c r="K110" s="113">
        <f>IFERROR(INDEX(Setup!$I$7:$I$22,MATCH($C110,Setup!$D$7:$D$22,0)),"")</f>
        <v/>
      </c>
      <c r="L110" s="88" t="n"/>
      <c r="M110" s="88" t="n"/>
      <c r="N110" s="88" t="n"/>
      <c r="O110" s="88" t="n"/>
      <c r="P110" s="88" t="n"/>
      <c r="Q110" s="88" t="n"/>
      <c r="R110" s="88" t="n"/>
      <c r="S110" s="88" t="n"/>
      <c r="T110" s="88" t="n"/>
      <c r="U110" s="88" t="n"/>
      <c r="V110" s="88" t="n"/>
      <c r="W110" s="88" t="n"/>
      <c r="X110" s="88" t="n"/>
      <c r="Y110" s="88" t="n"/>
      <c r="Z110" s="88" t="n"/>
    </row>
    <row r="111" ht="15" customHeight="1" s="86">
      <c r="A111" s="107">
        <v>46161</v>
      </c>
      <c r="B111" s="95" t="inlineStr">
        <is>
          <t>Expense</t>
        </is>
      </c>
      <c r="C111" s="102" t="inlineStr">
        <is>
          <t>Groceries</t>
        </is>
      </c>
      <c r="D111" s="102" t="inlineStr">
        <is>
          <t>Credit Card</t>
        </is>
      </c>
      <c r="E111" s="97">
        <v>355.18</v>
      </c>
      <c r="F111" s="102" t="inlineStr">
        <is>
          <t>Sam</t>
        </is>
      </c>
      <c r="G111" s="102" t="inlineStr">
        <is>
          <t>Shared</t>
        </is>
      </c>
      <c r="H111" s="102" t="inlineStr">
        <is>
          <t>Weekly shop</t>
        </is>
      </c>
      <c r="I111" s="113">
        <f>IF($A111="","",MONTH($A111))</f>
        <v/>
      </c>
      <c r="J111" s="113">
        <f>IF($A111="","",YEAR($A111))</f>
        <v/>
      </c>
      <c r="K111" s="113">
        <f>IFERROR(INDEX(Setup!$I$7:$I$22,MATCH($C111,Setup!$D$7:$D$22,0)),"")</f>
        <v/>
      </c>
      <c r="L111" s="88" t="n"/>
      <c r="M111" s="88" t="n"/>
      <c r="N111" s="88" t="n"/>
      <c r="O111" s="88" t="n"/>
      <c r="P111" s="88" t="n"/>
      <c r="Q111" s="88" t="n"/>
      <c r="R111" s="88" t="n"/>
      <c r="S111" s="88" t="n"/>
      <c r="T111" s="88" t="n"/>
      <c r="U111" s="88" t="n"/>
      <c r="V111" s="88" t="n"/>
      <c r="W111" s="88" t="n"/>
      <c r="X111" s="88" t="n"/>
      <c r="Y111" s="88" t="n"/>
      <c r="Z111" s="88" t="n"/>
    </row>
    <row r="112" ht="15" customHeight="1" s="86">
      <c r="A112" s="109">
        <v>46163</v>
      </c>
      <c r="B112" s="110" t="inlineStr">
        <is>
          <t>Expense</t>
        </is>
      </c>
      <c r="C112" s="111" t="inlineStr">
        <is>
          <t>Fun and Leisure</t>
        </is>
      </c>
      <c r="D112" s="111" t="inlineStr">
        <is>
          <t>Credit Card</t>
        </is>
      </c>
      <c r="E112" s="112">
        <v>164.77</v>
      </c>
      <c r="F112" s="111" t="inlineStr">
        <is>
          <t>Alex</t>
        </is>
      </c>
      <c r="G112" s="111" t="inlineStr">
        <is>
          <t>Personal</t>
        </is>
      </c>
      <c r="H112" s="111" t="inlineStr">
        <is>
          <t>Gym + hobbies</t>
        </is>
      </c>
      <c r="I112" s="113">
        <f>IF($A112="","",MONTH($A112))</f>
        <v/>
      </c>
      <c r="J112" s="113">
        <f>IF($A112="","",YEAR($A112))</f>
        <v/>
      </c>
      <c r="K112" s="113">
        <f>IFERROR(INDEX(Setup!$I$7:$I$22,MATCH($C112,Setup!$D$7:$D$22,0)),"")</f>
        <v/>
      </c>
      <c r="L112" s="88" t="n"/>
      <c r="M112" s="88" t="n"/>
      <c r="N112" s="88" t="n"/>
      <c r="O112" s="88" t="n"/>
      <c r="P112" s="88" t="n"/>
      <c r="Q112" s="88" t="n"/>
      <c r="R112" s="88" t="n"/>
      <c r="S112" s="88" t="n"/>
      <c r="T112" s="88" t="n"/>
      <c r="U112" s="88" t="n"/>
      <c r="V112" s="88" t="n"/>
      <c r="W112" s="88" t="n"/>
      <c r="X112" s="88" t="n"/>
      <c r="Y112" s="88" t="n"/>
      <c r="Z112" s="88" t="n"/>
    </row>
    <row r="113" ht="15" customHeight="1" s="86">
      <c r="A113" s="107">
        <v>46164</v>
      </c>
      <c r="B113" s="95" t="inlineStr">
        <is>
          <t>Expense</t>
        </is>
      </c>
      <c r="C113" s="102" t="inlineStr">
        <is>
          <t>Fun and Leisure</t>
        </is>
      </c>
      <c r="D113" s="102" t="inlineStr">
        <is>
          <t>Credit Card</t>
        </is>
      </c>
      <c r="E113" s="97">
        <v>167.29</v>
      </c>
      <c r="F113" s="102" t="inlineStr">
        <is>
          <t>Sam</t>
        </is>
      </c>
      <c r="G113" s="102" t="inlineStr">
        <is>
          <t>Personal</t>
        </is>
      </c>
      <c r="H113" s="102" t="inlineStr">
        <is>
          <t>Gym + hobbies</t>
        </is>
      </c>
      <c r="I113" s="113">
        <f>IF($A113="","",MONTH($A113))</f>
        <v/>
      </c>
      <c r="J113" s="113">
        <f>IF($A113="","",YEAR($A113))</f>
        <v/>
      </c>
      <c r="K113" s="113">
        <f>IFERROR(INDEX(Setup!$I$7:$I$22,MATCH($C113,Setup!$D$7:$D$22,0)),"")</f>
        <v/>
      </c>
      <c r="L113" s="88" t="n"/>
      <c r="M113" s="88" t="n"/>
      <c r="N113" s="88" t="n"/>
      <c r="O113" s="88" t="n"/>
      <c r="P113" s="88" t="n"/>
      <c r="Q113" s="88" t="n"/>
      <c r="R113" s="88" t="n"/>
      <c r="S113" s="88" t="n"/>
      <c r="T113" s="88" t="n"/>
      <c r="U113" s="88" t="n"/>
      <c r="V113" s="88" t="n"/>
      <c r="W113" s="88" t="n"/>
      <c r="X113" s="88" t="n"/>
      <c r="Y113" s="88" t="n"/>
      <c r="Z113" s="88" t="n"/>
    </row>
    <row r="114" ht="15" customHeight="1" s="86">
      <c r="A114" s="109">
        <v>46165</v>
      </c>
      <c r="B114" s="110" t="inlineStr">
        <is>
          <t>Expense</t>
        </is>
      </c>
      <c r="C114" s="111" t="inlineStr">
        <is>
          <t>Transport</t>
        </is>
      </c>
      <c r="D114" s="111" t="inlineStr">
        <is>
          <t>Credit Card</t>
        </is>
      </c>
      <c r="E114" s="112">
        <v>195.0</v>
      </c>
      <c r="F114" s="111" t="inlineStr">
        <is>
          <t>Sam</t>
        </is>
      </c>
      <c r="G114" s="111" t="inlineStr">
        <is>
          <t>Shared</t>
        </is>
      </c>
      <c r="H114" s="111" t="inlineStr">
        <is>
          <t>Fuel and transit</t>
        </is>
      </c>
      <c r="I114" s="113">
        <f>IF($A114="","",MONTH($A114))</f>
        <v/>
      </c>
      <c r="J114" s="113">
        <f>IF($A114="","",YEAR($A114))</f>
        <v/>
      </c>
      <c r="K114" s="113">
        <f>IFERROR(INDEX(Setup!$I$7:$I$22,MATCH($C114,Setup!$D$7:$D$22,0)),"")</f>
        <v/>
      </c>
      <c r="L114" s="88" t="n"/>
      <c r="M114" s="88" t="n"/>
      <c r="N114" s="88" t="n"/>
      <c r="O114" s="88" t="n"/>
      <c r="P114" s="88" t="n"/>
      <c r="Q114" s="88" t="n"/>
      <c r="R114" s="88" t="n"/>
      <c r="S114" s="88" t="n"/>
      <c r="T114" s="88" t="n"/>
      <c r="U114" s="88" t="n"/>
      <c r="V114" s="88" t="n"/>
      <c r="W114" s="88" t="n"/>
      <c r="X114" s="88" t="n"/>
      <c r="Y114" s="88" t="n"/>
      <c r="Z114" s="88" t="n"/>
    </row>
    <row r="115" ht="15" customHeight="1" s="86">
      <c r="A115" s="107">
        <v>46166</v>
      </c>
      <c r="B115" s="95" t="inlineStr">
        <is>
          <t>Expense</t>
        </is>
      </c>
      <c r="C115" s="102" t="inlineStr">
        <is>
          <t>Dining out</t>
        </is>
      </c>
      <c r="D115" s="102" t="inlineStr">
        <is>
          <t>Credit Card</t>
        </is>
      </c>
      <c r="E115" s="97">
        <v>83.61</v>
      </c>
      <c r="F115" s="102" t="inlineStr">
        <is>
          <t>Sam</t>
        </is>
      </c>
      <c r="G115" s="102" t="inlineStr">
        <is>
          <t>Shared</t>
        </is>
      </c>
      <c r="H115" s="102" t="inlineStr">
        <is>
          <t>Lunch out</t>
        </is>
      </c>
      <c r="I115" s="113">
        <f>IF($A115="","",MONTH($A115))</f>
        <v/>
      </c>
      <c r="J115" s="113">
        <f>IF($A115="","",YEAR($A115))</f>
        <v/>
      </c>
      <c r="K115" s="113">
        <f>IFERROR(INDEX(Setup!$I$7:$I$22,MATCH($C115,Setup!$D$7:$D$22,0)),"")</f>
        <v/>
      </c>
      <c r="L115" s="88" t="n"/>
      <c r="M115" s="88" t="n"/>
      <c r="N115" s="88" t="n"/>
      <c r="O115" s="88" t="n"/>
      <c r="P115" s="88" t="n"/>
      <c r="Q115" s="88" t="n"/>
      <c r="R115" s="88" t="n"/>
      <c r="S115" s="88" t="n"/>
      <c r="T115" s="88" t="n"/>
      <c r="U115" s="88" t="n"/>
      <c r="V115" s="88" t="n"/>
      <c r="W115" s="88" t="n"/>
      <c r="X115" s="88" t="n"/>
      <c r="Y115" s="88" t="n"/>
      <c r="Z115" s="88" t="n"/>
    </row>
    <row r="116" ht="15" customHeight="1" s="86">
      <c r="A116" s="109">
        <v>46174</v>
      </c>
      <c r="B116" s="110" t="inlineStr">
        <is>
          <t>Income</t>
        </is>
      </c>
      <c r="C116" s="111" t="inlineStr">
        <is>
          <t>Salary</t>
        </is>
      </c>
      <c r="D116" s="111" t="inlineStr">
        <is>
          <t>Checking</t>
        </is>
      </c>
      <c r="E116" s="112">
        <v>5200</v>
      </c>
      <c r="F116" s="111" t="inlineStr">
        <is>
          <t>Alex</t>
        </is>
      </c>
      <c r="G116" s="111" t="inlineStr">
        <is>
          <t>Personal</t>
        </is>
      </c>
      <c r="H116" s="111" t="inlineStr">
        <is>
          <t>Monthly pay</t>
        </is>
      </c>
      <c r="I116" s="113">
        <f>IF($A116="","",MONTH($A116))</f>
        <v/>
      </c>
      <c r="J116" s="113">
        <f>IF($A116="","",YEAR($A116))</f>
        <v/>
      </c>
      <c r="K116" s="113">
        <f>IFERROR(INDEX(Setup!$I$7:$I$22,MATCH($C116,Setup!$D$7:$D$22,0)),"")</f>
        <v/>
      </c>
      <c r="L116" s="88" t="n"/>
      <c r="M116" s="88" t="n"/>
      <c r="N116" s="88" t="n"/>
      <c r="O116" s="88" t="n"/>
      <c r="P116" s="88" t="n"/>
      <c r="Q116" s="88" t="n"/>
      <c r="R116" s="88" t="n"/>
      <c r="S116" s="88" t="n"/>
      <c r="T116" s="88" t="n"/>
      <c r="U116" s="88" t="n"/>
      <c r="V116" s="88" t="n"/>
      <c r="W116" s="88" t="n"/>
      <c r="X116" s="88" t="n"/>
      <c r="Y116" s="88" t="n"/>
      <c r="Z116" s="88" t="n"/>
    </row>
    <row r="117" ht="15" customHeight="1" s="86">
      <c r="A117" s="107">
        <v>46174</v>
      </c>
      <c r="B117" s="95" t="inlineStr">
        <is>
          <t>Income</t>
        </is>
      </c>
      <c r="C117" s="102" t="inlineStr">
        <is>
          <t>Salary</t>
        </is>
      </c>
      <c r="D117" s="102" t="inlineStr">
        <is>
          <t>Checking</t>
        </is>
      </c>
      <c r="E117" s="97">
        <v>3800</v>
      </c>
      <c r="F117" s="102" t="inlineStr">
        <is>
          <t>Sam</t>
        </is>
      </c>
      <c r="G117" s="102" t="inlineStr">
        <is>
          <t>Personal</t>
        </is>
      </c>
      <c r="H117" s="102" t="inlineStr">
        <is>
          <t>Monthly pay</t>
        </is>
      </c>
      <c r="I117" s="113">
        <f>IF($A117="","",MONTH($A117))</f>
        <v/>
      </c>
      <c r="J117" s="113">
        <f>IF($A117="","",YEAR($A117))</f>
        <v/>
      </c>
      <c r="K117" s="113">
        <f>IFERROR(INDEX(Setup!$I$7:$I$22,MATCH($C117,Setup!$D$7:$D$22,0)),"")</f>
        <v/>
      </c>
      <c r="L117" s="88" t="n"/>
      <c r="M117" s="88" t="n"/>
      <c r="N117" s="88" t="n"/>
      <c r="O117" s="88" t="n"/>
      <c r="P117" s="88" t="n"/>
      <c r="Q117" s="88" t="n"/>
      <c r="R117" s="88" t="n"/>
      <c r="S117" s="88" t="n"/>
      <c r="T117" s="88" t="n"/>
      <c r="U117" s="88" t="n"/>
      <c r="V117" s="88" t="n"/>
      <c r="W117" s="88" t="n"/>
      <c r="X117" s="88" t="n"/>
      <c r="Y117" s="88" t="n"/>
      <c r="Z117" s="88" t="n"/>
    </row>
    <row r="118" ht="15" customHeight="1" s="86">
      <c r="A118" s="109">
        <v>46174</v>
      </c>
      <c r="B118" s="110" t="inlineStr">
        <is>
          <t>Expense</t>
        </is>
      </c>
      <c r="C118" s="111" t="inlineStr">
        <is>
          <t>Rent or Mortgage</t>
        </is>
      </c>
      <c r="D118" s="111" t="inlineStr">
        <is>
          <t>Checking</t>
        </is>
      </c>
      <c r="E118" s="112">
        <v>2400.0</v>
      </c>
      <c r="F118" s="111" t="inlineStr">
        <is>
          <t>Alex</t>
        </is>
      </c>
      <c r="G118" s="111" t="inlineStr">
        <is>
          <t>Shared</t>
        </is>
      </c>
      <c r="H118" s="111" t="inlineStr">
        <is>
          <t>Rent</t>
        </is>
      </c>
      <c r="I118" s="113">
        <f>IF($A118="","",MONTH($A118))</f>
        <v/>
      </c>
      <c r="J118" s="113">
        <f>IF($A118="","",YEAR($A118))</f>
        <v/>
      </c>
      <c r="K118" s="113">
        <f>IFERROR(INDEX(Setup!$I$7:$I$22,MATCH($C118,Setup!$D$7:$D$22,0)),"")</f>
        <v/>
      </c>
      <c r="L118" s="88" t="n"/>
      <c r="M118" s="88" t="n"/>
      <c r="N118" s="88" t="n"/>
      <c r="O118" s="88" t="n"/>
      <c r="P118" s="88" t="n"/>
      <c r="Q118" s="88" t="n"/>
      <c r="R118" s="88" t="n"/>
      <c r="S118" s="88" t="n"/>
      <c r="T118" s="88" t="n"/>
      <c r="U118" s="88" t="n"/>
      <c r="V118" s="88" t="n"/>
      <c r="W118" s="88" t="n"/>
      <c r="X118" s="88" t="n"/>
      <c r="Y118" s="88" t="n"/>
      <c r="Z118" s="88" t="n"/>
    </row>
    <row r="119" ht="15" customHeight="1" s="86">
      <c r="A119" s="107">
        <v>46175</v>
      </c>
      <c r="B119" s="95" t="inlineStr">
        <is>
          <t>Transfer</t>
        </is>
      </c>
      <c r="C119" s="102" t="inlineStr">
        <is>
          <t>Emergency Fund</t>
        </is>
      </c>
      <c r="D119" s="102" t="inlineStr">
        <is>
          <t>Savings</t>
        </is>
      </c>
      <c r="E119" s="97">
        <v>850.0</v>
      </c>
      <c r="F119" s="102" t="inlineStr">
        <is>
          <t>Joint</t>
        </is>
      </c>
      <c r="G119" s="102" t="inlineStr">
        <is>
          <t>Shared</t>
        </is>
      </c>
      <c r="H119" s="102" t="inlineStr">
        <is>
          <t>Auto transfer</t>
        </is>
      </c>
      <c r="I119" s="113">
        <f>IF($A119="","",MONTH($A119))</f>
        <v/>
      </c>
      <c r="J119" s="113">
        <f>IF($A119="","",YEAR($A119))</f>
        <v/>
      </c>
      <c r="K119" s="113">
        <f>IFERROR(INDEX(Setup!$I$7:$I$22,MATCH($C119,Setup!$D$7:$D$22,0)),"")</f>
        <v/>
      </c>
      <c r="L119" s="88" t="n"/>
      <c r="M119" s="88" t="n"/>
      <c r="N119" s="88" t="n"/>
      <c r="O119" s="88" t="n"/>
      <c r="P119" s="88" t="n"/>
      <c r="Q119" s="88" t="n"/>
      <c r="R119" s="88" t="n"/>
      <c r="S119" s="88" t="n"/>
      <c r="T119" s="88" t="n"/>
      <c r="U119" s="88" t="n"/>
      <c r="V119" s="88" t="n"/>
      <c r="W119" s="88" t="n"/>
      <c r="X119" s="88" t="n"/>
      <c r="Y119" s="88" t="n"/>
      <c r="Z119" s="88" t="n"/>
    </row>
    <row r="120" ht="15" customHeight="1" s="86">
      <c r="A120" s="109">
        <v>46175</v>
      </c>
      <c r="B120" s="110" t="inlineStr">
        <is>
          <t>Transfer</t>
        </is>
      </c>
      <c r="C120" s="111" t="inlineStr">
        <is>
          <t>Holiday Fund</t>
        </is>
      </c>
      <c r="D120" s="111" t="inlineStr">
        <is>
          <t>Savings</t>
        </is>
      </c>
      <c r="E120" s="112">
        <v>420.0</v>
      </c>
      <c r="F120" s="111" t="inlineStr">
        <is>
          <t>Joint</t>
        </is>
      </c>
      <c r="G120" s="111" t="inlineStr">
        <is>
          <t>Shared</t>
        </is>
      </c>
      <c r="H120" s="111" t="inlineStr">
        <is>
          <t>Auto transfer</t>
        </is>
      </c>
      <c r="I120" s="113">
        <f>IF($A120="","",MONTH($A120))</f>
        <v/>
      </c>
      <c r="J120" s="113">
        <f>IF($A120="","",YEAR($A120))</f>
        <v/>
      </c>
      <c r="K120" s="113">
        <f>IFERROR(INDEX(Setup!$I$7:$I$22,MATCH($C120,Setup!$D$7:$D$22,0)),"")</f>
        <v/>
      </c>
      <c r="L120" s="88" t="n"/>
      <c r="M120" s="88" t="n"/>
      <c r="N120" s="88" t="n"/>
      <c r="O120" s="88" t="n"/>
      <c r="P120" s="88" t="n"/>
      <c r="Q120" s="88" t="n"/>
      <c r="R120" s="88" t="n"/>
      <c r="S120" s="88" t="n"/>
      <c r="T120" s="88" t="n"/>
      <c r="U120" s="88" t="n"/>
      <c r="V120" s="88" t="n"/>
      <c r="W120" s="88" t="n"/>
      <c r="X120" s="88" t="n"/>
      <c r="Y120" s="88" t="n"/>
      <c r="Z120" s="88" t="n"/>
    </row>
    <row r="121" ht="15" customHeight="1" s="86">
      <c r="A121" s="107">
        <v>46175</v>
      </c>
      <c r="B121" s="95" t="inlineStr">
        <is>
          <t>Transfer</t>
        </is>
      </c>
      <c r="C121" s="102" t="inlineStr">
        <is>
          <t>New Car</t>
        </is>
      </c>
      <c r="D121" s="102" t="inlineStr">
        <is>
          <t>Savings</t>
        </is>
      </c>
      <c r="E121" s="97">
        <v>610.0</v>
      </c>
      <c r="F121" s="102" t="inlineStr">
        <is>
          <t>Joint</t>
        </is>
      </c>
      <c r="G121" s="102" t="inlineStr">
        <is>
          <t>Shared</t>
        </is>
      </c>
      <c r="H121" s="102" t="inlineStr">
        <is>
          <t>Auto transfer</t>
        </is>
      </c>
      <c r="I121" s="113">
        <f>IF($A121="","",MONTH($A121))</f>
        <v/>
      </c>
      <c r="J121" s="113">
        <f>IF($A121="","",YEAR($A121))</f>
        <v/>
      </c>
      <c r="K121" s="113">
        <f>IFERROR(INDEX(Setup!$I$7:$I$22,MATCH($C121,Setup!$D$7:$D$22,0)),"")</f>
        <v/>
      </c>
      <c r="L121" s="88" t="n"/>
      <c r="M121" s="88" t="n"/>
      <c r="N121" s="88" t="n"/>
      <c r="O121" s="88" t="n"/>
      <c r="P121" s="88" t="n"/>
      <c r="Q121" s="88" t="n"/>
      <c r="R121" s="88" t="n"/>
      <c r="S121" s="88" t="n"/>
      <c r="T121" s="88" t="n"/>
      <c r="U121" s="88" t="n"/>
      <c r="V121" s="88" t="n"/>
      <c r="W121" s="88" t="n"/>
      <c r="X121" s="88" t="n"/>
      <c r="Y121" s="88" t="n"/>
      <c r="Z121" s="88" t="n"/>
    </row>
    <row r="122" ht="15" customHeight="1" s="86">
      <c r="A122" s="109">
        <v>46176</v>
      </c>
      <c r="B122" s="110" t="inlineStr">
        <is>
          <t>Expense</t>
        </is>
      </c>
      <c r="C122" s="111" t="inlineStr">
        <is>
          <t>Insurance</t>
        </is>
      </c>
      <c r="D122" s="111" t="inlineStr">
        <is>
          <t>Checking</t>
        </is>
      </c>
      <c r="E122" s="112">
        <v>240.0</v>
      </c>
      <c r="F122" s="111" t="inlineStr">
        <is>
          <t>Joint</t>
        </is>
      </c>
      <c r="G122" s="111" t="inlineStr">
        <is>
          <t>Shared</t>
        </is>
      </c>
      <c r="H122" s="111" t="inlineStr">
        <is>
          <t>Home + car</t>
        </is>
      </c>
      <c r="I122" s="113">
        <f>IF($A122="","",MONTH($A122))</f>
        <v/>
      </c>
      <c r="J122" s="113">
        <f>IF($A122="","",YEAR($A122))</f>
        <v/>
      </c>
      <c r="K122" s="113">
        <f>IFERROR(INDEX(Setup!$I$7:$I$22,MATCH($C122,Setup!$D$7:$D$22,0)),"")</f>
        <v/>
      </c>
      <c r="L122" s="88" t="n"/>
      <c r="M122" s="88" t="n"/>
      <c r="N122" s="88" t="n"/>
      <c r="O122" s="88" t="n"/>
      <c r="P122" s="88" t="n"/>
      <c r="Q122" s="88" t="n"/>
      <c r="R122" s="88" t="n"/>
      <c r="S122" s="88" t="n"/>
      <c r="T122" s="88" t="n"/>
      <c r="U122" s="88" t="n"/>
      <c r="V122" s="88" t="n"/>
      <c r="W122" s="88" t="n"/>
      <c r="X122" s="88" t="n"/>
      <c r="Y122" s="88" t="n"/>
      <c r="Z122" s="88" t="n"/>
    </row>
    <row r="123" ht="15" customHeight="1" s="86">
      <c r="A123" s="107">
        <v>46177</v>
      </c>
      <c r="B123" s="95" t="inlineStr">
        <is>
          <t>Expense</t>
        </is>
      </c>
      <c r="C123" s="102" t="inlineStr">
        <is>
          <t>Utilities</t>
        </is>
      </c>
      <c r="D123" s="102" t="inlineStr">
        <is>
          <t>Checking</t>
        </is>
      </c>
      <c r="E123" s="97">
        <v>223.59</v>
      </c>
      <c r="F123" s="102" t="inlineStr">
        <is>
          <t>Sam</t>
        </is>
      </c>
      <c r="G123" s="102" t="inlineStr">
        <is>
          <t>Shared</t>
        </is>
      </c>
      <c r="H123" s="102" t="inlineStr">
        <is>
          <t>Electric and gas</t>
        </is>
      </c>
      <c r="I123" s="113">
        <f>IF($A123="","",MONTH($A123))</f>
        <v/>
      </c>
      <c r="J123" s="113">
        <f>IF($A123="","",YEAR($A123))</f>
        <v/>
      </c>
      <c r="K123" s="113">
        <f>IFERROR(INDEX(Setup!$I$7:$I$22,MATCH($C123,Setup!$D$7:$D$22,0)),"")</f>
        <v/>
      </c>
      <c r="L123" s="88" t="n"/>
      <c r="M123" s="88" t="n"/>
      <c r="N123" s="88" t="n"/>
      <c r="O123" s="88" t="n"/>
      <c r="P123" s="88" t="n"/>
      <c r="Q123" s="88" t="n"/>
      <c r="R123" s="88" t="n"/>
      <c r="S123" s="88" t="n"/>
      <c r="T123" s="88" t="n"/>
      <c r="U123" s="88" t="n"/>
      <c r="V123" s="88" t="n"/>
      <c r="W123" s="88" t="n"/>
      <c r="X123" s="88" t="n"/>
      <c r="Y123" s="88" t="n"/>
      <c r="Z123" s="88" t="n"/>
    </row>
    <row r="124" ht="15" customHeight="1" s="86">
      <c r="A124" s="109">
        <v>46179</v>
      </c>
      <c r="B124" s="110" t="inlineStr">
        <is>
          <t>Expense</t>
        </is>
      </c>
      <c r="C124" s="111" t="inlineStr">
        <is>
          <t>Groceries</t>
        </is>
      </c>
      <c r="D124" s="111" t="inlineStr">
        <is>
          <t>Credit Card</t>
        </is>
      </c>
      <c r="E124" s="112">
        <v>341.39</v>
      </c>
      <c r="F124" s="111" t="inlineStr">
        <is>
          <t>Sam</t>
        </is>
      </c>
      <c r="G124" s="111" t="inlineStr">
        <is>
          <t>Shared</t>
        </is>
      </c>
      <c r="H124" s="111" t="inlineStr">
        <is>
          <t>Weekly shop</t>
        </is>
      </c>
      <c r="I124" s="113">
        <f>IF($A124="","",MONTH($A124))</f>
        <v/>
      </c>
      <c r="J124" s="113">
        <f>IF($A124="","",YEAR($A124))</f>
        <v/>
      </c>
      <c r="K124" s="113">
        <f>IFERROR(INDEX(Setup!$I$7:$I$22,MATCH($C124,Setup!$D$7:$D$22,0)),"")</f>
        <v/>
      </c>
      <c r="L124" s="88" t="n"/>
      <c r="M124" s="88" t="n"/>
      <c r="N124" s="88" t="n"/>
      <c r="O124" s="88" t="n"/>
      <c r="P124" s="88" t="n"/>
      <c r="Q124" s="88" t="n"/>
      <c r="R124" s="88" t="n"/>
      <c r="S124" s="88" t="n"/>
      <c r="T124" s="88" t="n"/>
      <c r="U124" s="88" t="n"/>
      <c r="V124" s="88" t="n"/>
      <c r="W124" s="88" t="n"/>
      <c r="X124" s="88" t="n"/>
      <c r="Y124" s="88" t="n"/>
      <c r="Z124" s="88" t="n"/>
    </row>
    <row r="125" ht="15" customHeight="1" s="86">
      <c r="A125" s="107">
        <v>46180</v>
      </c>
      <c r="B125" s="95" t="inlineStr">
        <is>
          <t>Expense</t>
        </is>
      </c>
      <c r="C125" s="102" t="inlineStr">
        <is>
          <t>Subscriptions</t>
        </is>
      </c>
      <c r="D125" s="102" t="inlineStr">
        <is>
          <t>Credit Card</t>
        </is>
      </c>
      <c r="E125" s="97">
        <v>46.99</v>
      </c>
      <c r="F125" s="102" t="inlineStr">
        <is>
          <t>Alex</t>
        </is>
      </c>
      <c r="G125" s="102" t="inlineStr">
        <is>
          <t>Shared</t>
        </is>
      </c>
      <c r="H125" s="102" t="inlineStr">
        <is>
          <t>Streaming + cloud</t>
        </is>
      </c>
      <c r="I125" s="113">
        <f>IF($A125="","",MONTH($A125))</f>
        <v/>
      </c>
      <c r="J125" s="113">
        <f>IF($A125="","",YEAR($A125))</f>
        <v/>
      </c>
      <c r="K125" s="113">
        <f>IFERROR(INDEX(Setup!$I$7:$I$22,MATCH($C125,Setup!$D$7:$D$22,0)),"")</f>
        <v/>
      </c>
      <c r="L125" s="88" t="n"/>
      <c r="M125" s="88" t="n"/>
      <c r="N125" s="88" t="n"/>
      <c r="O125" s="88" t="n"/>
      <c r="P125" s="88" t="n"/>
      <c r="Q125" s="88" t="n"/>
      <c r="R125" s="88" t="n"/>
      <c r="S125" s="88" t="n"/>
      <c r="T125" s="88" t="n"/>
      <c r="U125" s="88" t="n"/>
      <c r="V125" s="88" t="n"/>
      <c r="W125" s="88" t="n"/>
      <c r="X125" s="88" t="n"/>
      <c r="Y125" s="88" t="n"/>
      <c r="Z125" s="88" t="n"/>
    </row>
    <row r="126" ht="15" customHeight="1" s="86">
      <c r="A126" s="109">
        <v>46181</v>
      </c>
      <c r="B126" s="110" t="inlineStr">
        <is>
          <t>Expense</t>
        </is>
      </c>
      <c r="C126" s="111" t="inlineStr">
        <is>
          <t>Phone and Internet</t>
        </is>
      </c>
      <c r="D126" s="111" t="inlineStr">
        <is>
          <t>Checking</t>
        </is>
      </c>
      <c r="E126" s="112">
        <v>110.0</v>
      </c>
      <c r="F126" s="111" t="inlineStr">
        <is>
          <t>Sam</t>
        </is>
      </c>
      <c r="G126" s="111" t="inlineStr">
        <is>
          <t>Shared</t>
        </is>
      </c>
      <c r="H126" s="111" t="inlineStr">
        <is>
          <t>Fibre + mobiles</t>
        </is>
      </c>
      <c r="I126" s="113">
        <f>IF($A126="","",MONTH($A126))</f>
        <v/>
      </c>
      <c r="J126" s="113">
        <f>IF($A126="","",YEAR($A126))</f>
        <v/>
      </c>
      <c r="K126" s="113">
        <f>IFERROR(INDEX(Setup!$I$7:$I$22,MATCH($C126,Setup!$D$7:$D$22,0)),"")</f>
        <v/>
      </c>
      <c r="L126" s="88" t="n"/>
      <c r="M126" s="88" t="n"/>
      <c r="N126" s="88" t="n"/>
      <c r="O126" s="88" t="n"/>
      <c r="P126" s="88" t="n"/>
      <c r="Q126" s="88" t="n"/>
      <c r="R126" s="88" t="n"/>
      <c r="S126" s="88" t="n"/>
      <c r="T126" s="88" t="n"/>
      <c r="U126" s="88" t="n"/>
      <c r="V126" s="88" t="n"/>
      <c r="W126" s="88" t="n"/>
      <c r="X126" s="88" t="n"/>
      <c r="Y126" s="88" t="n"/>
      <c r="Z126" s="88" t="n"/>
    </row>
    <row r="127" ht="15" customHeight="1" s="86">
      <c r="A127" s="107">
        <v>46182</v>
      </c>
      <c r="B127" s="95" t="inlineStr">
        <is>
          <t>Expense</t>
        </is>
      </c>
      <c r="C127" s="102" t="inlineStr">
        <is>
          <t>Transport</t>
        </is>
      </c>
      <c r="D127" s="102" t="inlineStr">
        <is>
          <t>Credit Card</t>
        </is>
      </c>
      <c r="E127" s="97">
        <v>175.57</v>
      </c>
      <c r="F127" s="102" t="inlineStr">
        <is>
          <t>Alex</t>
        </is>
      </c>
      <c r="G127" s="102" t="inlineStr">
        <is>
          <t>Shared</t>
        </is>
      </c>
      <c r="H127" s="102" t="inlineStr">
        <is>
          <t>Fuel and transit</t>
        </is>
      </c>
      <c r="I127" s="113">
        <f>IF($A127="","",MONTH($A127))</f>
        <v/>
      </c>
      <c r="J127" s="113">
        <f>IF($A127="","",YEAR($A127))</f>
        <v/>
      </c>
      <c r="K127" s="113">
        <f>IFERROR(INDEX(Setup!$I$7:$I$22,MATCH($C127,Setup!$D$7:$D$22,0)),"")</f>
        <v/>
      </c>
      <c r="L127" s="88" t="n"/>
      <c r="M127" s="88" t="n"/>
      <c r="N127" s="88" t="n"/>
      <c r="O127" s="88" t="n"/>
      <c r="P127" s="88" t="n"/>
      <c r="Q127" s="88" t="n"/>
      <c r="R127" s="88" t="n"/>
      <c r="S127" s="88" t="n"/>
      <c r="T127" s="88" t="n"/>
      <c r="U127" s="88" t="n"/>
      <c r="V127" s="88" t="n"/>
      <c r="W127" s="88" t="n"/>
      <c r="X127" s="88" t="n"/>
      <c r="Y127" s="88" t="n"/>
      <c r="Z127" s="88" t="n"/>
    </row>
    <row r="128" ht="15" customHeight="1" s="86">
      <c r="A128" s="109">
        <v>46184</v>
      </c>
      <c r="B128" s="110" t="inlineStr">
        <is>
          <t>Expense</t>
        </is>
      </c>
      <c r="C128" s="111" t="inlineStr">
        <is>
          <t>Dining out</t>
        </is>
      </c>
      <c r="D128" s="111" t="inlineStr">
        <is>
          <t>Credit Card</t>
        </is>
      </c>
      <c r="E128" s="112">
        <v>85.27</v>
      </c>
      <c r="F128" s="111" t="inlineStr">
        <is>
          <t>Alex</t>
        </is>
      </c>
      <c r="G128" s="111" t="inlineStr">
        <is>
          <t>Shared</t>
        </is>
      </c>
      <c r="H128" s="111" t="inlineStr">
        <is>
          <t>Date night</t>
        </is>
      </c>
      <c r="I128" s="113">
        <f>IF($A128="","",MONTH($A128))</f>
        <v/>
      </c>
      <c r="J128" s="113">
        <f>IF($A128="","",YEAR($A128))</f>
        <v/>
      </c>
      <c r="K128" s="113">
        <f>IFERROR(INDEX(Setup!$I$7:$I$22,MATCH($C128,Setup!$D$7:$D$22,0)),"")</f>
        <v/>
      </c>
      <c r="L128" s="88" t="n"/>
      <c r="M128" s="88" t="n"/>
      <c r="N128" s="88" t="n"/>
      <c r="O128" s="88" t="n"/>
      <c r="P128" s="88" t="n"/>
      <c r="Q128" s="88" t="n"/>
      <c r="R128" s="88" t="n"/>
      <c r="S128" s="88" t="n"/>
      <c r="T128" s="88" t="n"/>
      <c r="U128" s="88" t="n"/>
      <c r="V128" s="88" t="n"/>
      <c r="W128" s="88" t="n"/>
      <c r="X128" s="88" t="n"/>
      <c r="Y128" s="88" t="n"/>
      <c r="Z128" s="88" t="n"/>
    </row>
    <row r="129" ht="15" customHeight="1" s="86">
      <c r="A129" s="107">
        <v>46185</v>
      </c>
      <c r="B129" s="95" t="inlineStr">
        <is>
          <t>Expense</t>
        </is>
      </c>
      <c r="C129" s="102" t="inlineStr">
        <is>
          <t>Debt</t>
        </is>
      </c>
      <c r="D129" s="102" t="inlineStr">
        <is>
          <t>Checking</t>
        </is>
      </c>
      <c r="E129" s="97">
        <v>420.0</v>
      </c>
      <c r="F129" s="102" t="inlineStr">
        <is>
          <t>Joint</t>
        </is>
      </c>
      <c r="G129" s="102" t="inlineStr">
        <is>
          <t>Shared</t>
        </is>
      </c>
      <c r="H129" s="102" t="inlineStr">
        <is>
          <t>Car loan</t>
        </is>
      </c>
      <c r="I129" s="113">
        <f>IF($A129="","",MONTH($A129))</f>
        <v/>
      </c>
      <c r="J129" s="113">
        <f>IF($A129="","",YEAR($A129))</f>
        <v/>
      </c>
      <c r="K129" s="113">
        <f>IFERROR(INDEX(Setup!$I$7:$I$22,MATCH($C129,Setup!$D$7:$D$22,0)),"")</f>
        <v/>
      </c>
      <c r="L129" s="88" t="n"/>
      <c r="M129" s="88" t="n"/>
      <c r="N129" s="88" t="n"/>
      <c r="O129" s="88" t="n"/>
      <c r="P129" s="88" t="n"/>
      <c r="Q129" s="88" t="n"/>
      <c r="R129" s="88" t="n"/>
      <c r="S129" s="88" t="n"/>
      <c r="T129" s="88" t="n"/>
      <c r="U129" s="88" t="n"/>
      <c r="V129" s="88" t="n"/>
      <c r="W129" s="88" t="n"/>
      <c r="X129" s="88" t="n"/>
      <c r="Y129" s="88" t="n"/>
      <c r="Z129" s="88" t="n"/>
    </row>
    <row r="130" ht="15" customHeight="1" s="86">
      <c r="A130" s="109">
        <v>46187</v>
      </c>
      <c r="B130" s="110" t="inlineStr">
        <is>
          <t>Expense</t>
        </is>
      </c>
      <c r="C130" s="111" t="inlineStr">
        <is>
          <t>Gifts</t>
        </is>
      </c>
      <c r="D130" s="111" t="inlineStr">
        <is>
          <t>Credit Card</t>
        </is>
      </c>
      <c r="E130" s="112">
        <v>220</v>
      </c>
      <c r="F130" s="111" t="inlineStr">
        <is>
          <t>Alex</t>
        </is>
      </c>
      <c r="G130" s="111" t="inlineStr">
        <is>
          <t>Personal</t>
        </is>
      </c>
      <c r="H130" s="111" t="inlineStr">
        <is>
          <t>Present</t>
        </is>
      </c>
      <c r="I130" s="113">
        <f>IF($A130="","",MONTH($A130))</f>
        <v/>
      </c>
      <c r="J130" s="113">
        <f>IF($A130="","",YEAR($A130))</f>
        <v/>
      </c>
      <c r="K130" s="113">
        <f>IFERROR(INDEX(Setup!$I$7:$I$22,MATCH($C130,Setup!$D$7:$D$22,0)),"")</f>
        <v/>
      </c>
      <c r="L130" s="88" t="n"/>
      <c r="M130" s="88" t="n"/>
      <c r="N130" s="88" t="n"/>
      <c r="O130" s="88" t="n"/>
      <c r="P130" s="88" t="n"/>
      <c r="Q130" s="88" t="n"/>
      <c r="R130" s="88" t="n"/>
      <c r="S130" s="88" t="n"/>
      <c r="T130" s="88" t="n"/>
      <c r="U130" s="88" t="n"/>
      <c r="V130" s="88" t="n"/>
      <c r="W130" s="88" t="n"/>
      <c r="X130" s="88" t="n"/>
      <c r="Y130" s="88" t="n"/>
      <c r="Z130" s="88" t="n"/>
    </row>
    <row r="131" ht="15" customHeight="1" s="86">
      <c r="A131" s="107">
        <v>46188</v>
      </c>
      <c r="B131" s="95" t="inlineStr">
        <is>
          <t>Expense</t>
        </is>
      </c>
      <c r="C131" s="102" t="inlineStr">
        <is>
          <t>Shopping</t>
        </is>
      </c>
      <c r="D131" s="102" t="inlineStr">
        <is>
          <t>Credit Card</t>
        </is>
      </c>
      <c r="E131" s="97">
        <v>166.71</v>
      </c>
      <c r="F131" s="102" t="inlineStr">
        <is>
          <t>Alex</t>
        </is>
      </c>
      <c r="G131" s="102" t="inlineStr">
        <is>
          <t>Personal</t>
        </is>
      </c>
      <c r="H131" s="102" t="inlineStr">
        <is>
          <t>Clothes</t>
        </is>
      </c>
      <c r="I131" s="113">
        <f>IF($A131="","",MONTH($A131))</f>
        <v/>
      </c>
      <c r="J131" s="113">
        <f>IF($A131="","",YEAR($A131))</f>
        <v/>
      </c>
      <c r="K131" s="113">
        <f>IFERROR(INDEX(Setup!$I$7:$I$22,MATCH($C131,Setup!$D$7:$D$22,0)),"")</f>
        <v/>
      </c>
      <c r="L131" s="88" t="n"/>
      <c r="M131" s="88" t="n"/>
      <c r="N131" s="88" t="n"/>
      <c r="O131" s="88" t="n"/>
      <c r="P131" s="88" t="n"/>
      <c r="Q131" s="88" t="n"/>
      <c r="R131" s="88" t="n"/>
      <c r="S131" s="88" t="n"/>
      <c r="T131" s="88" t="n"/>
      <c r="U131" s="88" t="n"/>
      <c r="V131" s="88" t="n"/>
      <c r="W131" s="88" t="n"/>
      <c r="X131" s="88" t="n"/>
      <c r="Y131" s="88" t="n"/>
      <c r="Z131" s="88" t="n"/>
    </row>
    <row r="132" ht="15" customHeight="1" s="86">
      <c r="A132" s="109">
        <v>46189</v>
      </c>
      <c r="B132" s="110" t="inlineStr">
        <is>
          <t>Expense</t>
        </is>
      </c>
      <c r="C132" s="111" t="inlineStr">
        <is>
          <t>Shopping</t>
        </is>
      </c>
      <c r="D132" s="111" t="inlineStr">
        <is>
          <t>Credit Card</t>
        </is>
      </c>
      <c r="E132" s="112">
        <v>99.91</v>
      </c>
      <c r="F132" s="111" t="inlineStr">
        <is>
          <t>Sam</t>
        </is>
      </c>
      <c r="G132" s="111" t="inlineStr">
        <is>
          <t>Personal</t>
        </is>
      </c>
      <c r="H132" s="111" t="inlineStr">
        <is>
          <t>Clothes</t>
        </is>
      </c>
      <c r="I132" s="113">
        <f>IF($A132="","",MONTH($A132))</f>
        <v/>
      </c>
      <c r="J132" s="113">
        <f>IF($A132="","",YEAR($A132))</f>
        <v/>
      </c>
      <c r="K132" s="113">
        <f>IFERROR(INDEX(Setup!$I$7:$I$22,MATCH($C132,Setup!$D$7:$D$22,0)),"")</f>
        <v/>
      </c>
      <c r="L132" s="88" t="n"/>
      <c r="M132" s="88" t="n"/>
      <c r="N132" s="88" t="n"/>
      <c r="O132" s="88" t="n"/>
      <c r="P132" s="88" t="n"/>
      <c r="Q132" s="88" t="n"/>
      <c r="R132" s="88" t="n"/>
      <c r="S132" s="88" t="n"/>
      <c r="T132" s="88" t="n"/>
      <c r="U132" s="88" t="n"/>
      <c r="V132" s="88" t="n"/>
      <c r="W132" s="88" t="n"/>
      <c r="X132" s="88" t="n"/>
      <c r="Y132" s="88" t="n"/>
      <c r="Z132" s="88" t="n"/>
    </row>
    <row r="133" ht="15" customHeight="1" s="86">
      <c r="A133" s="107">
        <v>46192</v>
      </c>
      <c r="B133" s="95" t="inlineStr">
        <is>
          <t>Expense</t>
        </is>
      </c>
      <c r="C133" s="102" t="inlineStr">
        <is>
          <t>Groceries</t>
        </is>
      </c>
      <c r="D133" s="102" t="inlineStr">
        <is>
          <t>Credit Card</t>
        </is>
      </c>
      <c r="E133" s="97">
        <v>302.32</v>
      </c>
      <c r="F133" s="102" t="inlineStr">
        <is>
          <t>Sam</t>
        </is>
      </c>
      <c r="G133" s="102" t="inlineStr">
        <is>
          <t>Shared</t>
        </is>
      </c>
      <c r="H133" s="102" t="inlineStr">
        <is>
          <t>Weekly shop</t>
        </is>
      </c>
      <c r="I133" s="113">
        <f>IF($A133="","",MONTH($A133))</f>
        <v/>
      </c>
      <c r="J133" s="113">
        <f>IF($A133="","",YEAR($A133))</f>
        <v/>
      </c>
      <c r="K133" s="113">
        <f>IFERROR(INDEX(Setup!$I$7:$I$22,MATCH($C133,Setup!$D$7:$D$22,0)),"")</f>
        <v/>
      </c>
      <c r="L133" s="88" t="n"/>
      <c r="M133" s="88" t="n"/>
      <c r="N133" s="88" t="n"/>
      <c r="O133" s="88" t="n"/>
      <c r="P133" s="88" t="n"/>
      <c r="Q133" s="88" t="n"/>
      <c r="R133" s="88" t="n"/>
      <c r="S133" s="88" t="n"/>
      <c r="T133" s="88" t="n"/>
      <c r="U133" s="88" t="n"/>
      <c r="V133" s="88" t="n"/>
      <c r="W133" s="88" t="n"/>
      <c r="X133" s="88" t="n"/>
      <c r="Y133" s="88" t="n"/>
      <c r="Z133" s="88" t="n"/>
    </row>
    <row r="134" ht="15" customHeight="1" s="86">
      <c r="A134" s="109">
        <v>46193</v>
      </c>
      <c r="B134" s="110" t="inlineStr">
        <is>
          <t>Income</t>
        </is>
      </c>
      <c r="C134" s="111" t="inlineStr">
        <is>
          <t>Side income</t>
        </is>
      </c>
      <c r="D134" s="111" t="inlineStr">
        <is>
          <t>Checking</t>
        </is>
      </c>
      <c r="E134" s="112">
        <v>1800</v>
      </c>
      <c r="F134" s="111" t="inlineStr">
        <is>
          <t>Alex</t>
        </is>
      </c>
      <c r="G134" s="111" t="inlineStr">
        <is>
          <t>Personal</t>
        </is>
      </c>
      <c r="H134" s="111" t="inlineStr">
        <is>
          <t>Bonus</t>
        </is>
      </c>
      <c r="I134" s="113">
        <f>IF($A134="","",MONTH($A134))</f>
        <v/>
      </c>
      <c r="J134" s="113">
        <f>IF($A134="","",YEAR($A134))</f>
        <v/>
      </c>
      <c r="K134" s="113">
        <f>IFERROR(INDEX(Setup!$I$7:$I$22,MATCH($C134,Setup!$D$7:$D$22,0)),"")</f>
        <v/>
      </c>
      <c r="L134" s="88" t="n"/>
      <c r="M134" s="88" t="n"/>
      <c r="N134" s="88" t="n"/>
      <c r="O134" s="88" t="n"/>
      <c r="P134" s="88" t="n"/>
      <c r="Q134" s="88" t="n"/>
      <c r="R134" s="88" t="n"/>
      <c r="S134" s="88" t="n"/>
      <c r="T134" s="88" t="n"/>
      <c r="U134" s="88" t="n"/>
      <c r="V134" s="88" t="n"/>
      <c r="W134" s="88" t="n"/>
      <c r="X134" s="88" t="n"/>
      <c r="Y134" s="88" t="n"/>
      <c r="Z134" s="88" t="n"/>
    </row>
    <row r="135" ht="15" customHeight="1" s="86">
      <c r="A135" s="107">
        <v>46194</v>
      </c>
      <c r="B135" s="95" t="inlineStr">
        <is>
          <t>Expense</t>
        </is>
      </c>
      <c r="C135" s="102" t="inlineStr">
        <is>
          <t>Fun and Leisure</t>
        </is>
      </c>
      <c r="D135" s="102" t="inlineStr">
        <is>
          <t>Credit Card</t>
        </is>
      </c>
      <c r="E135" s="97">
        <v>159.29</v>
      </c>
      <c r="F135" s="102" t="inlineStr">
        <is>
          <t>Alex</t>
        </is>
      </c>
      <c r="G135" s="102" t="inlineStr">
        <is>
          <t>Personal</t>
        </is>
      </c>
      <c r="H135" s="102" t="inlineStr">
        <is>
          <t>Gym + hobbies</t>
        </is>
      </c>
      <c r="I135" s="113">
        <f>IF($A135="","",MONTH($A135))</f>
        <v/>
      </c>
      <c r="J135" s="113">
        <f>IF($A135="","",YEAR($A135))</f>
        <v/>
      </c>
      <c r="K135" s="113">
        <f>IFERROR(INDEX(Setup!$I$7:$I$22,MATCH($C135,Setup!$D$7:$D$22,0)),"")</f>
        <v/>
      </c>
      <c r="L135" s="88" t="n"/>
      <c r="M135" s="88" t="n"/>
      <c r="N135" s="88" t="n"/>
      <c r="O135" s="88" t="n"/>
      <c r="P135" s="88" t="n"/>
      <c r="Q135" s="88" t="n"/>
      <c r="R135" s="88" t="n"/>
      <c r="S135" s="88" t="n"/>
      <c r="T135" s="88" t="n"/>
      <c r="U135" s="88" t="n"/>
      <c r="V135" s="88" t="n"/>
      <c r="W135" s="88" t="n"/>
      <c r="X135" s="88" t="n"/>
      <c r="Y135" s="88" t="n"/>
      <c r="Z135" s="88" t="n"/>
    </row>
    <row r="136" ht="15" customHeight="1" s="86">
      <c r="A136" s="109">
        <v>46195</v>
      </c>
      <c r="B136" s="110" t="inlineStr">
        <is>
          <t>Expense</t>
        </is>
      </c>
      <c r="C136" s="111" t="inlineStr">
        <is>
          <t>Fun and Leisure</t>
        </is>
      </c>
      <c r="D136" s="111" t="inlineStr">
        <is>
          <t>Credit Card</t>
        </is>
      </c>
      <c r="E136" s="112">
        <v>140.87</v>
      </c>
      <c r="F136" s="111" t="inlineStr">
        <is>
          <t>Sam</t>
        </is>
      </c>
      <c r="G136" s="111" t="inlineStr">
        <is>
          <t>Personal</t>
        </is>
      </c>
      <c r="H136" s="111" t="inlineStr">
        <is>
          <t>Gym + hobbies</t>
        </is>
      </c>
      <c r="I136" s="113">
        <f>IF($A136="","",MONTH($A136))</f>
        <v/>
      </c>
      <c r="J136" s="113">
        <f>IF($A136="","",YEAR($A136))</f>
        <v/>
      </c>
      <c r="K136" s="113">
        <f>IFERROR(INDEX(Setup!$I$7:$I$22,MATCH($C136,Setup!$D$7:$D$22,0)),"")</f>
        <v/>
      </c>
      <c r="L136" s="88" t="n"/>
      <c r="M136" s="88" t="n"/>
      <c r="N136" s="88" t="n"/>
      <c r="O136" s="88" t="n"/>
      <c r="P136" s="88" t="n"/>
      <c r="Q136" s="88" t="n"/>
      <c r="R136" s="88" t="n"/>
      <c r="S136" s="88" t="n"/>
      <c r="T136" s="88" t="n"/>
      <c r="U136" s="88" t="n"/>
      <c r="V136" s="88" t="n"/>
      <c r="W136" s="88" t="n"/>
      <c r="X136" s="88" t="n"/>
      <c r="Y136" s="88" t="n"/>
      <c r="Z136" s="88" t="n"/>
    </row>
    <row r="137" ht="15" customHeight="1" s="86">
      <c r="A137" s="107">
        <v>46196</v>
      </c>
      <c r="B137" s="95" t="inlineStr">
        <is>
          <t>Expense</t>
        </is>
      </c>
      <c r="C137" s="102" t="inlineStr">
        <is>
          <t>Transport</t>
        </is>
      </c>
      <c r="D137" s="102" t="inlineStr">
        <is>
          <t>Credit Card</t>
        </is>
      </c>
      <c r="E137" s="97">
        <v>162.16</v>
      </c>
      <c r="F137" s="102" t="inlineStr">
        <is>
          <t>Sam</t>
        </is>
      </c>
      <c r="G137" s="102" t="inlineStr">
        <is>
          <t>Shared</t>
        </is>
      </c>
      <c r="H137" s="102" t="inlineStr">
        <is>
          <t>Fuel and transit</t>
        </is>
      </c>
      <c r="I137" s="113">
        <f>IF($A137="","",MONTH($A137))</f>
        <v/>
      </c>
      <c r="J137" s="113">
        <f>IF($A137="","",YEAR($A137))</f>
        <v/>
      </c>
      <c r="K137" s="113">
        <f>IFERROR(INDEX(Setup!$I$7:$I$22,MATCH($C137,Setup!$D$7:$D$22,0)),"")</f>
        <v/>
      </c>
      <c r="L137" s="88" t="n"/>
      <c r="M137" s="88" t="n"/>
      <c r="N137" s="88" t="n"/>
      <c r="O137" s="88" t="n"/>
      <c r="P137" s="88" t="n"/>
      <c r="Q137" s="88" t="n"/>
      <c r="R137" s="88" t="n"/>
      <c r="S137" s="88" t="n"/>
      <c r="T137" s="88" t="n"/>
      <c r="U137" s="88" t="n"/>
      <c r="V137" s="88" t="n"/>
      <c r="W137" s="88" t="n"/>
      <c r="X137" s="88" t="n"/>
      <c r="Y137" s="88" t="n"/>
      <c r="Z137" s="88" t="n"/>
    </row>
    <row r="138" ht="15" customHeight="1" s="86">
      <c r="A138" s="109">
        <v>46197</v>
      </c>
      <c r="B138" s="110" t="inlineStr">
        <is>
          <t>Expense</t>
        </is>
      </c>
      <c r="C138" s="111" t="inlineStr">
        <is>
          <t>Dining out</t>
        </is>
      </c>
      <c r="D138" s="111" t="inlineStr">
        <is>
          <t>Credit Card</t>
        </is>
      </c>
      <c r="E138" s="112">
        <v>91.18</v>
      </c>
      <c r="F138" s="111" t="inlineStr">
        <is>
          <t>Sam</t>
        </is>
      </c>
      <c r="G138" s="111" t="inlineStr">
        <is>
          <t>Shared</t>
        </is>
      </c>
      <c r="H138" s="111" t="inlineStr">
        <is>
          <t>Lunch out</t>
        </is>
      </c>
      <c r="I138" s="113">
        <f>IF($A138="","",MONTH($A138))</f>
        <v/>
      </c>
      <c r="J138" s="113">
        <f>IF($A138="","",YEAR($A138))</f>
        <v/>
      </c>
      <c r="K138" s="113">
        <f>IFERROR(INDEX(Setup!$I$7:$I$22,MATCH($C138,Setup!$D$7:$D$22,0)),"")</f>
        <v/>
      </c>
      <c r="L138" s="88" t="n"/>
      <c r="M138" s="88" t="n"/>
      <c r="N138" s="88" t="n"/>
      <c r="O138" s="88" t="n"/>
      <c r="P138" s="88" t="n"/>
      <c r="Q138" s="88" t="n"/>
      <c r="R138" s="88" t="n"/>
      <c r="S138" s="88" t="n"/>
      <c r="T138" s="88" t="n"/>
      <c r="U138" s="88" t="n"/>
      <c r="V138" s="88" t="n"/>
      <c r="W138" s="88" t="n"/>
      <c r="X138" s="88" t="n"/>
      <c r="Y138" s="88" t="n"/>
      <c r="Z138" s="88" t="n"/>
    </row>
    <row r="139" ht="15" customHeight="1" s="86">
      <c r="A139" s="107">
        <v>46204</v>
      </c>
      <c r="B139" s="95" t="inlineStr">
        <is>
          <t>Income</t>
        </is>
      </c>
      <c r="C139" s="102" t="inlineStr">
        <is>
          <t>Salary</t>
        </is>
      </c>
      <c r="D139" s="102" t="inlineStr">
        <is>
          <t>Checking</t>
        </is>
      </c>
      <c r="E139" s="97">
        <v>5200</v>
      </c>
      <c r="F139" s="102" t="inlineStr">
        <is>
          <t>Alex</t>
        </is>
      </c>
      <c r="G139" s="102" t="inlineStr">
        <is>
          <t>Personal</t>
        </is>
      </c>
      <c r="H139" s="102" t="inlineStr">
        <is>
          <t>Monthly pay</t>
        </is>
      </c>
      <c r="I139" s="113">
        <f>IF($A139="","",MONTH($A139))</f>
        <v/>
      </c>
      <c r="J139" s="113">
        <f>IF($A139="","",YEAR($A139))</f>
        <v/>
      </c>
      <c r="K139" s="113">
        <f>IFERROR(INDEX(Setup!$I$7:$I$22,MATCH($C139,Setup!$D$7:$D$22,0)),"")</f>
        <v/>
      </c>
      <c r="L139" s="88" t="n"/>
      <c r="M139" s="88" t="n"/>
      <c r="N139" s="88" t="n"/>
      <c r="O139" s="88" t="n"/>
      <c r="P139" s="88" t="n"/>
      <c r="Q139" s="88" t="n"/>
      <c r="R139" s="88" t="n"/>
      <c r="S139" s="88" t="n"/>
      <c r="T139" s="88" t="n"/>
      <c r="U139" s="88" t="n"/>
      <c r="V139" s="88" t="n"/>
      <c r="W139" s="88" t="n"/>
      <c r="X139" s="88" t="n"/>
      <c r="Y139" s="88" t="n"/>
      <c r="Z139" s="88" t="n"/>
    </row>
    <row r="140" ht="15" customHeight="1" s="86">
      <c r="A140" s="109">
        <v>46204</v>
      </c>
      <c r="B140" s="110" t="inlineStr">
        <is>
          <t>Income</t>
        </is>
      </c>
      <c r="C140" s="111" t="inlineStr">
        <is>
          <t>Salary</t>
        </is>
      </c>
      <c r="D140" s="111" t="inlineStr">
        <is>
          <t>Checking</t>
        </is>
      </c>
      <c r="E140" s="112">
        <v>3800</v>
      </c>
      <c r="F140" s="111" t="inlineStr">
        <is>
          <t>Sam</t>
        </is>
      </c>
      <c r="G140" s="111" t="inlineStr">
        <is>
          <t>Personal</t>
        </is>
      </c>
      <c r="H140" s="111" t="inlineStr">
        <is>
          <t>Monthly pay</t>
        </is>
      </c>
      <c r="I140" s="113">
        <f>IF($A140="","",MONTH($A140))</f>
        <v/>
      </c>
      <c r="J140" s="113">
        <f>IF($A140="","",YEAR($A140))</f>
        <v/>
      </c>
      <c r="K140" s="113">
        <f>IFERROR(INDEX(Setup!$I$7:$I$22,MATCH($C140,Setup!$D$7:$D$22,0)),"")</f>
        <v/>
      </c>
      <c r="L140" s="88" t="n"/>
      <c r="M140" s="88" t="n"/>
      <c r="N140" s="88" t="n"/>
      <c r="O140" s="88" t="n"/>
      <c r="P140" s="88" t="n"/>
      <c r="Q140" s="88" t="n"/>
      <c r="R140" s="88" t="n"/>
      <c r="S140" s="88" t="n"/>
      <c r="T140" s="88" t="n"/>
      <c r="U140" s="88" t="n"/>
      <c r="V140" s="88" t="n"/>
      <c r="W140" s="88" t="n"/>
      <c r="X140" s="88" t="n"/>
      <c r="Y140" s="88" t="n"/>
      <c r="Z140" s="88" t="n"/>
    </row>
    <row r="141" ht="15" customHeight="1" s="86">
      <c r="A141" s="107">
        <v>46204</v>
      </c>
      <c r="B141" s="95" t="inlineStr">
        <is>
          <t>Expense</t>
        </is>
      </c>
      <c r="C141" s="102" t="inlineStr">
        <is>
          <t>Rent or Mortgage</t>
        </is>
      </c>
      <c r="D141" s="102" t="inlineStr">
        <is>
          <t>Checking</t>
        </is>
      </c>
      <c r="E141" s="97">
        <v>2400.0</v>
      </c>
      <c r="F141" s="102" t="inlineStr">
        <is>
          <t>Alex</t>
        </is>
      </c>
      <c r="G141" s="102" t="inlineStr">
        <is>
          <t>Shared</t>
        </is>
      </c>
      <c r="H141" s="102" t="inlineStr">
        <is>
          <t>Rent</t>
        </is>
      </c>
      <c r="I141" s="113">
        <f>IF($A141="","",MONTH($A141))</f>
        <v/>
      </c>
      <c r="J141" s="113">
        <f>IF($A141="","",YEAR($A141))</f>
        <v/>
      </c>
      <c r="K141" s="113">
        <f>IFERROR(INDEX(Setup!$I$7:$I$22,MATCH($C141,Setup!$D$7:$D$22,0)),"")</f>
        <v/>
      </c>
      <c r="L141" s="88" t="n"/>
      <c r="M141" s="88" t="n"/>
      <c r="N141" s="88" t="n"/>
      <c r="O141" s="88" t="n"/>
      <c r="P141" s="88" t="n"/>
      <c r="Q141" s="88" t="n"/>
      <c r="R141" s="88" t="n"/>
      <c r="S141" s="88" t="n"/>
      <c r="T141" s="88" t="n"/>
      <c r="U141" s="88" t="n"/>
      <c r="V141" s="88" t="n"/>
      <c r="W141" s="88" t="n"/>
      <c r="X141" s="88" t="n"/>
      <c r="Y141" s="88" t="n"/>
      <c r="Z141" s="88" t="n"/>
    </row>
    <row r="142" ht="15" customHeight="1" s="86">
      <c r="A142" s="109">
        <v>46205</v>
      </c>
      <c r="B142" s="110" t="inlineStr">
        <is>
          <t>Transfer</t>
        </is>
      </c>
      <c r="C142" s="111" t="inlineStr">
        <is>
          <t>Emergency Fund</t>
        </is>
      </c>
      <c r="D142" s="111" t="inlineStr">
        <is>
          <t>Savings</t>
        </is>
      </c>
      <c r="E142" s="112">
        <v>850.0</v>
      </c>
      <c r="F142" s="111" t="inlineStr">
        <is>
          <t>Joint</t>
        </is>
      </c>
      <c r="G142" s="111" t="inlineStr">
        <is>
          <t>Shared</t>
        </is>
      </c>
      <c r="H142" s="111" t="inlineStr">
        <is>
          <t>Auto transfer</t>
        </is>
      </c>
      <c r="I142" s="113">
        <f>IF($A142="","",MONTH($A142))</f>
        <v/>
      </c>
      <c r="J142" s="113">
        <f>IF($A142="","",YEAR($A142))</f>
        <v/>
      </c>
      <c r="K142" s="113">
        <f>IFERROR(INDEX(Setup!$I$7:$I$22,MATCH($C142,Setup!$D$7:$D$22,0)),"")</f>
        <v/>
      </c>
      <c r="L142" s="88" t="n"/>
      <c r="M142" s="88" t="n"/>
      <c r="N142" s="88" t="n"/>
      <c r="O142" s="88" t="n"/>
      <c r="P142" s="88" t="n"/>
      <c r="Q142" s="88" t="n"/>
      <c r="R142" s="88" t="n"/>
      <c r="S142" s="88" t="n"/>
      <c r="T142" s="88" t="n"/>
      <c r="U142" s="88" t="n"/>
      <c r="V142" s="88" t="n"/>
      <c r="W142" s="88" t="n"/>
      <c r="X142" s="88" t="n"/>
      <c r="Y142" s="88" t="n"/>
      <c r="Z142" s="88" t="n"/>
    </row>
    <row r="143" ht="15" customHeight="1" s="86">
      <c r="A143" s="107">
        <v>46205</v>
      </c>
      <c r="B143" s="95" t="inlineStr">
        <is>
          <t>Transfer</t>
        </is>
      </c>
      <c r="C143" s="102" t="inlineStr">
        <is>
          <t>Holiday Fund</t>
        </is>
      </c>
      <c r="D143" s="102" t="inlineStr">
        <is>
          <t>Savings</t>
        </is>
      </c>
      <c r="E143" s="97">
        <v>420.0</v>
      </c>
      <c r="F143" s="102" t="inlineStr">
        <is>
          <t>Joint</t>
        </is>
      </c>
      <c r="G143" s="102" t="inlineStr">
        <is>
          <t>Shared</t>
        </is>
      </c>
      <c r="H143" s="102" t="inlineStr">
        <is>
          <t>Auto transfer</t>
        </is>
      </c>
      <c r="I143" s="113">
        <f>IF($A143="","",MONTH($A143))</f>
        <v/>
      </c>
      <c r="J143" s="113">
        <f>IF($A143="","",YEAR($A143))</f>
        <v/>
      </c>
      <c r="K143" s="113">
        <f>IFERROR(INDEX(Setup!$I$7:$I$22,MATCH($C143,Setup!$D$7:$D$22,0)),"")</f>
        <v/>
      </c>
      <c r="L143" s="88" t="n"/>
      <c r="M143" s="88" t="n"/>
      <c r="N143" s="88" t="n"/>
      <c r="O143" s="88" t="n"/>
      <c r="P143" s="88" t="n"/>
      <c r="Q143" s="88" t="n"/>
      <c r="R143" s="88" t="n"/>
      <c r="S143" s="88" t="n"/>
      <c r="T143" s="88" t="n"/>
      <c r="U143" s="88" t="n"/>
      <c r="V143" s="88" t="n"/>
      <c r="W143" s="88" t="n"/>
      <c r="X143" s="88" t="n"/>
      <c r="Y143" s="88" t="n"/>
      <c r="Z143" s="88" t="n"/>
    </row>
    <row r="144" ht="15" customHeight="1" s="86">
      <c r="A144" s="109">
        <v>46205</v>
      </c>
      <c r="B144" s="110" t="inlineStr">
        <is>
          <t>Transfer</t>
        </is>
      </c>
      <c r="C144" s="111" t="inlineStr">
        <is>
          <t>New Car</t>
        </is>
      </c>
      <c r="D144" s="111" t="inlineStr">
        <is>
          <t>Savings</t>
        </is>
      </c>
      <c r="E144" s="112">
        <v>610.0</v>
      </c>
      <c r="F144" s="111" t="inlineStr">
        <is>
          <t>Joint</t>
        </is>
      </c>
      <c r="G144" s="111" t="inlineStr">
        <is>
          <t>Shared</t>
        </is>
      </c>
      <c r="H144" s="111" t="inlineStr">
        <is>
          <t>Auto transfer</t>
        </is>
      </c>
      <c r="I144" s="113">
        <f>IF($A144="","",MONTH($A144))</f>
        <v/>
      </c>
      <c r="J144" s="113">
        <f>IF($A144="","",YEAR($A144))</f>
        <v/>
      </c>
      <c r="K144" s="113">
        <f>IFERROR(INDEX(Setup!$I$7:$I$22,MATCH($C144,Setup!$D$7:$D$22,0)),"")</f>
        <v/>
      </c>
      <c r="L144" s="88" t="n"/>
      <c r="M144" s="88" t="n"/>
      <c r="N144" s="88" t="n"/>
      <c r="O144" s="88" t="n"/>
      <c r="P144" s="88" t="n"/>
      <c r="Q144" s="88" t="n"/>
      <c r="R144" s="88" t="n"/>
      <c r="S144" s="88" t="n"/>
      <c r="T144" s="88" t="n"/>
      <c r="U144" s="88" t="n"/>
      <c r="V144" s="88" t="n"/>
      <c r="W144" s="88" t="n"/>
      <c r="X144" s="88" t="n"/>
      <c r="Y144" s="88" t="n"/>
      <c r="Z144" s="88" t="n"/>
    </row>
    <row r="145" ht="15" customHeight="1" s="86">
      <c r="A145" s="107">
        <v>46206</v>
      </c>
      <c r="B145" s="95" t="inlineStr">
        <is>
          <t>Expense</t>
        </is>
      </c>
      <c r="C145" s="102" t="inlineStr">
        <is>
          <t>Insurance</t>
        </is>
      </c>
      <c r="D145" s="102" t="inlineStr">
        <is>
          <t>Checking</t>
        </is>
      </c>
      <c r="E145" s="97">
        <v>240.0</v>
      </c>
      <c r="F145" s="102" t="inlineStr">
        <is>
          <t>Joint</t>
        </is>
      </c>
      <c r="G145" s="102" t="inlineStr">
        <is>
          <t>Shared</t>
        </is>
      </c>
      <c r="H145" s="102" t="inlineStr">
        <is>
          <t>Home + car</t>
        </is>
      </c>
      <c r="I145" s="113">
        <f>IF($A145="","",MONTH($A145))</f>
        <v/>
      </c>
      <c r="J145" s="113">
        <f>IF($A145="","",YEAR($A145))</f>
        <v/>
      </c>
      <c r="K145" s="113">
        <f>IFERROR(INDEX(Setup!$I$7:$I$22,MATCH($C145,Setup!$D$7:$D$22,0)),"")</f>
        <v/>
      </c>
      <c r="L145" s="88" t="n"/>
      <c r="M145" s="88" t="n"/>
      <c r="N145" s="88" t="n"/>
      <c r="O145" s="88" t="n"/>
      <c r="P145" s="88" t="n"/>
      <c r="Q145" s="88" t="n"/>
      <c r="R145" s="88" t="n"/>
      <c r="S145" s="88" t="n"/>
      <c r="T145" s="88" t="n"/>
      <c r="U145" s="88" t="n"/>
      <c r="V145" s="88" t="n"/>
      <c r="W145" s="88" t="n"/>
      <c r="X145" s="88" t="n"/>
      <c r="Y145" s="88" t="n"/>
      <c r="Z145" s="88" t="n"/>
    </row>
    <row r="146" ht="15" customHeight="1" s="86">
      <c r="A146" s="109">
        <v>46207</v>
      </c>
      <c r="B146" s="110" t="inlineStr">
        <is>
          <t>Expense</t>
        </is>
      </c>
      <c r="C146" s="111" t="inlineStr">
        <is>
          <t>Utilities</t>
        </is>
      </c>
      <c r="D146" s="111" t="inlineStr">
        <is>
          <t>Checking</t>
        </is>
      </c>
      <c r="E146" s="112">
        <v>241.19</v>
      </c>
      <c r="F146" s="111" t="inlineStr">
        <is>
          <t>Sam</t>
        </is>
      </c>
      <c r="G146" s="111" t="inlineStr">
        <is>
          <t>Shared</t>
        </is>
      </c>
      <c r="H146" s="111" t="inlineStr">
        <is>
          <t>Electric and gas</t>
        </is>
      </c>
      <c r="I146" s="113">
        <f>IF($A146="","",MONTH($A146))</f>
        <v/>
      </c>
      <c r="J146" s="113">
        <f>IF($A146="","",YEAR($A146))</f>
        <v/>
      </c>
      <c r="K146" s="113">
        <f>IFERROR(INDEX(Setup!$I$7:$I$22,MATCH($C146,Setup!$D$7:$D$22,0)),"")</f>
        <v/>
      </c>
      <c r="L146" s="88" t="n"/>
      <c r="M146" s="88" t="n"/>
      <c r="N146" s="88" t="n"/>
      <c r="O146" s="88" t="n"/>
      <c r="P146" s="88" t="n"/>
      <c r="Q146" s="88" t="n"/>
      <c r="R146" s="88" t="n"/>
      <c r="S146" s="88" t="n"/>
      <c r="T146" s="88" t="n"/>
      <c r="U146" s="88" t="n"/>
      <c r="V146" s="88" t="n"/>
      <c r="W146" s="88" t="n"/>
      <c r="X146" s="88" t="n"/>
      <c r="Y146" s="88" t="n"/>
      <c r="Z146" s="88" t="n"/>
    </row>
    <row r="147" ht="15" customHeight="1" s="86">
      <c r="A147" s="107">
        <v>46209</v>
      </c>
      <c r="B147" s="95" t="inlineStr">
        <is>
          <t>Expense</t>
        </is>
      </c>
      <c r="C147" s="102" t="inlineStr">
        <is>
          <t>Groceries</t>
        </is>
      </c>
      <c r="D147" s="102" t="inlineStr">
        <is>
          <t>Credit Card</t>
        </is>
      </c>
      <c r="E147" s="97">
        <v>295.25</v>
      </c>
      <c r="F147" s="102" t="inlineStr">
        <is>
          <t>Sam</t>
        </is>
      </c>
      <c r="G147" s="102" t="inlineStr">
        <is>
          <t>Shared</t>
        </is>
      </c>
      <c r="H147" s="102" t="inlineStr">
        <is>
          <t>Weekly shop</t>
        </is>
      </c>
      <c r="I147" s="113">
        <f>IF($A147="","",MONTH($A147))</f>
        <v/>
      </c>
      <c r="J147" s="113">
        <f>IF($A147="","",YEAR($A147))</f>
        <v/>
      </c>
      <c r="K147" s="113">
        <f>IFERROR(INDEX(Setup!$I$7:$I$22,MATCH($C147,Setup!$D$7:$D$22,0)),"")</f>
        <v/>
      </c>
      <c r="L147" s="88" t="n"/>
      <c r="M147" s="88" t="n"/>
      <c r="N147" s="88" t="n"/>
      <c r="O147" s="88" t="n"/>
      <c r="P147" s="88" t="n"/>
      <c r="Q147" s="88" t="n"/>
      <c r="R147" s="88" t="n"/>
      <c r="S147" s="88" t="n"/>
      <c r="T147" s="88" t="n"/>
      <c r="U147" s="88" t="n"/>
      <c r="V147" s="88" t="n"/>
      <c r="W147" s="88" t="n"/>
      <c r="X147" s="88" t="n"/>
      <c r="Y147" s="88" t="n"/>
      <c r="Z147" s="88" t="n"/>
    </row>
    <row r="148" ht="15" customHeight="1" s="86">
      <c r="A148" s="109">
        <v>46210</v>
      </c>
      <c r="B148" s="110" t="inlineStr">
        <is>
          <t>Expense</t>
        </is>
      </c>
      <c r="C148" s="111" t="inlineStr">
        <is>
          <t>Subscriptions</t>
        </is>
      </c>
      <c r="D148" s="111" t="inlineStr">
        <is>
          <t>Credit Card</t>
        </is>
      </c>
      <c r="E148" s="112">
        <v>46.99</v>
      </c>
      <c r="F148" s="111" t="inlineStr">
        <is>
          <t>Alex</t>
        </is>
      </c>
      <c r="G148" s="111" t="inlineStr">
        <is>
          <t>Shared</t>
        </is>
      </c>
      <c r="H148" s="111" t="inlineStr">
        <is>
          <t>Streaming + cloud</t>
        </is>
      </c>
      <c r="I148" s="113">
        <f>IF($A148="","",MONTH($A148))</f>
        <v/>
      </c>
      <c r="J148" s="113">
        <f>IF($A148="","",YEAR($A148))</f>
        <v/>
      </c>
      <c r="K148" s="113">
        <f>IFERROR(INDEX(Setup!$I$7:$I$22,MATCH($C148,Setup!$D$7:$D$22,0)),"")</f>
        <v/>
      </c>
      <c r="L148" s="88" t="n"/>
      <c r="M148" s="88" t="n"/>
      <c r="N148" s="88" t="n"/>
      <c r="O148" s="88" t="n"/>
      <c r="P148" s="88" t="n"/>
      <c r="Q148" s="88" t="n"/>
      <c r="R148" s="88" t="n"/>
      <c r="S148" s="88" t="n"/>
      <c r="T148" s="88" t="n"/>
      <c r="U148" s="88" t="n"/>
      <c r="V148" s="88" t="n"/>
      <c r="W148" s="88" t="n"/>
      <c r="X148" s="88" t="n"/>
      <c r="Y148" s="88" t="n"/>
      <c r="Z148" s="88" t="n"/>
    </row>
    <row r="149" ht="15" customHeight="1" s="86">
      <c r="A149" s="107">
        <v>46211</v>
      </c>
      <c r="B149" s="95" t="inlineStr">
        <is>
          <t>Expense</t>
        </is>
      </c>
      <c r="C149" s="102" t="inlineStr">
        <is>
          <t>Phone and Internet</t>
        </is>
      </c>
      <c r="D149" s="102" t="inlineStr">
        <is>
          <t>Checking</t>
        </is>
      </c>
      <c r="E149" s="97">
        <v>110.0</v>
      </c>
      <c r="F149" s="102" t="inlineStr">
        <is>
          <t>Sam</t>
        </is>
      </c>
      <c r="G149" s="102" t="inlineStr">
        <is>
          <t>Shared</t>
        </is>
      </c>
      <c r="H149" s="102" t="inlineStr">
        <is>
          <t>Fibre + mobiles</t>
        </is>
      </c>
      <c r="I149" s="113">
        <f>IF($A149="","",MONTH($A149))</f>
        <v/>
      </c>
      <c r="J149" s="113">
        <f>IF($A149="","",YEAR($A149))</f>
        <v/>
      </c>
      <c r="K149" s="113">
        <f>IFERROR(INDEX(Setup!$I$7:$I$22,MATCH($C149,Setup!$D$7:$D$22,0)),"")</f>
        <v/>
      </c>
      <c r="L149" s="88" t="n"/>
      <c r="M149" s="88" t="n"/>
      <c r="N149" s="88" t="n"/>
      <c r="O149" s="88" t="n"/>
      <c r="P149" s="88" t="n"/>
      <c r="Q149" s="88" t="n"/>
      <c r="R149" s="88" t="n"/>
      <c r="S149" s="88" t="n"/>
      <c r="T149" s="88" t="n"/>
      <c r="U149" s="88" t="n"/>
      <c r="V149" s="88" t="n"/>
      <c r="W149" s="88" t="n"/>
      <c r="X149" s="88" t="n"/>
      <c r="Y149" s="88" t="n"/>
      <c r="Z149" s="88" t="n"/>
    </row>
    <row r="150" ht="15" customHeight="1" s="86">
      <c r="A150" s="109">
        <v>46212</v>
      </c>
      <c r="B150" s="110" t="inlineStr">
        <is>
          <t>Expense</t>
        </is>
      </c>
      <c r="C150" s="111" t="inlineStr">
        <is>
          <t>Transport</t>
        </is>
      </c>
      <c r="D150" s="111" t="inlineStr">
        <is>
          <t>Credit Card</t>
        </is>
      </c>
      <c r="E150" s="112">
        <v>162.77</v>
      </c>
      <c r="F150" s="111" t="inlineStr">
        <is>
          <t>Alex</t>
        </is>
      </c>
      <c r="G150" s="111" t="inlineStr">
        <is>
          <t>Shared</t>
        </is>
      </c>
      <c r="H150" s="111" t="inlineStr">
        <is>
          <t>Fuel and transit</t>
        </is>
      </c>
      <c r="I150" s="113">
        <f>IF($A150="","",MONTH($A150))</f>
        <v/>
      </c>
      <c r="J150" s="113">
        <f>IF($A150="","",YEAR($A150))</f>
        <v/>
      </c>
      <c r="K150" s="113">
        <f>IFERROR(INDEX(Setup!$I$7:$I$22,MATCH($C150,Setup!$D$7:$D$22,0)),"")</f>
        <v/>
      </c>
      <c r="L150" s="88" t="n"/>
      <c r="M150" s="88" t="n"/>
      <c r="N150" s="88" t="n"/>
      <c r="O150" s="88" t="n"/>
      <c r="P150" s="88" t="n"/>
      <c r="Q150" s="88" t="n"/>
      <c r="R150" s="88" t="n"/>
      <c r="S150" s="88" t="n"/>
      <c r="T150" s="88" t="n"/>
      <c r="U150" s="88" t="n"/>
      <c r="V150" s="88" t="n"/>
      <c r="W150" s="88" t="n"/>
      <c r="X150" s="88" t="n"/>
      <c r="Y150" s="88" t="n"/>
      <c r="Z150" s="88" t="n"/>
    </row>
    <row r="151" ht="15" customHeight="1" s="86">
      <c r="A151" s="107">
        <v>46214</v>
      </c>
      <c r="B151" s="95" t="inlineStr">
        <is>
          <t>Expense</t>
        </is>
      </c>
      <c r="C151" s="102" t="inlineStr">
        <is>
          <t>Dining out</t>
        </is>
      </c>
      <c r="D151" s="102" t="inlineStr">
        <is>
          <t>Credit Card</t>
        </is>
      </c>
      <c r="E151" s="97">
        <v>84.97</v>
      </c>
      <c r="F151" s="102" t="inlineStr">
        <is>
          <t>Alex</t>
        </is>
      </c>
      <c r="G151" s="102" t="inlineStr">
        <is>
          <t>Shared</t>
        </is>
      </c>
      <c r="H151" s="102" t="inlineStr">
        <is>
          <t>Date night</t>
        </is>
      </c>
      <c r="I151" s="113">
        <f>IF($A151="","",MONTH($A151))</f>
        <v/>
      </c>
      <c r="J151" s="113">
        <f>IF($A151="","",YEAR($A151))</f>
        <v/>
      </c>
      <c r="K151" s="113">
        <f>IFERROR(INDEX(Setup!$I$7:$I$22,MATCH($C151,Setup!$D$7:$D$22,0)),"")</f>
        <v/>
      </c>
      <c r="L151" s="88" t="n"/>
      <c r="M151" s="88" t="n"/>
      <c r="N151" s="88" t="n"/>
      <c r="O151" s="88" t="n"/>
      <c r="P151" s="88" t="n"/>
      <c r="Q151" s="88" t="n"/>
      <c r="R151" s="88" t="n"/>
      <c r="S151" s="88" t="n"/>
      <c r="T151" s="88" t="n"/>
      <c r="U151" s="88" t="n"/>
      <c r="V151" s="88" t="n"/>
      <c r="W151" s="88" t="n"/>
      <c r="X151" s="88" t="n"/>
      <c r="Y151" s="88" t="n"/>
      <c r="Z151" s="88" t="n"/>
    </row>
    <row r="152" ht="15" customHeight="1" s="86">
      <c r="A152" s="109">
        <v>46215</v>
      </c>
      <c r="B152" s="110" t="inlineStr">
        <is>
          <t>Expense</t>
        </is>
      </c>
      <c r="C152" s="111" t="inlineStr">
        <is>
          <t>Debt</t>
        </is>
      </c>
      <c r="D152" s="111" t="inlineStr">
        <is>
          <t>Checking</t>
        </is>
      </c>
      <c r="E152" s="112">
        <v>420.0</v>
      </c>
      <c r="F152" s="111" t="inlineStr">
        <is>
          <t>Joint</t>
        </is>
      </c>
      <c r="G152" s="111" t="inlineStr">
        <is>
          <t>Shared</t>
        </is>
      </c>
      <c r="H152" s="111" t="inlineStr">
        <is>
          <t>Car loan</t>
        </is>
      </c>
      <c r="I152" s="113">
        <f>IF($A152="","",MONTH($A152))</f>
        <v/>
      </c>
      <c r="J152" s="113">
        <f>IF($A152="","",YEAR($A152))</f>
        <v/>
      </c>
      <c r="K152" s="113">
        <f>IFERROR(INDEX(Setup!$I$7:$I$22,MATCH($C152,Setup!$D$7:$D$22,0)),"")</f>
        <v/>
      </c>
      <c r="L152" s="88" t="n"/>
      <c r="M152" s="88" t="n"/>
      <c r="N152" s="88" t="n"/>
      <c r="O152" s="88" t="n"/>
      <c r="P152" s="88" t="n"/>
      <c r="Q152" s="88" t="n"/>
      <c r="R152" s="88" t="n"/>
      <c r="S152" s="88" t="n"/>
      <c r="T152" s="88" t="n"/>
      <c r="U152" s="88" t="n"/>
      <c r="V152" s="88" t="n"/>
      <c r="W152" s="88" t="n"/>
      <c r="X152" s="88" t="n"/>
      <c r="Y152" s="88" t="n"/>
      <c r="Z152" s="88" t="n"/>
    </row>
    <row r="153" ht="15" customHeight="1" s="86">
      <c r="A153" s="107">
        <v>46218</v>
      </c>
      <c r="B153" s="95" t="inlineStr">
        <is>
          <t>Expense</t>
        </is>
      </c>
      <c r="C153" s="102" t="inlineStr">
        <is>
          <t>Shopping</t>
        </is>
      </c>
      <c r="D153" s="102" t="inlineStr">
        <is>
          <t>Credit Card</t>
        </is>
      </c>
      <c r="E153" s="97">
        <v>158.35</v>
      </c>
      <c r="F153" s="102" t="inlineStr">
        <is>
          <t>Alex</t>
        </is>
      </c>
      <c r="G153" s="102" t="inlineStr">
        <is>
          <t>Personal</t>
        </is>
      </c>
      <c r="H153" s="102" t="inlineStr">
        <is>
          <t>Clothes</t>
        </is>
      </c>
      <c r="I153" s="113">
        <f>IF($A153="","",MONTH($A153))</f>
        <v/>
      </c>
      <c r="J153" s="113">
        <f>IF($A153="","",YEAR($A153))</f>
        <v/>
      </c>
      <c r="K153" s="113">
        <f>IFERROR(INDEX(Setup!$I$7:$I$22,MATCH($C153,Setup!$D$7:$D$22,0)),"")</f>
        <v/>
      </c>
      <c r="L153" s="88" t="n"/>
      <c r="M153" s="88" t="n"/>
      <c r="N153" s="88" t="n"/>
      <c r="O153" s="88" t="n"/>
      <c r="P153" s="88" t="n"/>
      <c r="Q153" s="88" t="n"/>
      <c r="R153" s="88" t="n"/>
      <c r="S153" s="88" t="n"/>
      <c r="T153" s="88" t="n"/>
      <c r="U153" s="88" t="n"/>
      <c r="V153" s="88" t="n"/>
      <c r="W153" s="88" t="n"/>
      <c r="X153" s="88" t="n"/>
      <c r="Y153" s="88" t="n"/>
      <c r="Z153" s="88" t="n"/>
    </row>
    <row r="154" ht="15" customHeight="1" s="86">
      <c r="A154" s="109">
        <v>46219</v>
      </c>
      <c r="B154" s="110" t="inlineStr">
        <is>
          <t>Expense</t>
        </is>
      </c>
      <c r="C154" s="111" t="inlineStr">
        <is>
          <t>Shopping</t>
        </is>
      </c>
      <c r="D154" s="111" t="inlineStr">
        <is>
          <t>Credit Card</t>
        </is>
      </c>
      <c r="E154" s="112">
        <v>113.79</v>
      </c>
      <c r="F154" s="111" t="inlineStr">
        <is>
          <t>Sam</t>
        </is>
      </c>
      <c r="G154" s="111" t="inlineStr">
        <is>
          <t>Personal</t>
        </is>
      </c>
      <c r="H154" s="111" t="inlineStr">
        <is>
          <t>Clothes</t>
        </is>
      </c>
      <c r="I154" s="113">
        <f>IF($A154="","",MONTH($A154))</f>
        <v/>
      </c>
      <c r="J154" s="113">
        <f>IF($A154="","",YEAR($A154))</f>
        <v/>
      </c>
      <c r="K154" s="113">
        <f>IFERROR(INDEX(Setup!$I$7:$I$22,MATCH($C154,Setup!$D$7:$D$22,0)),"")</f>
        <v/>
      </c>
      <c r="L154" s="88" t="n"/>
      <c r="M154" s="88" t="n"/>
      <c r="N154" s="88" t="n"/>
      <c r="O154" s="88" t="n"/>
      <c r="P154" s="88" t="n"/>
      <c r="Q154" s="88" t="n"/>
      <c r="R154" s="88" t="n"/>
      <c r="S154" s="88" t="n"/>
      <c r="T154" s="88" t="n"/>
      <c r="U154" s="88" t="n"/>
      <c r="V154" s="88" t="n"/>
      <c r="W154" s="88" t="n"/>
      <c r="X154" s="88" t="n"/>
      <c r="Y154" s="88" t="n"/>
      <c r="Z154" s="88" t="n"/>
    </row>
    <row r="155" ht="15" customHeight="1" s="86">
      <c r="A155" s="107">
        <v>46220</v>
      </c>
      <c r="B155" s="95" t="inlineStr">
        <is>
          <t>Expense</t>
        </is>
      </c>
      <c r="C155" s="102" t="inlineStr">
        <is>
          <t>Health</t>
        </is>
      </c>
      <c r="D155" s="102" t="inlineStr">
        <is>
          <t>Checking</t>
        </is>
      </c>
      <c r="E155" s="97">
        <v>140</v>
      </c>
      <c r="F155" s="102" t="inlineStr">
        <is>
          <t>Alex</t>
        </is>
      </c>
      <c r="G155" s="102" t="inlineStr">
        <is>
          <t>Personal</t>
        </is>
      </c>
      <c r="H155" s="102" t="inlineStr">
        <is>
          <t>Pharmacy</t>
        </is>
      </c>
      <c r="I155" s="113">
        <f>IF($A155="","",MONTH($A155))</f>
        <v/>
      </c>
      <c r="J155" s="113">
        <f>IF($A155="","",YEAR($A155))</f>
        <v/>
      </c>
      <c r="K155" s="113">
        <f>IFERROR(INDEX(Setup!$I$7:$I$22,MATCH($C155,Setup!$D$7:$D$22,0)),"")</f>
        <v/>
      </c>
      <c r="L155" s="88" t="n"/>
      <c r="M155" s="88" t="n"/>
      <c r="N155" s="88" t="n"/>
      <c r="O155" s="88" t="n"/>
      <c r="P155" s="88" t="n"/>
      <c r="Q155" s="88" t="n"/>
      <c r="R155" s="88" t="n"/>
      <c r="S155" s="88" t="n"/>
      <c r="T155" s="88" t="n"/>
      <c r="U155" s="88" t="n"/>
      <c r="V155" s="88" t="n"/>
      <c r="W155" s="88" t="n"/>
      <c r="X155" s="88" t="n"/>
      <c r="Y155" s="88" t="n"/>
      <c r="Z155" s="88" t="n"/>
    </row>
    <row r="156" ht="15" customHeight="1" s="86">
      <c r="A156" s="109">
        <v>46222</v>
      </c>
      <c r="B156" s="110" t="inlineStr">
        <is>
          <t>Expense</t>
        </is>
      </c>
      <c r="C156" s="111" t="inlineStr">
        <is>
          <t>Groceries</t>
        </is>
      </c>
      <c r="D156" s="111" t="inlineStr">
        <is>
          <t>Credit Card</t>
        </is>
      </c>
      <c r="E156" s="112">
        <v>324.55</v>
      </c>
      <c r="F156" s="111" t="inlineStr">
        <is>
          <t>Sam</t>
        </is>
      </c>
      <c r="G156" s="111" t="inlineStr">
        <is>
          <t>Shared</t>
        </is>
      </c>
      <c r="H156" s="111" t="inlineStr">
        <is>
          <t>Weekly shop</t>
        </is>
      </c>
      <c r="I156" s="113">
        <f>IF($A156="","",MONTH($A156))</f>
        <v/>
      </c>
      <c r="J156" s="113">
        <f>IF($A156="","",YEAR($A156))</f>
        <v/>
      </c>
      <c r="K156" s="113">
        <f>IFERROR(INDEX(Setup!$I$7:$I$22,MATCH($C156,Setup!$D$7:$D$22,0)),"")</f>
        <v/>
      </c>
      <c r="L156" s="88" t="n"/>
      <c r="M156" s="88" t="n"/>
      <c r="N156" s="88" t="n"/>
      <c r="O156" s="88" t="n"/>
      <c r="P156" s="88" t="n"/>
      <c r="Q156" s="88" t="n"/>
      <c r="R156" s="88" t="n"/>
      <c r="S156" s="88" t="n"/>
      <c r="T156" s="88" t="n"/>
      <c r="U156" s="88" t="n"/>
      <c r="V156" s="88" t="n"/>
      <c r="W156" s="88" t="n"/>
      <c r="X156" s="88" t="n"/>
      <c r="Y156" s="88" t="n"/>
      <c r="Z156" s="88" t="n"/>
    </row>
    <row r="157" ht="15" customHeight="1" s="86">
      <c r="A157" s="107">
        <v>46224</v>
      </c>
      <c r="B157" s="95" t="inlineStr">
        <is>
          <t>Expense</t>
        </is>
      </c>
      <c r="C157" s="102" t="inlineStr">
        <is>
          <t>Fun and Leisure</t>
        </is>
      </c>
      <c r="D157" s="102" t="inlineStr">
        <is>
          <t>Credit Card</t>
        </is>
      </c>
      <c r="E157" s="97">
        <v>136.71</v>
      </c>
      <c r="F157" s="102" t="inlineStr">
        <is>
          <t>Alex</t>
        </is>
      </c>
      <c r="G157" s="102" t="inlineStr">
        <is>
          <t>Personal</t>
        </is>
      </c>
      <c r="H157" s="102" t="inlineStr">
        <is>
          <t>Gym + hobbies</t>
        </is>
      </c>
      <c r="I157" s="113">
        <f>IF($A157="","",MONTH($A157))</f>
        <v/>
      </c>
      <c r="J157" s="113">
        <f>IF($A157="","",YEAR($A157))</f>
        <v/>
      </c>
      <c r="K157" s="113">
        <f>IFERROR(INDEX(Setup!$I$7:$I$22,MATCH($C157,Setup!$D$7:$D$22,0)),"")</f>
        <v/>
      </c>
      <c r="L157" s="88" t="n"/>
      <c r="M157" s="88" t="n"/>
      <c r="N157" s="88" t="n"/>
      <c r="O157" s="88" t="n"/>
      <c r="P157" s="88" t="n"/>
      <c r="Q157" s="88" t="n"/>
      <c r="R157" s="88" t="n"/>
      <c r="S157" s="88" t="n"/>
      <c r="T157" s="88" t="n"/>
      <c r="U157" s="88" t="n"/>
      <c r="V157" s="88" t="n"/>
      <c r="W157" s="88" t="n"/>
      <c r="X157" s="88" t="n"/>
      <c r="Y157" s="88" t="n"/>
      <c r="Z157" s="88" t="n"/>
    </row>
    <row r="158" ht="15" customHeight="1" s="86">
      <c r="A158" s="109">
        <v>46225</v>
      </c>
      <c r="B158" s="110" t="inlineStr">
        <is>
          <t>Expense</t>
        </is>
      </c>
      <c r="C158" s="111" t="inlineStr">
        <is>
          <t>Fun and Leisure</t>
        </is>
      </c>
      <c r="D158" s="111" t="inlineStr">
        <is>
          <t>Credit Card</t>
        </is>
      </c>
      <c r="E158" s="112">
        <v>136.19</v>
      </c>
      <c r="F158" s="111" t="inlineStr">
        <is>
          <t>Sam</t>
        </is>
      </c>
      <c r="G158" s="111" t="inlineStr">
        <is>
          <t>Personal</t>
        </is>
      </c>
      <c r="H158" s="111" t="inlineStr">
        <is>
          <t>Gym + hobbies</t>
        </is>
      </c>
      <c r="I158" s="113">
        <f>IF($A158="","",MONTH($A158))</f>
        <v/>
      </c>
      <c r="J158" s="113">
        <f>IF($A158="","",YEAR($A158))</f>
        <v/>
      </c>
      <c r="K158" s="113">
        <f>IFERROR(INDEX(Setup!$I$7:$I$22,MATCH($C158,Setup!$D$7:$D$22,0)),"")</f>
        <v/>
      </c>
      <c r="L158" s="88" t="n"/>
      <c r="M158" s="88" t="n"/>
      <c r="N158" s="88" t="n"/>
      <c r="O158" s="88" t="n"/>
      <c r="P158" s="88" t="n"/>
      <c r="Q158" s="88" t="n"/>
      <c r="R158" s="88" t="n"/>
      <c r="S158" s="88" t="n"/>
      <c r="T158" s="88" t="n"/>
      <c r="U158" s="88" t="n"/>
      <c r="V158" s="88" t="n"/>
      <c r="W158" s="88" t="n"/>
      <c r="X158" s="88" t="n"/>
      <c r="Y158" s="88" t="n"/>
      <c r="Z158" s="88" t="n"/>
    </row>
    <row r="159" ht="15" customHeight="1" s="86">
      <c r="A159" s="107">
        <v>46226</v>
      </c>
      <c r="B159" s="95" t="inlineStr">
        <is>
          <t>Expense</t>
        </is>
      </c>
      <c r="C159" s="102" t="inlineStr">
        <is>
          <t>Transport</t>
        </is>
      </c>
      <c r="D159" s="102" t="inlineStr">
        <is>
          <t>Credit Card</t>
        </is>
      </c>
      <c r="E159" s="97">
        <v>177.73</v>
      </c>
      <c r="F159" s="102" t="inlineStr">
        <is>
          <t>Sam</t>
        </is>
      </c>
      <c r="G159" s="102" t="inlineStr">
        <is>
          <t>Shared</t>
        </is>
      </c>
      <c r="H159" s="102" t="inlineStr">
        <is>
          <t>Fuel and transit</t>
        </is>
      </c>
      <c r="I159" s="113">
        <f>IF($A159="","",MONTH($A159))</f>
        <v/>
      </c>
      <c r="J159" s="113">
        <f>IF($A159="","",YEAR($A159))</f>
        <v/>
      </c>
      <c r="K159" s="113">
        <f>IFERROR(INDEX(Setup!$I$7:$I$22,MATCH($C159,Setup!$D$7:$D$22,0)),"")</f>
        <v/>
      </c>
      <c r="L159" s="88" t="n"/>
      <c r="M159" s="88" t="n"/>
      <c r="N159" s="88" t="n"/>
      <c r="O159" s="88" t="n"/>
      <c r="P159" s="88" t="n"/>
      <c r="Q159" s="88" t="n"/>
      <c r="R159" s="88" t="n"/>
      <c r="S159" s="88" t="n"/>
      <c r="T159" s="88" t="n"/>
      <c r="U159" s="88" t="n"/>
      <c r="V159" s="88" t="n"/>
      <c r="W159" s="88" t="n"/>
      <c r="X159" s="88" t="n"/>
      <c r="Y159" s="88" t="n"/>
      <c r="Z159" s="88" t="n"/>
    </row>
    <row r="160" ht="15" customHeight="1" s="86">
      <c r="A160" s="109">
        <v>46227</v>
      </c>
      <c r="B160" s="110" t="inlineStr">
        <is>
          <t>Expense</t>
        </is>
      </c>
      <c r="C160" s="111" t="inlineStr">
        <is>
          <t>Dining out</t>
        </is>
      </c>
      <c r="D160" s="111" t="inlineStr">
        <is>
          <t>Credit Card</t>
        </is>
      </c>
      <c r="E160" s="112">
        <v>87.95</v>
      </c>
      <c r="F160" s="111" t="inlineStr">
        <is>
          <t>Sam</t>
        </is>
      </c>
      <c r="G160" s="111" t="inlineStr">
        <is>
          <t>Shared</t>
        </is>
      </c>
      <c r="H160" s="111" t="inlineStr">
        <is>
          <t>Lunch out</t>
        </is>
      </c>
      <c r="I160" s="113">
        <f>IF($A160="","",MONTH($A160))</f>
        <v/>
      </c>
      <c r="J160" s="113">
        <f>IF($A160="","",YEAR($A160))</f>
        <v/>
      </c>
      <c r="K160" s="113">
        <f>IFERROR(INDEX(Setup!$I$7:$I$22,MATCH($C160,Setup!$D$7:$D$22,0)),"")</f>
        <v/>
      </c>
      <c r="L160" s="88" t="n"/>
      <c r="M160" s="88" t="n"/>
      <c r="N160" s="88" t="n"/>
      <c r="O160" s="88" t="n"/>
      <c r="P160" s="88" t="n"/>
      <c r="Q160" s="88" t="n"/>
      <c r="R160" s="88" t="n"/>
      <c r="S160" s="88" t="n"/>
      <c r="T160" s="88" t="n"/>
      <c r="U160" s="88" t="n"/>
      <c r="V160" s="88" t="n"/>
      <c r="W160" s="88" t="n"/>
      <c r="X160" s="88" t="n"/>
      <c r="Y160" s="88" t="n"/>
      <c r="Z160" s="88" t="n"/>
    </row>
    <row r="161" ht="15" customHeight="1" s="86">
      <c r="A161" s="107">
        <v>46235</v>
      </c>
      <c r="B161" s="95" t="inlineStr">
        <is>
          <t>Income</t>
        </is>
      </c>
      <c r="C161" s="102" t="inlineStr">
        <is>
          <t>Salary</t>
        </is>
      </c>
      <c r="D161" s="102" t="inlineStr">
        <is>
          <t>Checking</t>
        </is>
      </c>
      <c r="E161" s="97">
        <v>5200</v>
      </c>
      <c r="F161" s="102" t="inlineStr">
        <is>
          <t>Alex</t>
        </is>
      </c>
      <c r="G161" s="102" t="inlineStr">
        <is>
          <t>Personal</t>
        </is>
      </c>
      <c r="H161" s="102" t="inlineStr">
        <is>
          <t>Monthly pay</t>
        </is>
      </c>
      <c r="I161" s="113">
        <f>IF($A161="","",MONTH($A161))</f>
        <v/>
      </c>
      <c r="J161" s="113">
        <f>IF($A161="","",YEAR($A161))</f>
        <v/>
      </c>
      <c r="K161" s="113">
        <f>IFERROR(INDEX(Setup!$I$7:$I$22,MATCH($C161,Setup!$D$7:$D$22,0)),"")</f>
        <v/>
      </c>
      <c r="L161" s="88" t="n"/>
      <c r="M161" s="88" t="n"/>
      <c r="N161" s="88" t="n"/>
      <c r="O161" s="88" t="n"/>
      <c r="P161" s="88" t="n"/>
      <c r="Q161" s="88" t="n"/>
      <c r="R161" s="88" t="n"/>
      <c r="S161" s="88" t="n"/>
      <c r="T161" s="88" t="n"/>
      <c r="U161" s="88" t="n"/>
      <c r="V161" s="88" t="n"/>
      <c r="W161" s="88" t="n"/>
      <c r="X161" s="88" t="n"/>
      <c r="Y161" s="88" t="n"/>
      <c r="Z161" s="88" t="n"/>
    </row>
    <row r="162" ht="15" customHeight="1" s="86">
      <c r="A162" s="109">
        <v>46235</v>
      </c>
      <c r="B162" s="110" t="inlineStr">
        <is>
          <t>Income</t>
        </is>
      </c>
      <c r="C162" s="111" t="inlineStr">
        <is>
          <t>Salary</t>
        </is>
      </c>
      <c r="D162" s="111" t="inlineStr">
        <is>
          <t>Checking</t>
        </is>
      </c>
      <c r="E162" s="112">
        <v>3800</v>
      </c>
      <c r="F162" s="111" t="inlineStr">
        <is>
          <t>Sam</t>
        </is>
      </c>
      <c r="G162" s="111" t="inlineStr">
        <is>
          <t>Personal</t>
        </is>
      </c>
      <c r="H162" s="111" t="inlineStr">
        <is>
          <t>Monthly pay</t>
        </is>
      </c>
      <c r="I162" s="113">
        <f>IF($A162="","",MONTH($A162))</f>
        <v/>
      </c>
      <c r="J162" s="113">
        <f>IF($A162="","",YEAR($A162))</f>
        <v/>
      </c>
      <c r="K162" s="113">
        <f>IFERROR(INDEX(Setup!$I$7:$I$22,MATCH($C162,Setup!$D$7:$D$22,0)),"")</f>
        <v/>
      </c>
      <c r="L162" s="88" t="n"/>
      <c r="M162" s="88" t="n"/>
      <c r="N162" s="88" t="n"/>
      <c r="O162" s="88" t="n"/>
      <c r="P162" s="88" t="n"/>
      <c r="Q162" s="88" t="n"/>
      <c r="R162" s="88" t="n"/>
      <c r="S162" s="88" t="n"/>
      <c r="T162" s="88" t="n"/>
      <c r="U162" s="88" t="n"/>
      <c r="V162" s="88" t="n"/>
      <c r="W162" s="88" t="n"/>
      <c r="X162" s="88" t="n"/>
      <c r="Y162" s="88" t="n"/>
      <c r="Z162" s="88" t="n"/>
    </row>
    <row r="163" ht="15" customHeight="1" s="86">
      <c r="A163" s="107">
        <v>46235</v>
      </c>
      <c r="B163" s="95" t="inlineStr">
        <is>
          <t>Expense</t>
        </is>
      </c>
      <c r="C163" s="102" t="inlineStr">
        <is>
          <t>Rent or Mortgage</t>
        </is>
      </c>
      <c r="D163" s="102" t="inlineStr">
        <is>
          <t>Checking</t>
        </is>
      </c>
      <c r="E163" s="97">
        <v>2400.0</v>
      </c>
      <c r="F163" s="102" t="inlineStr">
        <is>
          <t>Alex</t>
        </is>
      </c>
      <c r="G163" s="102" t="inlineStr">
        <is>
          <t>Shared</t>
        </is>
      </c>
      <c r="H163" s="102" t="inlineStr">
        <is>
          <t>Rent</t>
        </is>
      </c>
      <c r="I163" s="113">
        <f>IF($A163="","",MONTH($A163))</f>
        <v/>
      </c>
      <c r="J163" s="113">
        <f>IF($A163="","",YEAR($A163))</f>
        <v/>
      </c>
      <c r="K163" s="113">
        <f>IFERROR(INDEX(Setup!$I$7:$I$22,MATCH($C163,Setup!$D$7:$D$22,0)),"")</f>
        <v/>
      </c>
      <c r="L163" s="88" t="n"/>
      <c r="M163" s="88" t="n"/>
      <c r="N163" s="88" t="n"/>
      <c r="O163" s="88" t="n"/>
      <c r="P163" s="88" t="n"/>
      <c r="Q163" s="88" t="n"/>
      <c r="R163" s="88" t="n"/>
      <c r="S163" s="88" t="n"/>
      <c r="T163" s="88" t="n"/>
      <c r="U163" s="88" t="n"/>
      <c r="V163" s="88" t="n"/>
      <c r="W163" s="88" t="n"/>
      <c r="X163" s="88" t="n"/>
      <c r="Y163" s="88" t="n"/>
      <c r="Z163" s="88" t="n"/>
    </row>
    <row r="164" ht="15" customHeight="1" s="86">
      <c r="A164" s="109">
        <v>46236</v>
      </c>
      <c r="B164" s="110" t="inlineStr">
        <is>
          <t>Transfer</t>
        </is>
      </c>
      <c r="C164" s="111" t="inlineStr">
        <is>
          <t>Emergency Fund</t>
        </is>
      </c>
      <c r="D164" s="111" t="inlineStr">
        <is>
          <t>Savings</t>
        </is>
      </c>
      <c r="E164" s="112">
        <v>850.0</v>
      </c>
      <c r="F164" s="111" t="inlineStr">
        <is>
          <t>Joint</t>
        </is>
      </c>
      <c r="G164" s="111" t="inlineStr">
        <is>
          <t>Shared</t>
        </is>
      </c>
      <c r="H164" s="111" t="inlineStr">
        <is>
          <t>Auto transfer</t>
        </is>
      </c>
      <c r="I164" s="113">
        <f>IF($A164="","",MONTH($A164))</f>
        <v/>
      </c>
      <c r="J164" s="113">
        <f>IF($A164="","",YEAR($A164))</f>
        <v/>
      </c>
      <c r="K164" s="113">
        <f>IFERROR(INDEX(Setup!$I$7:$I$22,MATCH($C164,Setup!$D$7:$D$22,0)),"")</f>
        <v/>
      </c>
      <c r="L164" s="88" t="n"/>
      <c r="M164" s="88" t="n"/>
      <c r="N164" s="88" t="n"/>
      <c r="O164" s="88" t="n"/>
      <c r="P164" s="88" t="n"/>
      <c r="Q164" s="88" t="n"/>
      <c r="R164" s="88" t="n"/>
      <c r="S164" s="88" t="n"/>
      <c r="T164" s="88" t="n"/>
      <c r="U164" s="88" t="n"/>
      <c r="V164" s="88" t="n"/>
      <c r="W164" s="88" t="n"/>
      <c r="X164" s="88" t="n"/>
      <c r="Y164" s="88" t="n"/>
      <c r="Z164" s="88" t="n"/>
    </row>
    <row r="165" ht="15" customHeight="1" s="86">
      <c r="A165" s="107">
        <v>46236</v>
      </c>
      <c r="B165" s="95" t="inlineStr">
        <is>
          <t>Transfer</t>
        </is>
      </c>
      <c r="C165" s="102" t="inlineStr">
        <is>
          <t>Holiday Fund</t>
        </is>
      </c>
      <c r="D165" s="102" t="inlineStr">
        <is>
          <t>Savings</t>
        </is>
      </c>
      <c r="E165" s="97">
        <v>420.0</v>
      </c>
      <c r="F165" s="102" t="inlineStr">
        <is>
          <t>Joint</t>
        </is>
      </c>
      <c r="G165" s="102" t="inlineStr">
        <is>
          <t>Shared</t>
        </is>
      </c>
      <c r="H165" s="102" t="inlineStr">
        <is>
          <t>Auto transfer</t>
        </is>
      </c>
      <c r="I165" s="113">
        <f>IF($A165="","",MONTH($A165))</f>
        <v/>
      </c>
      <c r="J165" s="113">
        <f>IF($A165="","",YEAR($A165))</f>
        <v/>
      </c>
      <c r="K165" s="113">
        <f>IFERROR(INDEX(Setup!$I$7:$I$22,MATCH($C165,Setup!$D$7:$D$22,0)),"")</f>
        <v/>
      </c>
      <c r="L165" s="88" t="n"/>
      <c r="M165" s="88" t="n"/>
      <c r="N165" s="88" t="n"/>
      <c r="O165" s="88" t="n"/>
      <c r="P165" s="88" t="n"/>
      <c r="Q165" s="88" t="n"/>
      <c r="R165" s="88" t="n"/>
      <c r="S165" s="88" t="n"/>
      <c r="T165" s="88" t="n"/>
      <c r="U165" s="88" t="n"/>
      <c r="V165" s="88" t="n"/>
      <c r="W165" s="88" t="n"/>
      <c r="X165" s="88" t="n"/>
      <c r="Y165" s="88" t="n"/>
      <c r="Z165" s="88" t="n"/>
    </row>
    <row r="166" ht="15" customHeight="1" s="86">
      <c r="A166" s="109">
        <v>46236</v>
      </c>
      <c r="B166" s="110" t="inlineStr">
        <is>
          <t>Transfer</t>
        </is>
      </c>
      <c r="C166" s="111" t="inlineStr">
        <is>
          <t>New Car</t>
        </is>
      </c>
      <c r="D166" s="111" t="inlineStr">
        <is>
          <t>Savings</t>
        </is>
      </c>
      <c r="E166" s="112">
        <v>610.0</v>
      </c>
      <c r="F166" s="111" t="inlineStr">
        <is>
          <t>Joint</t>
        </is>
      </c>
      <c r="G166" s="111" t="inlineStr">
        <is>
          <t>Shared</t>
        </is>
      </c>
      <c r="H166" s="111" t="inlineStr">
        <is>
          <t>Auto transfer</t>
        </is>
      </c>
      <c r="I166" s="113">
        <f>IF($A166="","",MONTH($A166))</f>
        <v/>
      </c>
      <c r="J166" s="113">
        <f>IF($A166="","",YEAR($A166))</f>
        <v/>
      </c>
      <c r="K166" s="113">
        <f>IFERROR(INDEX(Setup!$I$7:$I$22,MATCH($C166,Setup!$D$7:$D$22,0)),"")</f>
        <v/>
      </c>
      <c r="L166" s="88" t="n"/>
      <c r="M166" s="88" t="n"/>
      <c r="N166" s="88" t="n"/>
      <c r="O166" s="88" t="n"/>
      <c r="P166" s="88" t="n"/>
      <c r="Q166" s="88" t="n"/>
      <c r="R166" s="88" t="n"/>
      <c r="S166" s="88" t="n"/>
      <c r="T166" s="88" t="n"/>
      <c r="U166" s="88" t="n"/>
      <c r="V166" s="88" t="n"/>
      <c r="W166" s="88" t="n"/>
      <c r="X166" s="88" t="n"/>
      <c r="Y166" s="88" t="n"/>
      <c r="Z166" s="88" t="n"/>
    </row>
    <row r="167" ht="15" customHeight="1" s="86">
      <c r="A167" s="107">
        <v>46237</v>
      </c>
      <c r="B167" s="95" t="inlineStr">
        <is>
          <t>Expense</t>
        </is>
      </c>
      <c r="C167" s="102" t="inlineStr">
        <is>
          <t>Insurance</t>
        </is>
      </c>
      <c r="D167" s="102" t="inlineStr">
        <is>
          <t>Checking</t>
        </is>
      </c>
      <c r="E167" s="97">
        <v>240.0</v>
      </c>
      <c r="F167" s="102" t="inlineStr">
        <is>
          <t>Joint</t>
        </is>
      </c>
      <c r="G167" s="102" t="inlineStr">
        <is>
          <t>Shared</t>
        </is>
      </c>
      <c r="H167" s="102" t="inlineStr">
        <is>
          <t>Home + car</t>
        </is>
      </c>
      <c r="I167" s="113">
        <f>IF($A167="","",MONTH($A167))</f>
        <v/>
      </c>
      <c r="J167" s="113">
        <f>IF($A167="","",YEAR($A167))</f>
        <v/>
      </c>
      <c r="K167" s="113">
        <f>IFERROR(INDEX(Setup!$I$7:$I$22,MATCH($C167,Setup!$D$7:$D$22,0)),"")</f>
        <v/>
      </c>
      <c r="L167" s="88" t="n"/>
      <c r="M167" s="88" t="n"/>
      <c r="N167" s="88" t="n"/>
      <c r="O167" s="88" t="n"/>
      <c r="P167" s="88" t="n"/>
      <c r="Q167" s="88" t="n"/>
      <c r="R167" s="88" t="n"/>
      <c r="S167" s="88" t="n"/>
      <c r="T167" s="88" t="n"/>
      <c r="U167" s="88" t="n"/>
      <c r="V167" s="88" t="n"/>
      <c r="W167" s="88" t="n"/>
      <c r="X167" s="88" t="n"/>
      <c r="Y167" s="88" t="n"/>
      <c r="Z167" s="88" t="n"/>
    </row>
    <row r="168" ht="15" customHeight="1" s="86">
      <c r="A168" s="109">
        <v>46238</v>
      </c>
      <c r="B168" s="110" t="inlineStr">
        <is>
          <t>Expense</t>
        </is>
      </c>
      <c r="C168" s="111" t="inlineStr">
        <is>
          <t>Utilities</t>
        </is>
      </c>
      <c r="D168" s="111" t="inlineStr">
        <is>
          <t>Checking</t>
        </is>
      </c>
      <c r="E168" s="112">
        <v>185.83</v>
      </c>
      <c r="F168" s="111" t="inlineStr">
        <is>
          <t>Sam</t>
        </is>
      </c>
      <c r="G168" s="111" t="inlineStr">
        <is>
          <t>Shared</t>
        </is>
      </c>
      <c r="H168" s="111" t="inlineStr">
        <is>
          <t>Electric and gas</t>
        </is>
      </c>
      <c r="I168" s="113">
        <f>IF($A168="","",MONTH($A168))</f>
        <v/>
      </c>
      <c r="J168" s="113">
        <f>IF($A168="","",YEAR($A168))</f>
        <v/>
      </c>
      <c r="K168" s="113">
        <f>IFERROR(INDEX(Setup!$I$7:$I$22,MATCH($C168,Setup!$D$7:$D$22,0)),"")</f>
        <v/>
      </c>
      <c r="L168" s="88" t="n"/>
      <c r="M168" s="88" t="n"/>
      <c r="N168" s="88" t="n"/>
      <c r="O168" s="88" t="n"/>
      <c r="P168" s="88" t="n"/>
      <c r="Q168" s="88" t="n"/>
      <c r="R168" s="88" t="n"/>
      <c r="S168" s="88" t="n"/>
      <c r="T168" s="88" t="n"/>
      <c r="U168" s="88" t="n"/>
      <c r="V168" s="88" t="n"/>
      <c r="W168" s="88" t="n"/>
      <c r="X168" s="88" t="n"/>
      <c r="Y168" s="88" t="n"/>
      <c r="Z168" s="88" t="n"/>
    </row>
    <row r="169" ht="15" customHeight="1" s="86">
      <c r="A169" s="107">
        <v>46240</v>
      </c>
      <c r="B169" s="95" t="inlineStr">
        <is>
          <t>Expense</t>
        </is>
      </c>
      <c r="C169" s="102" t="inlineStr">
        <is>
          <t>Groceries</t>
        </is>
      </c>
      <c r="D169" s="102" t="inlineStr">
        <is>
          <t>Credit Card</t>
        </is>
      </c>
      <c r="E169" s="97">
        <v>356.17</v>
      </c>
      <c r="F169" s="102" t="inlineStr">
        <is>
          <t>Sam</t>
        </is>
      </c>
      <c r="G169" s="102" t="inlineStr">
        <is>
          <t>Shared</t>
        </is>
      </c>
      <c r="H169" s="102" t="inlineStr">
        <is>
          <t>Weekly shop</t>
        </is>
      </c>
      <c r="I169" s="113">
        <f>IF($A169="","",MONTH($A169))</f>
        <v/>
      </c>
      <c r="J169" s="113">
        <f>IF($A169="","",YEAR($A169))</f>
        <v/>
      </c>
      <c r="K169" s="113">
        <f>IFERROR(INDEX(Setup!$I$7:$I$22,MATCH($C169,Setup!$D$7:$D$22,0)),"")</f>
        <v/>
      </c>
      <c r="L169" s="88" t="n"/>
      <c r="M169" s="88" t="n"/>
      <c r="N169" s="88" t="n"/>
      <c r="O169" s="88" t="n"/>
      <c r="P169" s="88" t="n"/>
      <c r="Q169" s="88" t="n"/>
      <c r="R169" s="88" t="n"/>
      <c r="S169" s="88" t="n"/>
      <c r="T169" s="88" t="n"/>
      <c r="U169" s="88" t="n"/>
      <c r="V169" s="88" t="n"/>
      <c r="W169" s="88" t="n"/>
      <c r="X169" s="88" t="n"/>
      <c r="Y169" s="88" t="n"/>
      <c r="Z169" s="88" t="n"/>
    </row>
    <row r="170" ht="15" customHeight="1" s="86">
      <c r="A170" s="109">
        <v>46241</v>
      </c>
      <c r="B170" s="110" t="inlineStr">
        <is>
          <t>Expense</t>
        </is>
      </c>
      <c r="C170" s="111" t="inlineStr">
        <is>
          <t>Subscriptions</t>
        </is>
      </c>
      <c r="D170" s="111" t="inlineStr">
        <is>
          <t>Credit Card</t>
        </is>
      </c>
      <c r="E170" s="112">
        <v>46.99</v>
      </c>
      <c r="F170" s="111" t="inlineStr">
        <is>
          <t>Alex</t>
        </is>
      </c>
      <c r="G170" s="111" t="inlineStr">
        <is>
          <t>Shared</t>
        </is>
      </c>
      <c r="H170" s="111" t="inlineStr">
        <is>
          <t>Streaming + cloud</t>
        </is>
      </c>
      <c r="I170" s="113">
        <f>IF($A170="","",MONTH($A170))</f>
        <v/>
      </c>
      <c r="J170" s="113">
        <f>IF($A170="","",YEAR($A170))</f>
        <v/>
      </c>
      <c r="K170" s="113">
        <f>IFERROR(INDEX(Setup!$I$7:$I$22,MATCH($C170,Setup!$D$7:$D$22,0)),"")</f>
        <v/>
      </c>
      <c r="L170" s="88" t="n"/>
      <c r="M170" s="88" t="n"/>
      <c r="N170" s="88" t="n"/>
      <c r="O170" s="88" t="n"/>
      <c r="P170" s="88" t="n"/>
      <c r="Q170" s="88" t="n"/>
      <c r="R170" s="88" t="n"/>
      <c r="S170" s="88" t="n"/>
      <c r="T170" s="88" t="n"/>
      <c r="U170" s="88" t="n"/>
      <c r="V170" s="88" t="n"/>
      <c r="W170" s="88" t="n"/>
      <c r="X170" s="88" t="n"/>
      <c r="Y170" s="88" t="n"/>
      <c r="Z170" s="88" t="n"/>
    </row>
    <row r="171" ht="15" customHeight="1" s="86">
      <c r="A171" s="107">
        <v>46242</v>
      </c>
      <c r="B171" s="95" t="inlineStr">
        <is>
          <t>Expense</t>
        </is>
      </c>
      <c r="C171" s="102" t="inlineStr">
        <is>
          <t>Phone and Internet</t>
        </is>
      </c>
      <c r="D171" s="102" t="inlineStr">
        <is>
          <t>Checking</t>
        </is>
      </c>
      <c r="E171" s="97">
        <v>110.0</v>
      </c>
      <c r="F171" s="102" t="inlineStr">
        <is>
          <t>Sam</t>
        </is>
      </c>
      <c r="G171" s="102" t="inlineStr">
        <is>
          <t>Shared</t>
        </is>
      </c>
      <c r="H171" s="102" t="inlineStr">
        <is>
          <t>Fibre + mobiles</t>
        </is>
      </c>
      <c r="I171" s="113">
        <f>IF($A171="","",MONTH($A171))</f>
        <v/>
      </c>
      <c r="J171" s="113">
        <f>IF($A171="","",YEAR($A171))</f>
        <v/>
      </c>
      <c r="K171" s="113">
        <f>IFERROR(INDEX(Setup!$I$7:$I$22,MATCH($C171,Setup!$D$7:$D$22,0)),"")</f>
        <v/>
      </c>
      <c r="L171" s="88" t="n"/>
      <c r="M171" s="88" t="n"/>
      <c r="N171" s="88" t="n"/>
      <c r="O171" s="88" t="n"/>
      <c r="P171" s="88" t="n"/>
      <c r="Q171" s="88" t="n"/>
      <c r="R171" s="88" t="n"/>
      <c r="S171" s="88" t="n"/>
      <c r="T171" s="88" t="n"/>
      <c r="U171" s="88" t="n"/>
      <c r="V171" s="88" t="n"/>
      <c r="W171" s="88" t="n"/>
      <c r="X171" s="88" t="n"/>
      <c r="Y171" s="88" t="n"/>
      <c r="Z171" s="88" t="n"/>
    </row>
    <row r="172" ht="15" customHeight="1" s="86">
      <c r="A172" s="109">
        <v>46243</v>
      </c>
      <c r="B172" s="110" t="inlineStr">
        <is>
          <t>Expense</t>
        </is>
      </c>
      <c r="C172" s="111" t="inlineStr">
        <is>
          <t>Transport</t>
        </is>
      </c>
      <c r="D172" s="111" t="inlineStr">
        <is>
          <t>Credit Card</t>
        </is>
      </c>
      <c r="E172" s="112">
        <v>176.58</v>
      </c>
      <c r="F172" s="111" t="inlineStr">
        <is>
          <t>Alex</t>
        </is>
      </c>
      <c r="G172" s="111" t="inlineStr">
        <is>
          <t>Shared</t>
        </is>
      </c>
      <c r="H172" s="111" t="inlineStr">
        <is>
          <t>Fuel and transit</t>
        </is>
      </c>
      <c r="I172" s="113">
        <f>IF($A172="","",MONTH($A172))</f>
        <v/>
      </c>
      <c r="J172" s="113">
        <f>IF($A172="","",YEAR($A172))</f>
        <v/>
      </c>
      <c r="K172" s="113">
        <f>IFERROR(INDEX(Setup!$I$7:$I$22,MATCH($C172,Setup!$D$7:$D$22,0)),"")</f>
        <v/>
      </c>
      <c r="L172" s="88" t="n"/>
      <c r="M172" s="88" t="n"/>
      <c r="N172" s="88" t="n"/>
      <c r="O172" s="88" t="n"/>
      <c r="P172" s="88" t="n"/>
      <c r="Q172" s="88" t="n"/>
      <c r="R172" s="88" t="n"/>
      <c r="S172" s="88" t="n"/>
      <c r="T172" s="88" t="n"/>
      <c r="U172" s="88" t="n"/>
      <c r="V172" s="88" t="n"/>
      <c r="W172" s="88" t="n"/>
      <c r="X172" s="88" t="n"/>
      <c r="Y172" s="88" t="n"/>
      <c r="Z172" s="88" t="n"/>
    </row>
    <row r="173" ht="15" customHeight="1" s="86">
      <c r="A173" s="107">
        <v>46245</v>
      </c>
      <c r="B173" s="95" t="inlineStr">
        <is>
          <t>Expense</t>
        </is>
      </c>
      <c r="C173" s="102" t="inlineStr">
        <is>
          <t>Dining out</t>
        </is>
      </c>
      <c r="D173" s="102" t="inlineStr">
        <is>
          <t>Credit Card</t>
        </is>
      </c>
      <c r="E173" s="97">
        <v>88.45</v>
      </c>
      <c r="F173" s="102" t="inlineStr">
        <is>
          <t>Alex</t>
        </is>
      </c>
      <c r="G173" s="102" t="inlineStr">
        <is>
          <t>Shared</t>
        </is>
      </c>
      <c r="H173" s="102" t="inlineStr">
        <is>
          <t>Date night</t>
        </is>
      </c>
      <c r="I173" s="113">
        <f>IF($A173="","",MONTH($A173))</f>
        <v/>
      </c>
      <c r="J173" s="113">
        <f>IF($A173="","",YEAR($A173))</f>
        <v/>
      </c>
      <c r="K173" s="113">
        <f>IFERROR(INDEX(Setup!$I$7:$I$22,MATCH($C173,Setup!$D$7:$D$22,0)),"")</f>
        <v/>
      </c>
      <c r="L173" s="88" t="n"/>
      <c r="M173" s="88" t="n"/>
      <c r="N173" s="88" t="n"/>
      <c r="O173" s="88" t="n"/>
      <c r="P173" s="88" t="n"/>
      <c r="Q173" s="88" t="n"/>
      <c r="R173" s="88" t="n"/>
      <c r="S173" s="88" t="n"/>
      <c r="T173" s="88" t="n"/>
      <c r="U173" s="88" t="n"/>
      <c r="V173" s="88" t="n"/>
      <c r="W173" s="88" t="n"/>
      <c r="X173" s="88" t="n"/>
      <c r="Y173" s="88" t="n"/>
      <c r="Z173" s="88" t="n"/>
    </row>
    <row r="174" ht="15" customHeight="1" s="86">
      <c r="A174" s="109">
        <v>46246</v>
      </c>
      <c r="B174" s="110" t="inlineStr">
        <is>
          <t>Expense</t>
        </is>
      </c>
      <c r="C174" s="111" t="inlineStr">
        <is>
          <t>Debt</t>
        </is>
      </c>
      <c r="D174" s="111" t="inlineStr">
        <is>
          <t>Checking</t>
        </is>
      </c>
      <c r="E174" s="112">
        <v>420.0</v>
      </c>
      <c r="F174" s="111" t="inlineStr">
        <is>
          <t>Joint</t>
        </is>
      </c>
      <c r="G174" s="111" t="inlineStr">
        <is>
          <t>Shared</t>
        </is>
      </c>
      <c r="H174" s="111" t="inlineStr">
        <is>
          <t>Car loan</t>
        </is>
      </c>
      <c r="I174" s="113">
        <f>IF($A174="","",MONTH($A174))</f>
        <v/>
      </c>
      <c r="J174" s="113">
        <f>IF($A174="","",YEAR($A174))</f>
        <v/>
      </c>
      <c r="K174" s="113">
        <f>IFERROR(INDEX(Setup!$I$7:$I$22,MATCH($C174,Setup!$D$7:$D$22,0)),"")</f>
        <v/>
      </c>
      <c r="L174" s="88" t="n"/>
      <c r="M174" s="88" t="n"/>
      <c r="N174" s="88" t="n"/>
      <c r="O174" s="88" t="n"/>
      <c r="P174" s="88" t="n"/>
      <c r="Q174" s="88" t="n"/>
      <c r="R174" s="88" t="n"/>
      <c r="S174" s="88" t="n"/>
      <c r="T174" s="88" t="n"/>
      <c r="U174" s="88" t="n"/>
      <c r="V174" s="88" t="n"/>
      <c r="W174" s="88" t="n"/>
      <c r="X174" s="88" t="n"/>
      <c r="Y174" s="88" t="n"/>
      <c r="Z174" s="88" t="n"/>
    </row>
    <row r="175" ht="15" customHeight="1" s="86">
      <c r="A175" s="107">
        <v>46249</v>
      </c>
      <c r="B175" s="95" t="inlineStr">
        <is>
          <t>Expense</t>
        </is>
      </c>
      <c r="C175" s="102" t="inlineStr">
        <is>
          <t>Shopping</t>
        </is>
      </c>
      <c r="D175" s="102" t="inlineStr">
        <is>
          <t>Credit Card</t>
        </is>
      </c>
      <c r="E175" s="97">
        <v>139.59</v>
      </c>
      <c r="F175" s="102" t="inlineStr">
        <is>
          <t>Alex</t>
        </is>
      </c>
      <c r="G175" s="102" t="inlineStr">
        <is>
          <t>Personal</t>
        </is>
      </c>
      <c r="H175" s="102" t="inlineStr">
        <is>
          <t>Clothes</t>
        </is>
      </c>
      <c r="I175" s="113">
        <f>IF($A175="","",MONTH($A175))</f>
        <v/>
      </c>
      <c r="J175" s="113">
        <f>IF($A175="","",YEAR($A175))</f>
        <v/>
      </c>
      <c r="K175" s="113">
        <f>IFERROR(INDEX(Setup!$I$7:$I$22,MATCH($C175,Setup!$D$7:$D$22,0)),"")</f>
        <v/>
      </c>
      <c r="L175" s="88" t="n"/>
      <c r="M175" s="88" t="n"/>
      <c r="N175" s="88" t="n"/>
      <c r="O175" s="88" t="n"/>
      <c r="P175" s="88" t="n"/>
      <c r="Q175" s="88" t="n"/>
      <c r="R175" s="88" t="n"/>
      <c r="S175" s="88" t="n"/>
      <c r="T175" s="88" t="n"/>
      <c r="U175" s="88" t="n"/>
      <c r="V175" s="88" t="n"/>
      <c r="W175" s="88" t="n"/>
      <c r="X175" s="88" t="n"/>
      <c r="Y175" s="88" t="n"/>
      <c r="Z175" s="88" t="n"/>
    </row>
    <row r="176" ht="15" customHeight="1" s="86">
      <c r="A176" s="109">
        <v>46250</v>
      </c>
      <c r="B176" s="110" t="inlineStr">
        <is>
          <t>Expense</t>
        </is>
      </c>
      <c r="C176" s="111" t="inlineStr">
        <is>
          <t>Shopping</t>
        </is>
      </c>
      <c r="D176" s="111" t="inlineStr">
        <is>
          <t>Credit Card</t>
        </is>
      </c>
      <c r="E176" s="112">
        <v>119.36</v>
      </c>
      <c r="F176" s="111" t="inlineStr">
        <is>
          <t>Sam</t>
        </is>
      </c>
      <c r="G176" s="111" t="inlineStr">
        <is>
          <t>Personal</t>
        </is>
      </c>
      <c r="H176" s="111" t="inlineStr">
        <is>
          <t>Clothes</t>
        </is>
      </c>
      <c r="I176" s="113">
        <f>IF($A176="","",MONTH($A176))</f>
        <v/>
      </c>
      <c r="J176" s="113">
        <f>IF($A176="","",YEAR($A176))</f>
        <v/>
      </c>
      <c r="K176" s="113">
        <f>IFERROR(INDEX(Setup!$I$7:$I$22,MATCH($C176,Setup!$D$7:$D$22,0)),"")</f>
        <v/>
      </c>
      <c r="L176" s="88" t="n"/>
      <c r="M176" s="88" t="n"/>
      <c r="N176" s="88" t="n"/>
      <c r="O176" s="88" t="n"/>
      <c r="P176" s="88" t="n"/>
      <c r="Q176" s="88" t="n"/>
      <c r="R176" s="88" t="n"/>
      <c r="S176" s="88" t="n"/>
      <c r="T176" s="88" t="n"/>
      <c r="U176" s="88" t="n"/>
      <c r="V176" s="88" t="n"/>
      <c r="W176" s="88" t="n"/>
      <c r="X176" s="88" t="n"/>
      <c r="Y176" s="88" t="n"/>
      <c r="Z176" s="88" t="n"/>
    </row>
    <row r="177" ht="15" customHeight="1" s="86">
      <c r="A177" s="107">
        <v>46253</v>
      </c>
      <c r="B177" s="95" t="inlineStr">
        <is>
          <t>Expense</t>
        </is>
      </c>
      <c r="C177" s="102" t="inlineStr">
        <is>
          <t>Groceries</t>
        </is>
      </c>
      <c r="D177" s="102" t="inlineStr">
        <is>
          <t>Credit Card</t>
        </is>
      </c>
      <c r="E177" s="97">
        <v>343.3</v>
      </c>
      <c r="F177" s="102" t="inlineStr">
        <is>
          <t>Sam</t>
        </is>
      </c>
      <c r="G177" s="102" t="inlineStr">
        <is>
          <t>Shared</t>
        </is>
      </c>
      <c r="H177" s="102" t="inlineStr">
        <is>
          <t>Weekly shop</t>
        </is>
      </c>
      <c r="I177" s="113">
        <f>IF($A177="","",MONTH($A177))</f>
        <v/>
      </c>
      <c r="J177" s="113">
        <f>IF($A177="","",YEAR($A177))</f>
        <v/>
      </c>
      <c r="K177" s="113">
        <f>IFERROR(INDEX(Setup!$I$7:$I$22,MATCH($C177,Setup!$D$7:$D$22,0)),"")</f>
        <v/>
      </c>
      <c r="L177" s="88" t="n"/>
      <c r="M177" s="88" t="n"/>
      <c r="N177" s="88" t="n"/>
      <c r="O177" s="88" t="n"/>
      <c r="P177" s="88" t="n"/>
      <c r="Q177" s="88" t="n"/>
      <c r="R177" s="88" t="n"/>
      <c r="S177" s="88" t="n"/>
      <c r="T177" s="88" t="n"/>
      <c r="U177" s="88" t="n"/>
      <c r="V177" s="88" t="n"/>
      <c r="W177" s="88" t="n"/>
      <c r="X177" s="88" t="n"/>
      <c r="Y177" s="88" t="n"/>
      <c r="Z177" s="88" t="n"/>
    </row>
    <row r="178" ht="15" customHeight="1" s="86">
      <c r="A178" s="109">
        <v>46255</v>
      </c>
      <c r="B178" s="110" t="inlineStr">
        <is>
          <t>Expense</t>
        </is>
      </c>
      <c r="C178" s="111" t="inlineStr">
        <is>
          <t>Fun and Leisure</t>
        </is>
      </c>
      <c r="D178" s="111" t="inlineStr">
        <is>
          <t>Credit Card</t>
        </is>
      </c>
      <c r="E178" s="112">
        <v>146.19</v>
      </c>
      <c r="F178" s="111" t="inlineStr">
        <is>
          <t>Alex</t>
        </is>
      </c>
      <c r="G178" s="111" t="inlineStr">
        <is>
          <t>Personal</t>
        </is>
      </c>
      <c r="H178" s="111" t="inlineStr">
        <is>
          <t>Gym + hobbies</t>
        </is>
      </c>
      <c r="I178" s="113">
        <f>IF($A178="","",MONTH($A178))</f>
        <v/>
      </c>
      <c r="J178" s="113">
        <f>IF($A178="","",YEAR($A178))</f>
        <v/>
      </c>
      <c r="K178" s="113">
        <f>IFERROR(INDEX(Setup!$I$7:$I$22,MATCH($C178,Setup!$D$7:$D$22,0)),"")</f>
        <v/>
      </c>
      <c r="L178" s="88" t="n"/>
      <c r="M178" s="88" t="n"/>
      <c r="N178" s="88" t="n"/>
      <c r="O178" s="88" t="n"/>
      <c r="P178" s="88" t="n"/>
      <c r="Q178" s="88" t="n"/>
      <c r="R178" s="88" t="n"/>
      <c r="S178" s="88" t="n"/>
      <c r="T178" s="88" t="n"/>
      <c r="U178" s="88" t="n"/>
      <c r="V178" s="88" t="n"/>
      <c r="W178" s="88" t="n"/>
      <c r="X178" s="88" t="n"/>
      <c r="Y178" s="88" t="n"/>
      <c r="Z178" s="88" t="n"/>
    </row>
    <row r="179" ht="15" customHeight="1" s="86">
      <c r="A179" s="107">
        <v>46256</v>
      </c>
      <c r="B179" s="95" t="inlineStr">
        <is>
          <t>Expense</t>
        </is>
      </c>
      <c r="C179" s="102" t="inlineStr">
        <is>
          <t>Fun and Leisure</t>
        </is>
      </c>
      <c r="D179" s="102" t="inlineStr">
        <is>
          <t>Credit Card</t>
        </is>
      </c>
      <c r="E179" s="97">
        <v>155.11</v>
      </c>
      <c r="F179" s="102" t="inlineStr">
        <is>
          <t>Sam</t>
        </is>
      </c>
      <c r="G179" s="102" t="inlineStr">
        <is>
          <t>Personal</t>
        </is>
      </c>
      <c r="H179" s="102" t="inlineStr">
        <is>
          <t>Gym + hobbies</t>
        </is>
      </c>
      <c r="I179" s="113">
        <f>IF($A179="","",MONTH($A179))</f>
        <v/>
      </c>
      <c r="J179" s="113">
        <f>IF($A179="","",YEAR($A179))</f>
        <v/>
      </c>
      <c r="K179" s="113">
        <f>IFERROR(INDEX(Setup!$I$7:$I$22,MATCH($C179,Setup!$D$7:$D$22,0)),"")</f>
        <v/>
      </c>
      <c r="L179" s="88" t="n"/>
      <c r="M179" s="88" t="n"/>
      <c r="N179" s="88" t="n"/>
      <c r="O179" s="88" t="n"/>
      <c r="P179" s="88" t="n"/>
      <c r="Q179" s="88" t="n"/>
      <c r="R179" s="88" t="n"/>
      <c r="S179" s="88" t="n"/>
      <c r="T179" s="88" t="n"/>
      <c r="U179" s="88" t="n"/>
      <c r="V179" s="88" t="n"/>
      <c r="W179" s="88" t="n"/>
      <c r="X179" s="88" t="n"/>
      <c r="Y179" s="88" t="n"/>
      <c r="Z179" s="88" t="n"/>
    </row>
    <row r="180" ht="15" customHeight="1" s="86">
      <c r="A180" s="109">
        <v>46257</v>
      </c>
      <c r="B180" s="110" t="inlineStr">
        <is>
          <t>Expense</t>
        </is>
      </c>
      <c r="C180" s="111" t="inlineStr">
        <is>
          <t>Transport</t>
        </is>
      </c>
      <c r="D180" s="111" t="inlineStr">
        <is>
          <t>Credit Card</t>
        </is>
      </c>
      <c r="E180" s="112">
        <v>171.54</v>
      </c>
      <c r="F180" s="111" t="inlineStr">
        <is>
          <t>Sam</t>
        </is>
      </c>
      <c r="G180" s="111" t="inlineStr">
        <is>
          <t>Shared</t>
        </is>
      </c>
      <c r="H180" s="111" t="inlineStr">
        <is>
          <t>Fuel and transit</t>
        </is>
      </c>
      <c r="I180" s="113">
        <f>IF($A180="","",MONTH($A180))</f>
        <v/>
      </c>
      <c r="J180" s="113">
        <f>IF($A180="","",YEAR($A180))</f>
        <v/>
      </c>
      <c r="K180" s="113">
        <f>IFERROR(INDEX(Setup!$I$7:$I$22,MATCH($C180,Setup!$D$7:$D$22,0)),"")</f>
        <v/>
      </c>
      <c r="L180" s="88" t="n"/>
      <c r="M180" s="88" t="n"/>
      <c r="N180" s="88" t="n"/>
      <c r="O180" s="88" t="n"/>
      <c r="P180" s="88" t="n"/>
      <c r="Q180" s="88" t="n"/>
      <c r="R180" s="88" t="n"/>
      <c r="S180" s="88" t="n"/>
      <c r="T180" s="88" t="n"/>
      <c r="U180" s="88" t="n"/>
      <c r="V180" s="88" t="n"/>
      <c r="W180" s="88" t="n"/>
      <c r="X180" s="88" t="n"/>
      <c r="Y180" s="88" t="n"/>
      <c r="Z180" s="88" t="n"/>
    </row>
    <row r="181" ht="15" customHeight="1" s="86">
      <c r="A181" s="107">
        <v>46258</v>
      </c>
      <c r="B181" s="95" t="inlineStr">
        <is>
          <t>Expense</t>
        </is>
      </c>
      <c r="C181" s="102" t="inlineStr">
        <is>
          <t>Dining out</t>
        </is>
      </c>
      <c r="D181" s="102" t="inlineStr">
        <is>
          <t>Credit Card</t>
        </is>
      </c>
      <c r="E181" s="97">
        <v>103.77</v>
      </c>
      <c r="F181" s="102" t="inlineStr">
        <is>
          <t>Sam</t>
        </is>
      </c>
      <c r="G181" s="102" t="inlineStr">
        <is>
          <t>Shared</t>
        </is>
      </c>
      <c r="H181" s="102" t="inlineStr">
        <is>
          <t>Lunch out</t>
        </is>
      </c>
      <c r="I181" s="113">
        <f>IF($A181="","",MONTH($A181))</f>
        <v/>
      </c>
      <c r="J181" s="113">
        <f>IF($A181="","",YEAR($A181))</f>
        <v/>
      </c>
      <c r="K181" s="113">
        <f>IFERROR(INDEX(Setup!$I$7:$I$22,MATCH($C181,Setup!$D$7:$D$22,0)),"")</f>
        <v/>
      </c>
      <c r="L181" s="88" t="n"/>
      <c r="M181" s="88" t="n"/>
      <c r="N181" s="88" t="n"/>
      <c r="O181" s="88" t="n"/>
      <c r="P181" s="88" t="n"/>
      <c r="Q181" s="88" t="n"/>
      <c r="R181" s="88" t="n"/>
      <c r="S181" s="88" t="n"/>
      <c r="T181" s="88" t="n"/>
      <c r="U181" s="88" t="n"/>
      <c r="V181" s="88" t="n"/>
      <c r="W181" s="88" t="n"/>
      <c r="X181" s="88" t="n"/>
      <c r="Y181" s="88" t="n"/>
      <c r="Z181" s="88" t="n"/>
    </row>
    <row r="182" ht="15" customHeight="1" s="86">
      <c r="A182" s="109">
        <v>46260</v>
      </c>
      <c r="B182" s="110" t="inlineStr">
        <is>
          <t>Expense</t>
        </is>
      </c>
      <c r="C182" s="111" t="inlineStr">
        <is>
          <t>Fun and Leisure</t>
        </is>
      </c>
      <c r="D182" s="111" t="inlineStr">
        <is>
          <t>Credit Card</t>
        </is>
      </c>
      <c r="E182" s="112">
        <v>780</v>
      </c>
      <c r="F182" s="111" t="inlineStr">
        <is>
          <t>Joint</t>
        </is>
      </c>
      <c r="G182" s="111" t="inlineStr">
        <is>
          <t>Shared</t>
        </is>
      </c>
      <c r="H182" s="111" t="inlineStr">
        <is>
          <t>Weekend away</t>
        </is>
      </c>
      <c r="I182" s="113">
        <f>IF($A182="","",MONTH($A182))</f>
        <v/>
      </c>
      <c r="J182" s="113">
        <f>IF($A182="","",YEAR($A182))</f>
        <v/>
      </c>
      <c r="K182" s="113">
        <f>IFERROR(INDEX(Setup!$I$7:$I$22,MATCH($C182,Setup!$D$7:$D$22,0)),"")</f>
        <v/>
      </c>
      <c r="L182" s="88" t="n"/>
      <c r="M182" s="88" t="n"/>
      <c r="N182" s="88" t="n"/>
      <c r="O182" s="88" t="n"/>
      <c r="P182" s="88" t="n"/>
      <c r="Q182" s="88" t="n"/>
      <c r="R182" s="88" t="n"/>
      <c r="S182" s="88" t="n"/>
      <c r="T182" s="88" t="n"/>
      <c r="U182" s="88" t="n"/>
      <c r="V182" s="88" t="n"/>
      <c r="W182" s="88" t="n"/>
      <c r="X182" s="88" t="n"/>
      <c r="Y182" s="88" t="n"/>
      <c r="Z182" s="88" t="n"/>
    </row>
    <row r="183" ht="15" customHeight="1" s="86">
      <c r="A183" s="107">
        <v>46266</v>
      </c>
      <c r="B183" s="95" t="inlineStr">
        <is>
          <t>Income</t>
        </is>
      </c>
      <c r="C183" s="102" t="inlineStr">
        <is>
          <t>Salary</t>
        </is>
      </c>
      <c r="D183" s="102" t="inlineStr">
        <is>
          <t>Checking</t>
        </is>
      </c>
      <c r="E183" s="97">
        <v>5200</v>
      </c>
      <c r="F183" s="102" t="inlineStr">
        <is>
          <t>Alex</t>
        </is>
      </c>
      <c r="G183" s="102" t="inlineStr">
        <is>
          <t>Personal</t>
        </is>
      </c>
      <c r="H183" s="102" t="inlineStr">
        <is>
          <t>Monthly pay</t>
        </is>
      </c>
      <c r="I183" s="113">
        <f>IF($A183="","",MONTH($A183))</f>
        <v/>
      </c>
      <c r="J183" s="113">
        <f>IF($A183="","",YEAR($A183))</f>
        <v/>
      </c>
      <c r="K183" s="113">
        <f>IFERROR(INDEX(Setup!$I$7:$I$22,MATCH($C183,Setup!$D$7:$D$22,0)),"")</f>
        <v/>
      </c>
      <c r="L183" s="88" t="n"/>
      <c r="M183" s="88" t="n"/>
      <c r="N183" s="88" t="n"/>
      <c r="O183" s="88" t="n"/>
      <c r="P183" s="88" t="n"/>
      <c r="Q183" s="88" t="n"/>
      <c r="R183" s="88" t="n"/>
      <c r="S183" s="88" t="n"/>
      <c r="T183" s="88" t="n"/>
      <c r="U183" s="88" t="n"/>
      <c r="V183" s="88" t="n"/>
      <c r="W183" s="88" t="n"/>
      <c r="X183" s="88" t="n"/>
      <c r="Y183" s="88" t="n"/>
      <c r="Z183" s="88" t="n"/>
    </row>
    <row r="184" ht="15" customHeight="1" s="86">
      <c r="A184" s="109">
        <v>46266</v>
      </c>
      <c r="B184" s="110" t="inlineStr">
        <is>
          <t>Income</t>
        </is>
      </c>
      <c r="C184" s="111" t="inlineStr">
        <is>
          <t>Salary</t>
        </is>
      </c>
      <c r="D184" s="111" t="inlineStr">
        <is>
          <t>Checking</t>
        </is>
      </c>
      <c r="E184" s="112">
        <v>3800</v>
      </c>
      <c r="F184" s="111" t="inlineStr">
        <is>
          <t>Sam</t>
        </is>
      </c>
      <c r="G184" s="111" t="inlineStr">
        <is>
          <t>Personal</t>
        </is>
      </c>
      <c r="H184" s="111" t="inlineStr">
        <is>
          <t>Monthly pay</t>
        </is>
      </c>
      <c r="I184" s="113">
        <f>IF($A184="","",MONTH($A184))</f>
        <v/>
      </c>
      <c r="J184" s="113">
        <f>IF($A184="","",YEAR($A184))</f>
        <v/>
      </c>
      <c r="K184" s="113">
        <f>IFERROR(INDEX(Setup!$I$7:$I$22,MATCH($C184,Setup!$D$7:$D$22,0)),"")</f>
        <v/>
      </c>
      <c r="L184" s="88" t="n"/>
      <c r="M184" s="88" t="n"/>
      <c r="N184" s="88" t="n"/>
      <c r="O184" s="88" t="n"/>
      <c r="P184" s="88" t="n"/>
      <c r="Q184" s="88" t="n"/>
      <c r="R184" s="88" t="n"/>
      <c r="S184" s="88" t="n"/>
      <c r="T184" s="88" t="n"/>
      <c r="U184" s="88" t="n"/>
      <c r="V184" s="88" t="n"/>
      <c r="W184" s="88" t="n"/>
      <c r="X184" s="88" t="n"/>
      <c r="Y184" s="88" t="n"/>
      <c r="Z184" s="88" t="n"/>
    </row>
    <row r="185" ht="15" customHeight="1" s="86">
      <c r="A185" s="107">
        <v>46266</v>
      </c>
      <c r="B185" s="95" t="inlineStr">
        <is>
          <t>Expense</t>
        </is>
      </c>
      <c r="C185" s="102" t="inlineStr">
        <is>
          <t>Rent or Mortgage</t>
        </is>
      </c>
      <c r="D185" s="102" t="inlineStr">
        <is>
          <t>Checking</t>
        </is>
      </c>
      <c r="E185" s="97">
        <v>2400.0</v>
      </c>
      <c r="F185" s="102" t="inlineStr">
        <is>
          <t>Alex</t>
        </is>
      </c>
      <c r="G185" s="102" t="inlineStr">
        <is>
          <t>Shared</t>
        </is>
      </c>
      <c r="H185" s="102" t="inlineStr">
        <is>
          <t>Rent</t>
        </is>
      </c>
      <c r="I185" s="113">
        <f>IF($A185="","",MONTH($A185))</f>
        <v/>
      </c>
      <c r="J185" s="113">
        <f>IF($A185="","",YEAR($A185))</f>
        <v/>
      </c>
      <c r="K185" s="113">
        <f>IFERROR(INDEX(Setup!$I$7:$I$22,MATCH($C185,Setup!$D$7:$D$22,0)),"")</f>
        <v/>
      </c>
      <c r="L185" s="88" t="n"/>
      <c r="M185" s="88" t="n"/>
      <c r="N185" s="88" t="n"/>
      <c r="O185" s="88" t="n"/>
      <c r="P185" s="88" t="n"/>
      <c r="Q185" s="88" t="n"/>
      <c r="R185" s="88" t="n"/>
      <c r="S185" s="88" t="n"/>
      <c r="T185" s="88" t="n"/>
      <c r="U185" s="88" t="n"/>
      <c r="V185" s="88" t="n"/>
      <c r="W185" s="88" t="n"/>
      <c r="X185" s="88" t="n"/>
      <c r="Y185" s="88" t="n"/>
      <c r="Z185" s="88" t="n"/>
    </row>
    <row r="186" ht="15" customHeight="1" s="86">
      <c r="A186" s="109">
        <v>46267</v>
      </c>
      <c r="B186" s="110" t="inlineStr">
        <is>
          <t>Transfer</t>
        </is>
      </c>
      <c r="C186" s="111" t="inlineStr">
        <is>
          <t>Emergency Fund</t>
        </is>
      </c>
      <c r="D186" s="111" t="inlineStr">
        <is>
          <t>Savings</t>
        </is>
      </c>
      <c r="E186" s="112">
        <v>850.0</v>
      </c>
      <c r="F186" s="111" t="inlineStr">
        <is>
          <t>Joint</t>
        </is>
      </c>
      <c r="G186" s="111" t="inlineStr">
        <is>
          <t>Shared</t>
        </is>
      </c>
      <c r="H186" s="111" t="inlineStr">
        <is>
          <t>Auto transfer</t>
        </is>
      </c>
      <c r="I186" s="113">
        <f>IF($A186="","",MONTH($A186))</f>
        <v/>
      </c>
      <c r="J186" s="113">
        <f>IF($A186="","",YEAR($A186))</f>
        <v/>
      </c>
      <c r="K186" s="113">
        <f>IFERROR(INDEX(Setup!$I$7:$I$22,MATCH($C186,Setup!$D$7:$D$22,0)),"")</f>
        <v/>
      </c>
      <c r="L186" s="88" t="n"/>
      <c r="M186" s="88" t="n"/>
      <c r="N186" s="88" t="n"/>
      <c r="O186" s="88" t="n"/>
      <c r="P186" s="88" t="n"/>
      <c r="Q186" s="88" t="n"/>
      <c r="R186" s="88" t="n"/>
      <c r="S186" s="88" t="n"/>
      <c r="T186" s="88" t="n"/>
      <c r="U186" s="88" t="n"/>
      <c r="V186" s="88" t="n"/>
      <c r="W186" s="88" t="n"/>
      <c r="X186" s="88" t="n"/>
      <c r="Y186" s="88" t="n"/>
      <c r="Z186" s="88" t="n"/>
    </row>
    <row r="187" ht="15" customHeight="1" s="86">
      <c r="A187" s="107">
        <v>46267</v>
      </c>
      <c r="B187" s="95" t="inlineStr">
        <is>
          <t>Transfer</t>
        </is>
      </c>
      <c r="C187" s="102" t="inlineStr">
        <is>
          <t>Holiday Fund</t>
        </is>
      </c>
      <c r="D187" s="102" t="inlineStr">
        <is>
          <t>Savings</t>
        </is>
      </c>
      <c r="E187" s="97">
        <v>420.0</v>
      </c>
      <c r="F187" s="102" t="inlineStr">
        <is>
          <t>Joint</t>
        </is>
      </c>
      <c r="G187" s="102" t="inlineStr">
        <is>
          <t>Shared</t>
        </is>
      </c>
      <c r="H187" s="102" t="inlineStr">
        <is>
          <t>Auto transfer</t>
        </is>
      </c>
      <c r="I187" s="113">
        <f>IF($A187="","",MONTH($A187))</f>
        <v/>
      </c>
      <c r="J187" s="113">
        <f>IF($A187="","",YEAR($A187))</f>
        <v/>
      </c>
      <c r="K187" s="113">
        <f>IFERROR(INDEX(Setup!$I$7:$I$22,MATCH($C187,Setup!$D$7:$D$22,0)),"")</f>
        <v/>
      </c>
      <c r="L187" s="88" t="n"/>
      <c r="M187" s="88" t="n"/>
      <c r="N187" s="88" t="n"/>
      <c r="O187" s="88" t="n"/>
      <c r="P187" s="88" t="n"/>
      <c r="Q187" s="88" t="n"/>
      <c r="R187" s="88" t="n"/>
      <c r="S187" s="88" t="n"/>
      <c r="T187" s="88" t="n"/>
      <c r="U187" s="88" t="n"/>
      <c r="V187" s="88" t="n"/>
      <c r="W187" s="88" t="n"/>
      <c r="X187" s="88" t="n"/>
      <c r="Y187" s="88" t="n"/>
      <c r="Z187" s="88" t="n"/>
    </row>
    <row r="188" ht="15" customHeight="1" s="86">
      <c r="A188" s="109">
        <v>46267</v>
      </c>
      <c r="B188" s="110" t="inlineStr">
        <is>
          <t>Transfer</t>
        </is>
      </c>
      <c r="C188" s="111" t="inlineStr">
        <is>
          <t>New Car</t>
        </is>
      </c>
      <c r="D188" s="111" t="inlineStr">
        <is>
          <t>Savings</t>
        </is>
      </c>
      <c r="E188" s="112">
        <v>610.0</v>
      </c>
      <c r="F188" s="111" t="inlineStr">
        <is>
          <t>Joint</t>
        </is>
      </c>
      <c r="G188" s="111" t="inlineStr">
        <is>
          <t>Shared</t>
        </is>
      </c>
      <c r="H188" s="111" t="inlineStr">
        <is>
          <t>Auto transfer</t>
        </is>
      </c>
      <c r="I188" s="113">
        <f>IF($A188="","",MONTH($A188))</f>
        <v/>
      </c>
      <c r="J188" s="113">
        <f>IF($A188="","",YEAR($A188))</f>
        <v/>
      </c>
      <c r="K188" s="113">
        <f>IFERROR(INDEX(Setup!$I$7:$I$22,MATCH($C188,Setup!$D$7:$D$22,0)),"")</f>
        <v/>
      </c>
      <c r="L188" s="88" t="n"/>
      <c r="M188" s="88" t="n"/>
      <c r="N188" s="88" t="n"/>
      <c r="O188" s="88" t="n"/>
      <c r="P188" s="88" t="n"/>
      <c r="Q188" s="88" t="n"/>
      <c r="R188" s="88" t="n"/>
      <c r="S188" s="88" t="n"/>
      <c r="T188" s="88" t="n"/>
      <c r="U188" s="88" t="n"/>
      <c r="V188" s="88" t="n"/>
      <c r="W188" s="88" t="n"/>
      <c r="X188" s="88" t="n"/>
      <c r="Y188" s="88" t="n"/>
      <c r="Z188" s="88" t="n"/>
    </row>
    <row r="189" ht="15" customHeight="1" s="86">
      <c r="A189" s="107">
        <v>46268</v>
      </c>
      <c r="B189" s="95" t="inlineStr">
        <is>
          <t>Expense</t>
        </is>
      </c>
      <c r="C189" s="102" t="inlineStr">
        <is>
          <t>Insurance</t>
        </is>
      </c>
      <c r="D189" s="102" t="inlineStr">
        <is>
          <t>Checking</t>
        </is>
      </c>
      <c r="E189" s="97">
        <v>240.0</v>
      </c>
      <c r="F189" s="102" t="inlineStr">
        <is>
          <t>Joint</t>
        </is>
      </c>
      <c r="G189" s="102" t="inlineStr">
        <is>
          <t>Shared</t>
        </is>
      </c>
      <c r="H189" s="102" t="inlineStr">
        <is>
          <t>Home + car</t>
        </is>
      </c>
      <c r="I189" s="113">
        <f>IF($A189="","",MONTH($A189))</f>
        <v/>
      </c>
      <c r="J189" s="113">
        <f>IF($A189="","",YEAR($A189))</f>
        <v/>
      </c>
      <c r="K189" s="113">
        <f>IFERROR(INDEX(Setup!$I$7:$I$22,MATCH($C189,Setup!$D$7:$D$22,0)),"")</f>
        <v/>
      </c>
      <c r="L189" s="88" t="n"/>
      <c r="M189" s="88" t="n"/>
      <c r="N189" s="88" t="n"/>
      <c r="O189" s="88" t="n"/>
      <c r="P189" s="88" t="n"/>
      <c r="Q189" s="88" t="n"/>
      <c r="R189" s="88" t="n"/>
      <c r="S189" s="88" t="n"/>
      <c r="T189" s="88" t="n"/>
      <c r="U189" s="88" t="n"/>
      <c r="V189" s="88" t="n"/>
      <c r="W189" s="88" t="n"/>
      <c r="X189" s="88" t="n"/>
      <c r="Y189" s="88" t="n"/>
      <c r="Z189" s="88" t="n"/>
    </row>
    <row r="190" ht="15" customHeight="1" s="86">
      <c r="A190" s="109">
        <v>46269</v>
      </c>
      <c r="B190" s="110" t="inlineStr">
        <is>
          <t>Expense</t>
        </is>
      </c>
      <c r="C190" s="111" t="inlineStr">
        <is>
          <t>Utilities</t>
        </is>
      </c>
      <c r="D190" s="111" t="inlineStr">
        <is>
          <t>Checking</t>
        </is>
      </c>
      <c r="E190" s="112">
        <v>179.89</v>
      </c>
      <c r="F190" s="111" t="inlineStr">
        <is>
          <t>Sam</t>
        </is>
      </c>
      <c r="G190" s="111" t="inlineStr">
        <is>
          <t>Shared</t>
        </is>
      </c>
      <c r="H190" s="111" t="inlineStr">
        <is>
          <t>Electric and gas</t>
        </is>
      </c>
      <c r="I190" s="113">
        <f>IF($A190="","",MONTH($A190))</f>
        <v/>
      </c>
      <c r="J190" s="113">
        <f>IF($A190="","",YEAR($A190))</f>
        <v/>
      </c>
      <c r="K190" s="113">
        <f>IFERROR(INDEX(Setup!$I$7:$I$22,MATCH($C190,Setup!$D$7:$D$22,0)),"")</f>
        <v/>
      </c>
      <c r="L190" s="88" t="n"/>
      <c r="M190" s="88" t="n"/>
      <c r="N190" s="88" t="n"/>
      <c r="O190" s="88" t="n"/>
      <c r="P190" s="88" t="n"/>
      <c r="Q190" s="88" t="n"/>
      <c r="R190" s="88" t="n"/>
      <c r="S190" s="88" t="n"/>
      <c r="T190" s="88" t="n"/>
      <c r="U190" s="88" t="n"/>
      <c r="V190" s="88" t="n"/>
      <c r="W190" s="88" t="n"/>
      <c r="X190" s="88" t="n"/>
      <c r="Y190" s="88" t="n"/>
      <c r="Z190" s="88" t="n"/>
    </row>
    <row r="191" ht="15" customHeight="1" s="86">
      <c r="A191" s="107">
        <v>46271</v>
      </c>
      <c r="B191" s="95" t="inlineStr">
        <is>
          <t>Expense</t>
        </is>
      </c>
      <c r="C191" s="102" t="inlineStr">
        <is>
          <t>Groceries</t>
        </is>
      </c>
      <c r="D191" s="102" t="inlineStr">
        <is>
          <t>Credit Card</t>
        </is>
      </c>
      <c r="E191" s="97">
        <v>301.44</v>
      </c>
      <c r="F191" s="102" t="inlineStr">
        <is>
          <t>Sam</t>
        </is>
      </c>
      <c r="G191" s="102" t="inlineStr">
        <is>
          <t>Shared</t>
        </is>
      </c>
      <c r="H191" s="102" t="inlineStr">
        <is>
          <t>Weekly shop</t>
        </is>
      </c>
      <c r="I191" s="113">
        <f>IF($A191="","",MONTH($A191))</f>
        <v/>
      </c>
      <c r="J191" s="113">
        <f>IF($A191="","",YEAR($A191))</f>
        <v/>
      </c>
      <c r="K191" s="113">
        <f>IFERROR(INDEX(Setup!$I$7:$I$22,MATCH($C191,Setup!$D$7:$D$22,0)),"")</f>
        <v/>
      </c>
      <c r="L191" s="88" t="n"/>
      <c r="M191" s="88" t="n"/>
      <c r="N191" s="88" t="n"/>
      <c r="O191" s="88" t="n"/>
      <c r="P191" s="88" t="n"/>
      <c r="Q191" s="88" t="n"/>
      <c r="R191" s="88" t="n"/>
      <c r="S191" s="88" t="n"/>
      <c r="T191" s="88" t="n"/>
      <c r="U191" s="88" t="n"/>
      <c r="V191" s="88" t="n"/>
      <c r="W191" s="88" t="n"/>
      <c r="X191" s="88" t="n"/>
      <c r="Y191" s="88" t="n"/>
      <c r="Z191" s="88" t="n"/>
    </row>
    <row r="192" ht="15" customHeight="1" s="86">
      <c r="A192" s="109">
        <v>46272</v>
      </c>
      <c r="B192" s="110" t="inlineStr">
        <is>
          <t>Expense</t>
        </is>
      </c>
      <c r="C192" s="111" t="inlineStr">
        <is>
          <t>Subscriptions</t>
        </is>
      </c>
      <c r="D192" s="111" t="inlineStr">
        <is>
          <t>Credit Card</t>
        </is>
      </c>
      <c r="E192" s="112">
        <v>46.99</v>
      </c>
      <c r="F192" s="111" t="inlineStr">
        <is>
          <t>Alex</t>
        </is>
      </c>
      <c r="G192" s="111" t="inlineStr">
        <is>
          <t>Shared</t>
        </is>
      </c>
      <c r="H192" s="111" t="inlineStr">
        <is>
          <t>Streaming + cloud</t>
        </is>
      </c>
      <c r="I192" s="113">
        <f>IF($A192="","",MONTH($A192))</f>
        <v/>
      </c>
      <c r="J192" s="113">
        <f>IF($A192="","",YEAR($A192))</f>
        <v/>
      </c>
      <c r="K192" s="113">
        <f>IFERROR(INDEX(Setup!$I$7:$I$22,MATCH($C192,Setup!$D$7:$D$22,0)),"")</f>
        <v/>
      </c>
      <c r="L192" s="88" t="n"/>
      <c r="M192" s="88" t="n"/>
      <c r="N192" s="88" t="n"/>
      <c r="O192" s="88" t="n"/>
      <c r="P192" s="88" t="n"/>
      <c r="Q192" s="88" t="n"/>
      <c r="R192" s="88" t="n"/>
      <c r="S192" s="88" t="n"/>
      <c r="T192" s="88" t="n"/>
      <c r="U192" s="88" t="n"/>
      <c r="V192" s="88" t="n"/>
      <c r="W192" s="88" t="n"/>
      <c r="X192" s="88" t="n"/>
      <c r="Y192" s="88" t="n"/>
      <c r="Z192" s="88" t="n"/>
    </row>
    <row r="193" ht="15" customHeight="1" s="86">
      <c r="A193" s="107">
        <v>46273</v>
      </c>
      <c r="B193" s="95" t="inlineStr">
        <is>
          <t>Expense</t>
        </is>
      </c>
      <c r="C193" s="102" t="inlineStr">
        <is>
          <t>Phone and Internet</t>
        </is>
      </c>
      <c r="D193" s="102" t="inlineStr">
        <is>
          <t>Checking</t>
        </is>
      </c>
      <c r="E193" s="97">
        <v>110.0</v>
      </c>
      <c r="F193" s="102" t="inlineStr">
        <is>
          <t>Sam</t>
        </is>
      </c>
      <c r="G193" s="102" t="inlineStr">
        <is>
          <t>Shared</t>
        </is>
      </c>
      <c r="H193" s="102" t="inlineStr">
        <is>
          <t>Fibre + mobiles</t>
        </is>
      </c>
      <c r="I193" s="113">
        <f>IF($A193="","",MONTH($A193))</f>
        <v/>
      </c>
      <c r="J193" s="113">
        <f>IF($A193="","",YEAR($A193))</f>
        <v/>
      </c>
      <c r="K193" s="113">
        <f>IFERROR(INDEX(Setup!$I$7:$I$22,MATCH($C193,Setup!$D$7:$D$22,0)),"")</f>
        <v/>
      </c>
      <c r="L193" s="88" t="n"/>
      <c r="M193" s="88" t="n"/>
      <c r="N193" s="88" t="n"/>
      <c r="O193" s="88" t="n"/>
      <c r="P193" s="88" t="n"/>
      <c r="Q193" s="88" t="n"/>
      <c r="R193" s="88" t="n"/>
      <c r="S193" s="88" t="n"/>
      <c r="T193" s="88" t="n"/>
      <c r="U193" s="88" t="n"/>
      <c r="V193" s="88" t="n"/>
      <c r="W193" s="88" t="n"/>
      <c r="X193" s="88" t="n"/>
      <c r="Y193" s="88" t="n"/>
      <c r="Z193" s="88" t="n"/>
    </row>
    <row r="194" ht="15" customHeight="1" s="86">
      <c r="A194" s="109">
        <v>46274</v>
      </c>
      <c r="B194" s="110" t="inlineStr">
        <is>
          <t>Expense</t>
        </is>
      </c>
      <c r="C194" s="111" t="inlineStr">
        <is>
          <t>Transport</t>
        </is>
      </c>
      <c r="D194" s="111" t="inlineStr">
        <is>
          <t>Credit Card</t>
        </is>
      </c>
      <c r="E194" s="112">
        <v>162.73</v>
      </c>
      <c r="F194" s="111" t="inlineStr">
        <is>
          <t>Alex</t>
        </is>
      </c>
      <c r="G194" s="111" t="inlineStr">
        <is>
          <t>Shared</t>
        </is>
      </c>
      <c r="H194" s="111" t="inlineStr">
        <is>
          <t>Fuel and transit</t>
        </is>
      </c>
      <c r="I194" s="113">
        <f>IF($A194="","",MONTH($A194))</f>
        <v/>
      </c>
      <c r="J194" s="113">
        <f>IF($A194="","",YEAR($A194))</f>
        <v/>
      </c>
      <c r="K194" s="113">
        <f>IFERROR(INDEX(Setup!$I$7:$I$22,MATCH($C194,Setup!$D$7:$D$22,0)),"")</f>
        <v/>
      </c>
      <c r="L194" s="88" t="n"/>
      <c r="M194" s="88" t="n"/>
      <c r="N194" s="88" t="n"/>
      <c r="O194" s="88" t="n"/>
      <c r="P194" s="88" t="n"/>
      <c r="Q194" s="88" t="n"/>
      <c r="R194" s="88" t="n"/>
      <c r="S194" s="88" t="n"/>
      <c r="T194" s="88" t="n"/>
      <c r="U194" s="88" t="n"/>
      <c r="V194" s="88" t="n"/>
      <c r="W194" s="88" t="n"/>
      <c r="X194" s="88" t="n"/>
      <c r="Y194" s="88" t="n"/>
      <c r="Z194" s="88" t="n"/>
    </row>
    <row r="195" ht="15" customHeight="1" s="86">
      <c r="A195" s="107">
        <v>46276</v>
      </c>
      <c r="B195" s="95" t="inlineStr">
        <is>
          <t>Expense</t>
        </is>
      </c>
      <c r="C195" s="102" t="inlineStr">
        <is>
          <t>Dining out</t>
        </is>
      </c>
      <c r="D195" s="102" t="inlineStr">
        <is>
          <t>Credit Card</t>
        </is>
      </c>
      <c r="E195" s="97">
        <v>106.16</v>
      </c>
      <c r="F195" s="102" t="inlineStr">
        <is>
          <t>Alex</t>
        </is>
      </c>
      <c r="G195" s="102" t="inlineStr">
        <is>
          <t>Shared</t>
        </is>
      </c>
      <c r="H195" s="102" t="inlineStr">
        <is>
          <t>Date night</t>
        </is>
      </c>
      <c r="I195" s="113">
        <f>IF($A195="","",MONTH($A195))</f>
        <v/>
      </c>
      <c r="J195" s="113">
        <f>IF($A195="","",YEAR($A195))</f>
        <v/>
      </c>
      <c r="K195" s="113">
        <f>IFERROR(INDEX(Setup!$I$7:$I$22,MATCH($C195,Setup!$D$7:$D$22,0)),"")</f>
        <v/>
      </c>
      <c r="L195" s="88" t="n"/>
      <c r="M195" s="88" t="n"/>
      <c r="N195" s="88" t="n"/>
      <c r="O195" s="88" t="n"/>
      <c r="P195" s="88" t="n"/>
      <c r="Q195" s="88" t="n"/>
      <c r="R195" s="88" t="n"/>
      <c r="S195" s="88" t="n"/>
      <c r="T195" s="88" t="n"/>
      <c r="U195" s="88" t="n"/>
      <c r="V195" s="88" t="n"/>
      <c r="W195" s="88" t="n"/>
      <c r="X195" s="88" t="n"/>
      <c r="Y195" s="88" t="n"/>
      <c r="Z195" s="88" t="n"/>
    </row>
    <row r="196" ht="15" customHeight="1" s="86">
      <c r="A196" s="109">
        <v>46277</v>
      </c>
      <c r="B196" s="110" t="inlineStr">
        <is>
          <t>Expense</t>
        </is>
      </c>
      <c r="C196" s="111" t="inlineStr">
        <is>
          <t>Debt</t>
        </is>
      </c>
      <c r="D196" s="111" t="inlineStr">
        <is>
          <t>Checking</t>
        </is>
      </c>
      <c r="E196" s="112">
        <v>420.0</v>
      </c>
      <c r="F196" s="111" t="inlineStr">
        <is>
          <t>Joint</t>
        </is>
      </c>
      <c r="G196" s="111" t="inlineStr">
        <is>
          <t>Shared</t>
        </is>
      </c>
      <c r="H196" s="111" t="inlineStr">
        <is>
          <t>Car loan</t>
        </is>
      </c>
      <c r="I196" s="113">
        <f>IF($A196="","",MONTH($A196))</f>
        <v/>
      </c>
      <c r="J196" s="113">
        <f>IF($A196="","",YEAR($A196))</f>
        <v/>
      </c>
      <c r="K196" s="113">
        <f>IFERROR(INDEX(Setup!$I$7:$I$22,MATCH($C196,Setup!$D$7:$D$22,0)),"")</f>
        <v/>
      </c>
      <c r="L196" s="88" t="n"/>
      <c r="M196" s="88" t="n"/>
      <c r="N196" s="88" t="n"/>
      <c r="O196" s="88" t="n"/>
      <c r="P196" s="88" t="n"/>
      <c r="Q196" s="88" t="n"/>
      <c r="R196" s="88" t="n"/>
      <c r="S196" s="88" t="n"/>
      <c r="T196" s="88" t="n"/>
      <c r="U196" s="88" t="n"/>
      <c r="V196" s="88" t="n"/>
      <c r="W196" s="88" t="n"/>
      <c r="X196" s="88" t="n"/>
      <c r="Y196" s="88" t="n"/>
      <c r="Z196" s="88" t="n"/>
    </row>
    <row r="197" ht="15" customHeight="1" s="86">
      <c r="A197" s="107">
        <v>46279</v>
      </c>
      <c r="B197" s="95" t="inlineStr">
        <is>
          <t>Expense</t>
        </is>
      </c>
      <c r="C197" s="102" t="inlineStr">
        <is>
          <t>Gifts</t>
        </is>
      </c>
      <c r="D197" s="102" t="inlineStr">
        <is>
          <t>Credit Card</t>
        </is>
      </c>
      <c r="E197" s="97">
        <v>160</v>
      </c>
      <c r="F197" s="102" t="inlineStr">
        <is>
          <t>Sam</t>
        </is>
      </c>
      <c r="G197" s="102" t="inlineStr">
        <is>
          <t>Personal</t>
        </is>
      </c>
      <c r="H197" s="102" t="inlineStr">
        <is>
          <t>Present</t>
        </is>
      </c>
      <c r="I197" s="113">
        <f>IF($A197="","",MONTH($A197))</f>
        <v/>
      </c>
      <c r="J197" s="113">
        <f>IF($A197="","",YEAR($A197))</f>
        <v/>
      </c>
      <c r="K197" s="113">
        <f>IFERROR(INDEX(Setup!$I$7:$I$22,MATCH($C197,Setup!$D$7:$D$22,0)),"")</f>
        <v/>
      </c>
      <c r="L197" s="88" t="n"/>
      <c r="M197" s="88" t="n"/>
      <c r="N197" s="88" t="n"/>
      <c r="O197" s="88" t="n"/>
      <c r="P197" s="88" t="n"/>
      <c r="Q197" s="88" t="n"/>
      <c r="R197" s="88" t="n"/>
      <c r="S197" s="88" t="n"/>
      <c r="T197" s="88" t="n"/>
      <c r="U197" s="88" t="n"/>
      <c r="V197" s="88" t="n"/>
      <c r="W197" s="88" t="n"/>
      <c r="X197" s="88" t="n"/>
      <c r="Y197" s="88" t="n"/>
      <c r="Z197" s="88" t="n"/>
    </row>
    <row r="198" ht="15" customHeight="1" s="86">
      <c r="A198" s="109">
        <v>46280</v>
      </c>
      <c r="B198" s="110" t="inlineStr">
        <is>
          <t>Expense</t>
        </is>
      </c>
      <c r="C198" s="111" t="inlineStr">
        <is>
          <t>Shopping</t>
        </is>
      </c>
      <c r="D198" s="111" t="inlineStr">
        <is>
          <t>Credit Card</t>
        </is>
      </c>
      <c r="E198" s="112">
        <v>134.64</v>
      </c>
      <c r="F198" s="111" t="inlineStr">
        <is>
          <t>Alex</t>
        </is>
      </c>
      <c r="G198" s="111" t="inlineStr">
        <is>
          <t>Personal</t>
        </is>
      </c>
      <c r="H198" s="111" t="inlineStr">
        <is>
          <t>Clothes</t>
        </is>
      </c>
      <c r="I198" s="113">
        <f>IF($A198="","",MONTH($A198))</f>
        <v/>
      </c>
      <c r="J198" s="113">
        <f>IF($A198="","",YEAR($A198))</f>
        <v/>
      </c>
      <c r="K198" s="113">
        <f>IFERROR(INDEX(Setup!$I$7:$I$22,MATCH($C198,Setup!$D$7:$D$22,0)),"")</f>
        <v/>
      </c>
      <c r="L198" s="88" t="n"/>
      <c r="M198" s="88" t="n"/>
      <c r="N198" s="88" t="n"/>
      <c r="O198" s="88" t="n"/>
      <c r="P198" s="88" t="n"/>
      <c r="Q198" s="88" t="n"/>
      <c r="R198" s="88" t="n"/>
      <c r="S198" s="88" t="n"/>
      <c r="T198" s="88" t="n"/>
      <c r="U198" s="88" t="n"/>
      <c r="V198" s="88" t="n"/>
      <c r="W198" s="88" t="n"/>
      <c r="X198" s="88" t="n"/>
      <c r="Y198" s="88" t="n"/>
      <c r="Z198" s="88" t="n"/>
    </row>
    <row r="199" ht="15" customHeight="1" s="86">
      <c r="A199" s="107">
        <v>46281</v>
      </c>
      <c r="B199" s="95" t="inlineStr">
        <is>
          <t>Expense</t>
        </is>
      </c>
      <c r="C199" s="102" t="inlineStr">
        <is>
          <t>Shopping</t>
        </is>
      </c>
      <c r="D199" s="102" t="inlineStr">
        <is>
          <t>Credit Card</t>
        </is>
      </c>
      <c r="E199" s="97">
        <v>112.18</v>
      </c>
      <c r="F199" s="102" t="inlineStr">
        <is>
          <t>Sam</t>
        </is>
      </c>
      <c r="G199" s="102" t="inlineStr">
        <is>
          <t>Personal</t>
        </is>
      </c>
      <c r="H199" s="102" t="inlineStr">
        <is>
          <t>Clothes</t>
        </is>
      </c>
      <c r="I199" s="113">
        <f>IF($A199="","",MONTH($A199))</f>
        <v/>
      </c>
      <c r="J199" s="113">
        <f>IF($A199="","",YEAR($A199))</f>
        <v/>
      </c>
      <c r="K199" s="113">
        <f>IFERROR(INDEX(Setup!$I$7:$I$22,MATCH($C199,Setup!$D$7:$D$22,0)),"")</f>
        <v/>
      </c>
      <c r="L199" s="88" t="n"/>
      <c r="M199" s="88" t="n"/>
      <c r="N199" s="88" t="n"/>
      <c r="O199" s="88" t="n"/>
      <c r="P199" s="88" t="n"/>
      <c r="Q199" s="88" t="n"/>
      <c r="R199" s="88" t="n"/>
      <c r="S199" s="88" t="n"/>
      <c r="T199" s="88" t="n"/>
      <c r="U199" s="88" t="n"/>
      <c r="V199" s="88" t="n"/>
      <c r="W199" s="88" t="n"/>
      <c r="X199" s="88" t="n"/>
      <c r="Y199" s="88" t="n"/>
      <c r="Z199" s="88" t="n"/>
    </row>
    <row r="200" ht="15" customHeight="1" s="86">
      <c r="A200" s="109">
        <v>46282</v>
      </c>
      <c r="B200" s="110" t="inlineStr">
        <is>
          <t>Expense</t>
        </is>
      </c>
      <c r="C200" s="111" t="inlineStr">
        <is>
          <t>Health</t>
        </is>
      </c>
      <c r="D200" s="111" t="inlineStr">
        <is>
          <t>Checking</t>
        </is>
      </c>
      <c r="E200" s="112">
        <v>85</v>
      </c>
      <c r="F200" s="111" t="inlineStr">
        <is>
          <t>Alex</t>
        </is>
      </c>
      <c r="G200" s="111" t="inlineStr">
        <is>
          <t>Personal</t>
        </is>
      </c>
      <c r="H200" s="111" t="inlineStr">
        <is>
          <t>Pharmacy</t>
        </is>
      </c>
      <c r="I200" s="113">
        <f>IF($A200="","",MONTH($A200))</f>
        <v/>
      </c>
      <c r="J200" s="113">
        <f>IF($A200="","",YEAR($A200))</f>
        <v/>
      </c>
      <c r="K200" s="113">
        <f>IFERROR(INDEX(Setup!$I$7:$I$22,MATCH($C200,Setup!$D$7:$D$22,0)),"")</f>
        <v/>
      </c>
      <c r="L200" s="88" t="n"/>
      <c r="M200" s="88" t="n"/>
      <c r="N200" s="88" t="n"/>
      <c r="O200" s="88" t="n"/>
      <c r="P200" s="88" t="n"/>
      <c r="Q200" s="88" t="n"/>
      <c r="R200" s="88" t="n"/>
      <c r="S200" s="88" t="n"/>
      <c r="T200" s="88" t="n"/>
      <c r="U200" s="88" t="n"/>
      <c r="V200" s="88" t="n"/>
      <c r="W200" s="88" t="n"/>
      <c r="X200" s="88" t="n"/>
      <c r="Y200" s="88" t="n"/>
      <c r="Z200" s="88" t="n"/>
    </row>
    <row r="201" ht="15" customHeight="1" s="86">
      <c r="A201" s="107">
        <v>46284</v>
      </c>
      <c r="B201" s="95" t="inlineStr">
        <is>
          <t>Expense</t>
        </is>
      </c>
      <c r="C201" s="102" t="inlineStr">
        <is>
          <t>Groceries</t>
        </is>
      </c>
      <c r="D201" s="102" t="inlineStr">
        <is>
          <t>Credit Card</t>
        </is>
      </c>
      <c r="E201" s="97">
        <v>340.94</v>
      </c>
      <c r="F201" s="102" t="inlineStr">
        <is>
          <t>Sam</t>
        </is>
      </c>
      <c r="G201" s="102" t="inlineStr">
        <is>
          <t>Shared</t>
        </is>
      </c>
      <c r="H201" s="102" t="inlineStr">
        <is>
          <t>Weekly shop</t>
        </is>
      </c>
      <c r="I201" s="113">
        <f>IF($A201="","",MONTH($A201))</f>
        <v/>
      </c>
      <c r="J201" s="113">
        <f>IF($A201="","",YEAR($A201))</f>
        <v/>
      </c>
      <c r="K201" s="113">
        <f>IFERROR(INDEX(Setup!$I$7:$I$22,MATCH($C201,Setup!$D$7:$D$22,0)),"")</f>
        <v/>
      </c>
      <c r="L201" s="88" t="n"/>
      <c r="M201" s="88" t="n"/>
      <c r="N201" s="88" t="n"/>
      <c r="O201" s="88" t="n"/>
      <c r="P201" s="88" t="n"/>
      <c r="Q201" s="88" t="n"/>
      <c r="R201" s="88" t="n"/>
      <c r="S201" s="88" t="n"/>
      <c r="T201" s="88" t="n"/>
      <c r="U201" s="88" t="n"/>
      <c r="V201" s="88" t="n"/>
      <c r="W201" s="88" t="n"/>
      <c r="X201" s="88" t="n"/>
      <c r="Y201" s="88" t="n"/>
      <c r="Z201" s="88" t="n"/>
    </row>
    <row r="202" ht="15" customHeight="1" s="86">
      <c r="A202" s="109">
        <v>46286</v>
      </c>
      <c r="B202" s="110" t="inlineStr">
        <is>
          <t>Expense</t>
        </is>
      </c>
      <c r="C202" s="111" t="inlineStr">
        <is>
          <t>Fun and Leisure</t>
        </is>
      </c>
      <c r="D202" s="111" t="inlineStr">
        <is>
          <t>Credit Card</t>
        </is>
      </c>
      <c r="E202" s="112">
        <v>135.24</v>
      </c>
      <c r="F202" s="111" t="inlineStr">
        <is>
          <t>Alex</t>
        </is>
      </c>
      <c r="G202" s="111" t="inlineStr">
        <is>
          <t>Personal</t>
        </is>
      </c>
      <c r="H202" s="111" t="inlineStr">
        <is>
          <t>Gym + hobbies</t>
        </is>
      </c>
      <c r="I202" s="113">
        <f>IF($A202="","",MONTH($A202))</f>
        <v/>
      </c>
      <c r="J202" s="113">
        <f>IF($A202="","",YEAR($A202))</f>
        <v/>
      </c>
      <c r="K202" s="113">
        <f>IFERROR(INDEX(Setup!$I$7:$I$22,MATCH($C202,Setup!$D$7:$D$22,0)),"")</f>
        <v/>
      </c>
      <c r="L202" s="88" t="n"/>
      <c r="M202" s="88" t="n"/>
      <c r="N202" s="88" t="n"/>
      <c r="O202" s="88" t="n"/>
      <c r="P202" s="88" t="n"/>
      <c r="Q202" s="88" t="n"/>
      <c r="R202" s="88" t="n"/>
      <c r="S202" s="88" t="n"/>
      <c r="T202" s="88" t="n"/>
      <c r="U202" s="88" t="n"/>
      <c r="V202" s="88" t="n"/>
      <c r="W202" s="88" t="n"/>
      <c r="X202" s="88" t="n"/>
      <c r="Y202" s="88" t="n"/>
      <c r="Z202" s="88" t="n"/>
    </row>
    <row r="203" ht="15" customHeight="1" s="86">
      <c r="A203" s="107">
        <v>46287</v>
      </c>
      <c r="B203" s="95" t="inlineStr">
        <is>
          <t>Expense</t>
        </is>
      </c>
      <c r="C203" s="102" t="inlineStr">
        <is>
          <t>Fun and Leisure</t>
        </is>
      </c>
      <c r="D203" s="102" t="inlineStr">
        <is>
          <t>Credit Card</t>
        </is>
      </c>
      <c r="E203" s="97">
        <v>140.75</v>
      </c>
      <c r="F203" s="102" t="inlineStr">
        <is>
          <t>Sam</t>
        </is>
      </c>
      <c r="G203" s="102" t="inlineStr">
        <is>
          <t>Personal</t>
        </is>
      </c>
      <c r="H203" s="102" t="inlineStr">
        <is>
          <t>Gym + hobbies</t>
        </is>
      </c>
      <c r="I203" s="113">
        <f>IF($A203="","",MONTH($A203))</f>
        <v/>
      </c>
      <c r="J203" s="113">
        <f>IF($A203="","",YEAR($A203))</f>
        <v/>
      </c>
      <c r="K203" s="113">
        <f>IFERROR(INDEX(Setup!$I$7:$I$22,MATCH($C203,Setup!$D$7:$D$22,0)),"")</f>
        <v/>
      </c>
      <c r="L203" s="88" t="n"/>
      <c r="M203" s="88" t="n"/>
      <c r="N203" s="88" t="n"/>
      <c r="O203" s="88" t="n"/>
      <c r="P203" s="88" t="n"/>
      <c r="Q203" s="88" t="n"/>
      <c r="R203" s="88" t="n"/>
      <c r="S203" s="88" t="n"/>
      <c r="T203" s="88" t="n"/>
      <c r="U203" s="88" t="n"/>
      <c r="V203" s="88" t="n"/>
      <c r="W203" s="88" t="n"/>
      <c r="X203" s="88" t="n"/>
      <c r="Y203" s="88" t="n"/>
      <c r="Z203" s="88" t="n"/>
    </row>
    <row r="204" ht="15" customHeight="1" s="86">
      <c r="A204" s="109">
        <v>46288</v>
      </c>
      <c r="B204" s="110" t="inlineStr">
        <is>
          <t>Expense</t>
        </is>
      </c>
      <c r="C204" s="111" t="inlineStr">
        <is>
          <t>Transport</t>
        </is>
      </c>
      <c r="D204" s="111" t="inlineStr">
        <is>
          <t>Credit Card</t>
        </is>
      </c>
      <c r="E204" s="112">
        <v>172.61</v>
      </c>
      <c r="F204" s="111" t="inlineStr">
        <is>
          <t>Sam</t>
        </is>
      </c>
      <c r="G204" s="111" t="inlineStr">
        <is>
          <t>Shared</t>
        </is>
      </c>
      <c r="H204" s="111" t="inlineStr">
        <is>
          <t>Fuel and transit</t>
        </is>
      </c>
      <c r="I204" s="113">
        <f>IF($A204="","",MONTH($A204))</f>
        <v/>
      </c>
      <c r="J204" s="113">
        <f>IF($A204="","",YEAR($A204))</f>
        <v/>
      </c>
      <c r="K204" s="113">
        <f>IFERROR(INDEX(Setup!$I$7:$I$22,MATCH($C204,Setup!$D$7:$D$22,0)),"")</f>
        <v/>
      </c>
      <c r="L204" s="88" t="n"/>
      <c r="M204" s="88" t="n"/>
      <c r="N204" s="88" t="n"/>
      <c r="O204" s="88" t="n"/>
      <c r="P204" s="88" t="n"/>
      <c r="Q204" s="88" t="n"/>
      <c r="R204" s="88" t="n"/>
      <c r="S204" s="88" t="n"/>
      <c r="T204" s="88" t="n"/>
      <c r="U204" s="88" t="n"/>
      <c r="V204" s="88" t="n"/>
      <c r="W204" s="88" t="n"/>
      <c r="X204" s="88" t="n"/>
      <c r="Y204" s="88" t="n"/>
      <c r="Z204" s="88" t="n"/>
    </row>
    <row r="205" ht="15" customHeight="1" s="86">
      <c r="A205" s="107">
        <v>46289</v>
      </c>
      <c r="B205" s="95" t="inlineStr">
        <is>
          <t>Expense</t>
        </is>
      </c>
      <c r="C205" s="102" t="inlineStr">
        <is>
          <t>Dining out</t>
        </is>
      </c>
      <c r="D205" s="102" t="inlineStr">
        <is>
          <t>Credit Card</t>
        </is>
      </c>
      <c r="E205" s="97">
        <v>90.36</v>
      </c>
      <c r="F205" s="102" t="inlineStr">
        <is>
          <t>Sam</t>
        </is>
      </c>
      <c r="G205" s="102" t="inlineStr">
        <is>
          <t>Shared</t>
        </is>
      </c>
      <c r="H205" s="102" t="inlineStr">
        <is>
          <t>Lunch out</t>
        </is>
      </c>
      <c r="I205" s="113">
        <f>IF($A205="","",MONTH($A205))</f>
        <v/>
      </c>
      <c r="J205" s="113">
        <f>IF($A205="","",YEAR($A205))</f>
        <v/>
      </c>
      <c r="K205" s="113">
        <f>IFERROR(INDEX(Setup!$I$7:$I$22,MATCH($C205,Setup!$D$7:$D$22,0)),"")</f>
        <v/>
      </c>
      <c r="L205" s="88" t="n"/>
      <c r="M205" s="88" t="n"/>
      <c r="N205" s="88" t="n"/>
      <c r="O205" s="88" t="n"/>
      <c r="P205" s="88" t="n"/>
      <c r="Q205" s="88" t="n"/>
      <c r="R205" s="88" t="n"/>
      <c r="S205" s="88" t="n"/>
      <c r="T205" s="88" t="n"/>
      <c r="U205" s="88" t="n"/>
      <c r="V205" s="88" t="n"/>
      <c r="W205" s="88" t="n"/>
      <c r="X205" s="88" t="n"/>
      <c r="Y205" s="88" t="n"/>
      <c r="Z205" s="88" t="n"/>
    </row>
    <row r="206" ht="15" customHeight="1" s="86">
      <c r="A206" s="109">
        <v>46296</v>
      </c>
      <c r="B206" s="110" t="inlineStr">
        <is>
          <t>Income</t>
        </is>
      </c>
      <c r="C206" s="111" t="inlineStr">
        <is>
          <t>Salary</t>
        </is>
      </c>
      <c r="D206" s="111" t="inlineStr">
        <is>
          <t>Checking</t>
        </is>
      </c>
      <c r="E206" s="112">
        <v>5200</v>
      </c>
      <c r="F206" s="111" t="inlineStr">
        <is>
          <t>Alex</t>
        </is>
      </c>
      <c r="G206" s="111" t="inlineStr">
        <is>
          <t>Personal</t>
        </is>
      </c>
      <c r="H206" s="111" t="inlineStr">
        <is>
          <t>Monthly pay</t>
        </is>
      </c>
      <c r="I206" s="113">
        <f>IF($A206="","",MONTH($A206))</f>
        <v/>
      </c>
      <c r="J206" s="113">
        <f>IF($A206="","",YEAR($A206))</f>
        <v/>
      </c>
      <c r="K206" s="113">
        <f>IFERROR(INDEX(Setup!$I$7:$I$22,MATCH($C206,Setup!$D$7:$D$22,0)),"")</f>
        <v/>
      </c>
      <c r="L206" s="88" t="n"/>
      <c r="M206" s="88" t="n"/>
      <c r="N206" s="88" t="n"/>
      <c r="O206" s="88" t="n"/>
      <c r="P206" s="88" t="n"/>
      <c r="Q206" s="88" t="n"/>
      <c r="R206" s="88" t="n"/>
      <c r="S206" s="88" t="n"/>
      <c r="T206" s="88" t="n"/>
      <c r="U206" s="88" t="n"/>
      <c r="V206" s="88" t="n"/>
      <c r="W206" s="88" t="n"/>
      <c r="X206" s="88" t="n"/>
      <c r="Y206" s="88" t="n"/>
      <c r="Z206" s="88" t="n"/>
    </row>
    <row r="207" ht="15" customHeight="1" s="86">
      <c r="A207" s="107">
        <v>46296</v>
      </c>
      <c r="B207" s="95" t="inlineStr">
        <is>
          <t>Income</t>
        </is>
      </c>
      <c r="C207" s="102" t="inlineStr">
        <is>
          <t>Salary</t>
        </is>
      </c>
      <c r="D207" s="102" t="inlineStr">
        <is>
          <t>Checking</t>
        </is>
      </c>
      <c r="E207" s="97">
        <v>3800</v>
      </c>
      <c r="F207" s="102" t="inlineStr">
        <is>
          <t>Sam</t>
        </is>
      </c>
      <c r="G207" s="102" t="inlineStr">
        <is>
          <t>Personal</t>
        </is>
      </c>
      <c r="H207" s="102" t="inlineStr">
        <is>
          <t>Monthly pay</t>
        </is>
      </c>
      <c r="I207" s="113">
        <f>IF($A207="","",MONTH($A207))</f>
        <v/>
      </c>
      <c r="J207" s="113">
        <f>IF($A207="","",YEAR($A207))</f>
        <v/>
      </c>
      <c r="K207" s="113">
        <f>IFERROR(INDEX(Setup!$I$7:$I$22,MATCH($C207,Setup!$D$7:$D$22,0)),"")</f>
        <v/>
      </c>
      <c r="L207" s="88" t="n"/>
      <c r="M207" s="88" t="n"/>
      <c r="N207" s="88" t="n"/>
      <c r="O207" s="88" t="n"/>
      <c r="P207" s="88" t="n"/>
      <c r="Q207" s="88" t="n"/>
      <c r="R207" s="88" t="n"/>
      <c r="S207" s="88" t="n"/>
      <c r="T207" s="88" t="n"/>
      <c r="U207" s="88" t="n"/>
      <c r="V207" s="88" t="n"/>
      <c r="W207" s="88" t="n"/>
      <c r="X207" s="88" t="n"/>
      <c r="Y207" s="88" t="n"/>
      <c r="Z207" s="88" t="n"/>
    </row>
    <row r="208" ht="15" customHeight="1" s="86">
      <c r="A208" s="109">
        <v>46296</v>
      </c>
      <c r="B208" s="110" t="inlineStr">
        <is>
          <t>Expense</t>
        </is>
      </c>
      <c r="C208" s="111" t="inlineStr">
        <is>
          <t>Rent or Mortgage</t>
        </is>
      </c>
      <c r="D208" s="111" t="inlineStr">
        <is>
          <t>Checking</t>
        </is>
      </c>
      <c r="E208" s="112">
        <v>2400.0</v>
      </c>
      <c r="F208" s="111" t="inlineStr">
        <is>
          <t>Alex</t>
        </is>
      </c>
      <c r="G208" s="111" t="inlineStr">
        <is>
          <t>Shared</t>
        </is>
      </c>
      <c r="H208" s="111" t="inlineStr">
        <is>
          <t>Rent</t>
        </is>
      </c>
      <c r="I208" s="113">
        <f>IF($A208="","",MONTH($A208))</f>
        <v/>
      </c>
      <c r="J208" s="113">
        <f>IF($A208="","",YEAR($A208))</f>
        <v/>
      </c>
      <c r="K208" s="113">
        <f>IFERROR(INDEX(Setup!$I$7:$I$22,MATCH($C208,Setup!$D$7:$D$22,0)),"")</f>
        <v/>
      </c>
      <c r="L208" s="88" t="n"/>
      <c r="M208" s="88" t="n"/>
      <c r="N208" s="88" t="n"/>
      <c r="O208" s="88" t="n"/>
      <c r="P208" s="88" t="n"/>
      <c r="Q208" s="88" t="n"/>
      <c r="R208" s="88" t="n"/>
      <c r="S208" s="88" t="n"/>
      <c r="T208" s="88" t="n"/>
      <c r="U208" s="88" t="n"/>
      <c r="V208" s="88" t="n"/>
      <c r="W208" s="88" t="n"/>
      <c r="X208" s="88" t="n"/>
      <c r="Y208" s="88" t="n"/>
      <c r="Z208" s="88" t="n"/>
    </row>
    <row r="209" ht="15" customHeight="1" s="86">
      <c r="A209" s="107">
        <v>46297</v>
      </c>
      <c r="B209" s="95" t="inlineStr">
        <is>
          <t>Transfer</t>
        </is>
      </c>
      <c r="C209" s="102" t="inlineStr">
        <is>
          <t>Emergency Fund</t>
        </is>
      </c>
      <c r="D209" s="102" t="inlineStr">
        <is>
          <t>Savings</t>
        </is>
      </c>
      <c r="E209" s="97">
        <v>850.0</v>
      </c>
      <c r="F209" s="102" t="inlineStr">
        <is>
          <t>Joint</t>
        </is>
      </c>
      <c r="G209" s="102" t="inlineStr">
        <is>
          <t>Shared</t>
        </is>
      </c>
      <c r="H209" s="102" t="inlineStr">
        <is>
          <t>Auto transfer</t>
        </is>
      </c>
      <c r="I209" s="113">
        <f>IF($A209="","",MONTH($A209))</f>
        <v/>
      </c>
      <c r="J209" s="113">
        <f>IF($A209="","",YEAR($A209))</f>
        <v/>
      </c>
      <c r="K209" s="113">
        <f>IFERROR(INDEX(Setup!$I$7:$I$22,MATCH($C209,Setup!$D$7:$D$22,0)),"")</f>
        <v/>
      </c>
      <c r="L209" s="88" t="n"/>
      <c r="M209" s="88" t="n"/>
      <c r="N209" s="88" t="n"/>
      <c r="O209" s="88" t="n"/>
      <c r="P209" s="88" t="n"/>
      <c r="Q209" s="88" t="n"/>
      <c r="R209" s="88" t="n"/>
      <c r="S209" s="88" t="n"/>
      <c r="T209" s="88" t="n"/>
      <c r="U209" s="88" t="n"/>
      <c r="V209" s="88" t="n"/>
      <c r="W209" s="88" t="n"/>
      <c r="X209" s="88" t="n"/>
      <c r="Y209" s="88" t="n"/>
      <c r="Z209" s="88" t="n"/>
    </row>
    <row r="210" ht="15" customHeight="1" s="86">
      <c r="A210" s="109">
        <v>46297</v>
      </c>
      <c r="B210" s="110" t="inlineStr">
        <is>
          <t>Transfer</t>
        </is>
      </c>
      <c r="C210" s="111" t="inlineStr">
        <is>
          <t>Holiday Fund</t>
        </is>
      </c>
      <c r="D210" s="111" t="inlineStr">
        <is>
          <t>Savings</t>
        </is>
      </c>
      <c r="E210" s="112">
        <v>420.0</v>
      </c>
      <c r="F210" s="111" t="inlineStr">
        <is>
          <t>Joint</t>
        </is>
      </c>
      <c r="G210" s="111" t="inlineStr">
        <is>
          <t>Shared</t>
        </is>
      </c>
      <c r="H210" s="111" t="inlineStr">
        <is>
          <t>Auto transfer</t>
        </is>
      </c>
      <c r="I210" s="113">
        <f>IF($A210="","",MONTH($A210))</f>
        <v/>
      </c>
      <c r="J210" s="113">
        <f>IF($A210="","",YEAR($A210))</f>
        <v/>
      </c>
      <c r="K210" s="113">
        <f>IFERROR(INDEX(Setup!$I$7:$I$22,MATCH($C210,Setup!$D$7:$D$22,0)),"")</f>
        <v/>
      </c>
      <c r="L210" s="88" t="n"/>
      <c r="M210" s="88" t="n"/>
      <c r="N210" s="88" t="n"/>
      <c r="O210" s="88" t="n"/>
      <c r="P210" s="88" t="n"/>
      <c r="Q210" s="88" t="n"/>
      <c r="R210" s="88" t="n"/>
      <c r="S210" s="88" t="n"/>
      <c r="T210" s="88" t="n"/>
      <c r="U210" s="88" t="n"/>
      <c r="V210" s="88" t="n"/>
      <c r="W210" s="88" t="n"/>
      <c r="X210" s="88" t="n"/>
      <c r="Y210" s="88" t="n"/>
      <c r="Z210" s="88" t="n"/>
    </row>
    <row r="211" ht="15" customHeight="1" s="86">
      <c r="A211" s="107">
        <v>46297</v>
      </c>
      <c r="B211" s="95" t="inlineStr">
        <is>
          <t>Transfer</t>
        </is>
      </c>
      <c r="C211" s="102" t="inlineStr">
        <is>
          <t>New Car</t>
        </is>
      </c>
      <c r="D211" s="102" t="inlineStr">
        <is>
          <t>Savings</t>
        </is>
      </c>
      <c r="E211" s="97">
        <v>610.0</v>
      </c>
      <c r="F211" s="102" t="inlineStr">
        <is>
          <t>Joint</t>
        </is>
      </c>
      <c r="G211" s="102" t="inlineStr">
        <is>
          <t>Shared</t>
        </is>
      </c>
      <c r="H211" s="102" t="inlineStr">
        <is>
          <t>Auto transfer</t>
        </is>
      </c>
      <c r="I211" s="113">
        <f>IF($A211="","",MONTH($A211))</f>
        <v/>
      </c>
      <c r="J211" s="113">
        <f>IF($A211="","",YEAR($A211))</f>
        <v/>
      </c>
      <c r="K211" s="113">
        <f>IFERROR(INDEX(Setup!$I$7:$I$22,MATCH($C211,Setup!$D$7:$D$22,0)),"")</f>
        <v/>
      </c>
      <c r="L211" s="88" t="n"/>
      <c r="M211" s="88" t="n"/>
      <c r="N211" s="88" t="n"/>
      <c r="O211" s="88" t="n"/>
      <c r="P211" s="88" t="n"/>
      <c r="Q211" s="88" t="n"/>
      <c r="R211" s="88" t="n"/>
      <c r="S211" s="88" t="n"/>
      <c r="T211" s="88" t="n"/>
      <c r="U211" s="88" t="n"/>
      <c r="V211" s="88" t="n"/>
      <c r="W211" s="88" t="n"/>
      <c r="X211" s="88" t="n"/>
      <c r="Y211" s="88" t="n"/>
      <c r="Z211" s="88" t="n"/>
    </row>
    <row r="212" ht="15" customHeight="1" s="86">
      <c r="A212" s="109">
        <v>46298</v>
      </c>
      <c r="B212" s="110" t="inlineStr">
        <is>
          <t>Expense</t>
        </is>
      </c>
      <c r="C212" s="111" t="inlineStr">
        <is>
          <t>Insurance</t>
        </is>
      </c>
      <c r="D212" s="111" t="inlineStr">
        <is>
          <t>Checking</t>
        </is>
      </c>
      <c r="E212" s="112">
        <v>240.0</v>
      </c>
      <c r="F212" s="111" t="inlineStr">
        <is>
          <t>Joint</t>
        </is>
      </c>
      <c r="G212" s="111" t="inlineStr">
        <is>
          <t>Shared</t>
        </is>
      </c>
      <c r="H212" s="111" t="inlineStr">
        <is>
          <t>Home + car</t>
        </is>
      </c>
      <c r="I212" s="113">
        <f>IF($A212="","",MONTH($A212))</f>
        <v/>
      </c>
      <c r="J212" s="113">
        <f>IF($A212="","",YEAR($A212))</f>
        <v/>
      </c>
      <c r="K212" s="113">
        <f>IFERROR(INDEX(Setup!$I$7:$I$22,MATCH($C212,Setup!$D$7:$D$22,0)),"")</f>
        <v/>
      </c>
      <c r="L212" s="88" t="n"/>
      <c r="M212" s="88" t="n"/>
      <c r="N212" s="88" t="n"/>
      <c r="O212" s="88" t="n"/>
      <c r="P212" s="88" t="n"/>
      <c r="Q212" s="88" t="n"/>
      <c r="R212" s="88" t="n"/>
      <c r="S212" s="88" t="n"/>
      <c r="T212" s="88" t="n"/>
      <c r="U212" s="88" t="n"/>
      <c r="V212" s="88" t="n"/>
      <c r="W212" s="88" t="n"/>
      <c r="X212" s="88" t="n"/>
      <c r="Y212" s="88" t="n"/>
      <c r="Z212" s="88" t="n"/>
    </row>
    <row r="213" ht="15" customHeight="1" s="86">
      <c r="A213" s="107">
        <v>46299</v>
      </c>
      <c r="B213" s="95" t="inlineStr">
        <is>
          <t>Expense</t>
        </is>
      </c>
      <c r="C213" s="102" t="inlineStr">
        <is>
          <t>Utilities</t>
        </is>
      </c>
      <c r="D213" s="102" t="inlineStr">
        <is>
          <t>Checking</t>
        </is>
      </c>
      <c r="E213" s="97">
        <v>205.09</v>
      </c>
      <c r="F213" s="102" t="inlineStr">
        <is>
          <t>Sam</t>
        </is>
      </c>
      <c r="G213" s="102" t="inlineStr">
        <is>
          <t>Shared</t>
        </is>
      </c>
      <c r="H213" s="102" t="inlineStr">
        <is>
          <t>Electric and gas</t>
        </is>
      </c>
      <c r="I213" s="113">
        <f>IF($A213="","",MONTH($A213))</f>
        <v/>
      </c>
      <c r="J213" s="113">
        <f>IF($A213="","",YEAR($A213))</f>
        <v/>
      </c>
      <c r="K213" s="113">
        <f>IFERROR(INDEX(Setup!$I$7:$I$22,MATCH($C213,Setup!$D$7:$D$22,0)),"")</f>
        <v/>
      </c>
      <c r="L213" s="88" t="n"/>
      <c r="M213" s="88" t="n"/>
      <c r="N213" s="88" t="n"/>
      <c r="O213" s="88" t="n"/>
      <c r="P213" s="88" t="n"/>
      <c r="Q213" s="88" t="n"/>
      <c r="R213" s="88" t="n"/>
      <c r="S213" s="88" t="n"/>
      <c r="T213" s="88" t="n"/>
      <c r="U213" s="88" t="n"/>
      <c r="V213" s="88" t="n"/>
      <c r="W213" s="88" t="n"/>
      <c r="X213" s="88" t="n"/>
      <c r="Y213" s="88" t="n"/>
      <c r="Z213" s="88" t="n"/>
    </row>
    <row r="214" ht="15" customHeight="1" s="86">
      <c r="A214" s="109">
        <v>46301</v>
      </c>
      <c r="B214" s="110" t="inlineStr">
        <is>
          <t>Expense</t>
        </is>
      </c>
      <c r="C214" s="111" t="inlineStr">
        <is>
          <t>Groceries</t>
        </is>
      </c>
      <c r="D214" s="111" t="inlineStr">
        <is>
          <t>Credit Card</t>
        </is>
      </c>
      <c r="E214" s="112">
        <v>355.26</v>
      </c>
      <c r="F214" s="111" t="inlineStr">
        <is>
          <t>Sam</t>
        </is>
      </c>
      <c r="G214" s="111" t="inlineStr">
        <is>
          <t>Shared</t>
        </is>
      </c>
      <c r="H214" s="111" t="inlineStr">
        <is>
          <t>Weekly shop</t>
        </is>
      </c>
      <c r="I214" s="113">
        <f>IF($A214="","",MONTH($A214))</f>
        <v/>
      </c>
      <c r="J214" s="113">
        <f>IF($A214="","",YEAR($A214))</f>
        <v/>
      </c>
      <c r="K214" s="113">
        <f>IFERROR(INDEX(Setup!$I$7:$I$22,MATCH($C214,Setup!$D$7:$D$22,0)),"")</f>
        <v/>
      </c>
      <c r="L214" s="88" t="n"/>
      <c r="M214" s="88" t="n"/>
      <c r="N214" s="88" t="n"/>
      <c r="O214" s="88" t="n"/>
      <c r="P214" s="88" t="n"/>
      <c r="Q214" s="88" t="n"/>
      <c r="R214" s="88" t="n"/>
      <c r="S214" s="88" t="n"/>
      <c r="T214" s="88" t="n"/>
      <c r="U214" s="88" t="n"/>
      <c r="V214" s="88" t="n"/>
      <c r="W214" s="88" t="n"/>
      <c r="X214" s="88" t="n"/>
      <c r="Y214" s="88" t="n"/>
      <c r="Z214" s="88" t="n"/>
    </row>
    <row r="215" ht="15" customHeight="1" s="86">
      <c r="A215" s="107">
        <v>46302</v>
      </c>
      <c r="B215" s="95" t="inlineStr">
        <is>
          <t>Expense</t>
        </is>
      </c>
      <c r="C215" s="102" t="inlineStr">
        <is>
          <t>Subscriptions</t>
        </is>
      </c>
      <c r="D215" s="102" t="inlineStr">
        <is>
          <t>Credit Card</t>
        </is>
      </c>
      <c r="E215" s="97">
        <v>46.99</v>
      </c>
      <c r="F215" s="102" t="inlineStr">
        <is>
          <t>Alex</t>
        </is>
      </c>
      <c r="G215" s="102" t="inlineStr">
        <is>
          <t>Shared</t>
        </is>
      </c>
      <c r="H215" s="102" t="inlineStr">
        <is>
          <t>Streaming + cloud</t>
        </is>
      </c>
      <c r="I215" s="113">
        <f>IF($A215="","",MONTH($A215))</f>
        <v/>
      </c>
      <c r="J215" s="113">
        <f>IF($A215="","",YEAR($A215))</f>
        <v/>
      </c>
      <c r="K215" s="113">
        <f>IFERROR(INDEX(Setup!$I$7:$I$22,MATCH($C215,Setup!$D$7:$D$22,0)),"")</f>
        <v/>
      </c>
      <c r="L215" s="88" t="n"/>
      <c r="M215" s="88" t="n"/>
      <c r="N215" s="88" t="n"/>
      <c r="O215" s="88" t="n"/>
      <c r="P215" s="88" t="n"/>
      <c r="Q215" s="88" t="n"/>
      <c r="R215" s="88" t="n"/>
      <c r="S215" s="88" t="n"/>
      <c r="T215" s="88" t="n"/>
      <c r="U215" s="88" t="n"/>
      <c r="V215" s="88" t="n"/>
      <c r="W215" s="88" t="n"/>
      <c r="X215" s="88" t="n"/>
      <c r="Y215" s="88" t="n"/>
      <c r="Z215" s="88" t="n"/>
    </row>
    <row r="216" ht="15" customHeight="1" s="86">
      <c r="A216" s="109">
        <v>46303</v>
      </c>
      <c r="B216" s="110" t="inlineStr">
        <is>
          <t>Expense</t>
        </is>
      </c>
      <c r="C216" s="111" t="inlineStr">
        <is>
          <t>Phone and Internet</t>
        </is>
      </c>
      <c r="D216" s="111" t="inlineStr">
        <is>
          <t>Checking</t>
        </is>
      </c>
      <c r="E216" s="112">
        <v>110.0</v>
      </c>
      <c r="F216" s="111" t="inlineStr">
        <is>
          <t>Sam</t>
        </is>
      </c>
      <c r="G216" s="111" t="inlineStr">
        <is>
          <t>Shared</t>
        </is>
      </c>
      <c r="H216" s="111" t="inlineStr">
        <is>
          <t>Fibre + mobiles</t>
        </is>
      </c>
      <c r="I216" s="113">
        <f>IF($A216="","",MONTH($A216))</f>
        <v/>
      </c>
      <c r="J216" s="113">
        <f>IF($A216="","",YEAR($A216))</f>
        <v/>
      </c>
      <c r="K216" s="113">
        <f>IFERROR(INDEX(Setup!$I$7:$I$22,MATCH($C216,Setup!$D$7:$D$22,0)),"")</f>
        <v/>
      </c>
      <c r="L216" s="88" t="n"/>
      <c r="M216" s="88" t="n"/>
      <c r="N216" s="88" t="n"/>
      <c r="O216" s="88" t="n"/>
      <c r="P216" s="88" t="n"/>
      <c r="Q216" s="88" t="n"/>
      <c r="R216" s="88" t="n"/>
      <c r="S216" s="88" t="n"/>
      <c r="T216" s="88" t="n"/>
      <c r="U216" s="88" t="n"/>
      <c r="V216" s="88" t="n"/>
      <c r="W216" s="88" t="n"/>
      <c r="X216" s="88" t="n"/>
      <c r="Y216" s="88" t="n"/>
      <c r="Z216" s="88" t="n"/>
    </row>
    <row r="217" ht="15" customHeight="1" s="86">
      <c r="A217" s="107">
        <v>46304</v>
      </c>
      <c r="B217" s="95" t="inlineStr">
        <is>
          <t>Expense</t>
        </is>
      </c>
      <c r="C217" s="102" t="inlineStr">
        <is>
          <t>Transport</t>
        </is>
      </c>
      <c r="D217" s="102" t="inlineStr">
        <is>
          <t>Credit Card</t>
        </is>
      </c>
      <c r="E217" s="97">
        <v>184.38</v>
      </c>
      <c r="F217" s="102" t="inlineStr">
        <is>
          <t>Alex</t>
        </is>
      </c>
      <c r="G217" s="102" t="inlineStr">
        <is>
          <t>Shared</t>
        </is>
      </c>
      <c r="H217" s="102" t="inlineStr">
        <is>
          <t>Fuel and transit</t>
        </is>
      </c>
      <c r="I217" s="113">
        <f>IF($A217="","",MONTH($A217))</f>
        <v/>
      </c>
      <c r="J217" s="113">
        <f>IF($A217="","",YEAR($A217))</f>
        <v/>
      </c>
      <c r="K217" s="113">
        <f>IFERROR(INDEX(Setup!$I$7:$I$22,MATCH($C217,Setup!$D$7:$D$22,0)),"")</f>
        <v/>
      </c>
      <c r="L217" s="88" t="n"/>
      <c r="M217" s="88" t="n"/>
      <c r="N217" s="88" t="n"/>
      <c r="O217" s="88" t="n"/>
      <c r="P217" s="88" t="n"/>
      <c r="Q217" s="88" t="n"/>
      <c r="R217" s="88" t="n"/>
      <c r="S217" s="88" t="n"/>
      <c r="T217" s="88" t="n"/>
      <c r="U217" s="88" t="n"/>
      <c r="V217" s="88" t="n"/>
      <c r="W217" s="88" t="n"/>
      <c r="X217" s="88" t="n"/>
      <c r="Y217" s="88" t="n"/>
      <c r="Z217" s="88" t="n"/>
    </row>
    <row r="218" ht="15" customHeight="1" s="86">
      <c r="A218" s="109">
        <v>46306</v>
      </c>
      <c r="B218" s="110" t="inlineStr">
        <is>
          <t>Expense</t>
        </is>
      </c>
      <c r="C218" s="111" t="inlineStr">
        <is>
          <t>Dining out</t>
        </is>
      </c>
      <c r="D218" s="111" t="inlineStr">
        <is>
          <t>Credit Card</t>
        </is>
      </c>
      <c r="E218" s="112">
        <v>92.07</v>
      </c>
      <c r="F218" s="111" t="inlineStr">
        <is>
          <t>Alex</t>
        </is>
      </c>
      <c r="G218" s="111" t="inlineStr">
        <is>
          <t>Shared</t>
        </is>
      </c>
      <c r="H218" s="111" t="inlineStr">
        <is>
          <t>Date night</t>
        </is>
      </c>
      <c r="I218" s="113">
        <f>IF($A218="","",MONTH($A218))</f>
        <v/>
      </c>
      <c r="J218" s="113">
        <f>IF($A218="","",YEAR($A218))</f>
        <v/>
      </c>
      <c r="K218" s="113">
        <f>IFERROR(INDEX(Setup!$I$7:$I$22,MATCH($C218,Setup!$D$7:$D$22,0)),"")</f>
        <v/>
      </c>
      <c r="L218" s="88" t="n"/>
      <c r="M218" s="88" t="n"/>
      <c r="N218" s="88" t="n"/>
      <c r="O218" s="88" t="n"/>
      <c r="P218" s="88" t="n"/>
      <c r="Q218" s="88" t="n"/>
      <c r="R218" s="88" t="n"/>
      <c r="S218" s="88" t="n"/>
      <c r="T218" s="88" t="n"/>
      <c r="U218" s="88" t="n"/>
      <c r="V218" s="88" t="n"/>
      <c r="W218" s="88" t="n"/>
      <c r="X218" s="88" t="n"/>
      <c r="Y218" s="88" t="n"/>
      <c r="Z218" s="88" t="n"/>
    </row>
    <row r="219" ht="15" customHeight="1" s="86">
      <c r="A219" s="107">
        <v>46307</v>
      </c>
      <c r="B219" s="95" t="inlineStr">
        <is>
          <t>Expense</t>
        </is>
      </c>
      <c r="C219" s="102" t="inlineStr">
        <is>
          <t>Debt</t>
        </is>
      </c>
      <c r="D219" s="102" t="inlineStr">
        <is>
          <t>Checking</t>
        </is>
      </c>
      <c r="E219" s="97">
        <v>420.0</v>
      </c>
      <c r="F219" s="102" t="inlineStr">
        <is>
          <t>Joint</t>
        </is>
      </c>
      <c r="G219" s="102" t="inlineStr">
        <is>
          <t>Shared</t>
        </is>
      </c>
      <c r="H219" s="102" t="inlineStr">
        <is>
          <t>Car loan</t>
        </is>
      </c>
      <c r="I219" s="113">
        <f>IF($A219="","",MONTH($A219))</f>
        <v/>
      </c>
      <c r="J219" s="113">
        <f>IF($A219="","",YEAR($A219))</f>
        <v/>
      </c>
      <c r="K219" s="113">
        <f>IFERROR(INDEX(Setup!$I$7:$I$22,MATCH($C219,Setup!$D$7:$D$22,0)),"")</f>
        <v/>
      </c>
      <c r="L219" s="88" t="n"/>
      <c r="M219" s="88" t="n"/>
      <c r="N219" s="88" t="n"/>
      <c r="O219" s="88" t="n"/>
      <c r="P219" s="88" t="n"/>
      <c r="Q219" s="88" t="n"/>
      <c r="R219" s="88" t="n"/>
      <c r="S219" s="88" t="n"/>
      <c r="T219" s="88" t="n"/>
      <c r="U219" s="88" t="n"/>
      <c r="V219" s="88" t="n"/>
      <c r="W219" s="88" t="n"/>
      <c r="X219" s="88" t="n"/>
      <c r="Y219" s="88" t="n"/>
      <c r="Z219" s="88" t="n"/>
    </row>
    <row r="220" ht="15" customHeight="1" s="86">
      <c r="A220" s="109">
        <v>46310</v>
      </c>
      <c r="B220" s="110" t="inlineStr">
        <is>
          <t>Expense</t>
        </is>
      </c>
      <c r="C220" s="111" t="inlineStr">
        <is>
          <t>Shopping</t>
        </is>
      </c>
      <c r="D220" s="111" t="inlineStr">
        <is>
          <t>Credit Card</t>
        </is>
      </c>
      <c r="E220" s="112">
        <v>138.58</v>
      </c>
      <c r="F220" s="111" t="inlineStr">
        <is>
          <t>Alex</t>
        </is>
      </c>
      <c r="G220" s="111" t="inlineStr">
        <is>
          <t>Personal</t>
        </is>
      </c>
      <c r="H220" s="111" t="inlineStr">
        <is>
          <t>Clothes</t>
        </is>
      </c>
      <c r="I220" s="113">
        <f>IF($A220="","",MONTH($A220))</f>
        <v/>
      </c>
      <c r="J220" s="113">
        <f>IF($A220="","",YEAR($A220))</f>
        <v/>
      </c>
      <c r="K220" s="113">
        <f>IFERROR(INDEX(Setup!$I$7:$I$22,MATCH($C220,Setup!$D$7:$D$22,0)),"")</f>
        <v/>
      </c>
      <c r="L220" s="88" t="n"/>
      <c r="M220" s="88" t="n"/>
      <c r="N220" s="88" t="n"/>
      <c r="O220" s="88" t="n"/>
      <c r="P220" s="88" t="n"/>
      <c r="Q220" s="88" t="n"/>
      <c r="R220" s="88" t="n"/>
      <c r="S220" s="88" t="n"/>
      <c r="T220" s="88" t="n"/>
      <c r="U220" s="88" t="n"/>
      <c r="V220" s="88" t="n"/>
      <c r="W220" s="88" t="n"/>
      <c r="X220" s="88" t="n"/>
      <c r="Y220" s="88" t="n"/>
      <c r="Z220" s="88" t="n"/>
    </row>
    <row r="221" ht="15" customHeight="1" s="86">
      <c r="A221" s="107">
        <v>46311</v>
      </c>
      <c r="B221" s="95" t="inlineStr">
        <is>
          <t>Expense</t>
        </is>
      </c>
      <c r="C221" s="102" t="inlineStr">
        <is>
          <t>Shopping</t>
        </is>
      </c>
      <c r="D221" s="102" t="inlineStr">
        <is>
          <t>Credit Card</t>
        </is>
      </c>
      <c r="E221" s="97">
        <v>120.78</v>
      </c>
      <c r="F221" s="102" t="inlineStr">
        <is>
          <t>Sam</t>
        </is>
      </c>
      <c r="G221" s="102" t="inlineStr">
        <is>
          <t>Personal</t>
        </is>
      </c>
      <c r="H221" s="102" t="inlineStr">
        <is>
          <t>Clothes</t>
        </is>
      </c>
      <c r="I221" s="113">
        <f>IF($A221="","",MONTH($A221))</f>
        <v/>
      </c>
      <c r="J221" s="113">
        <f>IF($A221="","",YEAR($A221))</f>
        <v/>
      </c>
      <c r="K221" s="113">
        <f>IFERROR(INDEX(Setup!$I$7:$I$22,MATCH($C221,Setup!$D$7:$D$22,0)),"")</f>
        <v/>
      </c>
      <c r="L221" s="88" t="n"/>
      <c r="M221" s="88" t="n"/>
      <c r="N221" s="88" t="n"/>
      <c r="O221" s="88" t="n"/>
      <c r="P221" s="88" t="n"/>
      <c r="Q221" s="88" t="n"/>
      <c r="R221" s="88" t="n"/>
      <c r="S221" s="88" t="n"/>
      <c r="T221" s="88" t="n"/>
      <c r="U221" s="88" t="n"/>
      <c r="V221" s="88" t="n"/>
      <c r="W221" s="88" t="n"/>
      <c r="X221" s="88" t="n"/>
      <c r="Y221" s="88" t="n"/>
      <c r="Z221" s="88" t="n"/>
    </row>
    <row r="222" ht="15" customHeight="1" s="86">
      <c r="A222" s="109">
        <v>46314</v>
      </c>
      <c r="B222" s="110" t="inlineStr">
        <is>
          <t>Expense</t>
        </is>
      </c>
      <c r="C222" s="111" t="inlineStr">
        <is>
          <t>Groceries</t>
        </is>
      </c>
      <c r="D222" s="111" t="inlineStr">
        <is>
          <t>Credit Card</t>
        </is>
      </c>
      <c r="E222" s="112">
        <v>318.75</v>
      </c>
      <c r="F222" s="111" t="inlineStr">
        <is>
          <t>Sam</t>
        </is>
      </c>
      <c r="G222" s="111" t="inlineStr">
        <is>
          <t>Shared</t>
        </is>
      </c>
      <c r="H222" s="111" t="inlineStr">
        <is>
          <t>Weekly shop</t>
        </is>
      </c>
      <c r="I222" s="113">
        <f>IF($A222="","",MONTH($A222))</f>
        <v/>
      </c>
      <c r="J222" s="113">
        <f>IF($A222="","",YEAR($A222))</f>
        <v/>
      </c>
      <c r="K222" s="113">
        <f>IFERROR(INDEX(Setup!$I$7:$I$22,MATCH($C222,Setup!$D$7:$D$22,0)),"")</f>
        <v/>
      </c>
      <c r="L222" s="88" t="n"/>
      <c r="M222" s="88" t="n"/>
      <c r="N222" s="88" t="n"/>
      <c r="O222" s="88" t="n"/>
      <c r="P222" s="88" t="n"/>
      <c r="Q222" s="88" t="n"/>
      <c r="R222" s="88" t="n"/>
      <c r="S222" s="88" t="n"/>
      <c r="T222" s="88" t="n"/>
      <c r="U222" s="88" t="n"/>
      <c r="V222" s="88" t="n"/>
      <c r="W222" s="88" t="n"/>
      <c r="X222" s="88" t="n"/>
      <c r="Y222" s="88" t="n"/>
      <c r="Z222" s="88" t="n"/>
    </row>
    <row r="223" ht="15" customHeight="1" s="86">
      <c r="A223" s="107">
        <v>46316</v>
      </c>
      <c r="B223" s="95" t="inlineStr">
        <is>
          <t>Expense</t>
        </is>
      </c>
      <c r="C223" s="102" t="inlineStr">
        <is>
          <t>Fun and Leisure</t>
        </is>
      </c>
      <c r="D223" s="102" t="inlineStr">
        <is>
          <t>Credit Card</t>
        </is>
      </c>
      <c r="E223" s="97">
        <v>137.55</v>
      </c>
      <c r="F223" s="102" t="inlineStr">
        <is>
          <t>Alex</t>
        </is>
      </c>
      <c r="G223" s="102" t="inlineStr">
        <is>
          <t>Personal</t>
        </is>
      </c>
      <c r="H223" s="102" t="inlineStr">
        <is>
          <t>Gym + hobbies</t>
        </is>
      </c>
      <c r="I223" s="113">
        <f>IF($A223="","",MONTH($A223))</f>
        <v/>
      </c>
      <c r="J223" s="113">
        <f>IF($A223="","",YEAR($A223))</f>
        <v/>
      </c>
      <c r="K223" s="113">
        <f>IFERROR(INDEX(Setup!$I$7:$I$22,MATCH($C223,Setup!$D$7:$D$22,0)),"")</f>
        <v/>
      </c>
      <c r="L223" s="88" t="n"/>
      <c r="M223" s="88" t="n"/>
      <c r="N223" s="88" t="n"/>
      <c r="O223" s="88" t="n"/>
      <c r="P223" s="88" t="n"/>
      <c r="Q223" s="88" t="n"/>
      <c r="R223" s="88" t="n"/>
      <c r="S223" s="88" t="n"/>
      <c r="T223" s="88" t="n"/>
      <c r="U223" s="88" t="n"/>
      <c r="V223" s="88" t="n"/>
      <c r="W223" s="88" t="n"/>
      <c r="X223" s="88" t="n"/>
      <c r="Y223" s="88" t="n"/>
      <c r="Z223" s="88" t="n"/>
    </row>
    <row r="224" ht="15" customHeight="1" s="86">
      <c r="A224" s="109">
        <v>46317</v>
      </c>
      <c r="B224" s="110" t="inlineStr">
        <is>
          <t>Expense</t>
        </is>
      </c>
      <c r="C224" s="111" t="inlineStr">
        <is>
          <t>Fun and Leisure</t>
        </is>
      </c>
      <c r="D224" s="111" t="inlineStr">
        <is>
          <t>Credit Card</t>
        </is>
      </c>
      <c r="E224" s="112">
        <v>161.44</v>
      </c>
      <c r="F224" s="111" t="inlineStr">
        <is>
          <t>Sam</t>
        </is>
      </c>
      <c r="G224" s="111" t="inlineStr">
        <is>
          <t>Personal</t>
        </is>
      </c>
      <c r="H224" s="111" t="inlineStr">
        <is>
          <t>Gym + hobbies</t>
        </is>
      </c>
      <c r="I224" s="113">
        <f>IF($A224="","",MONTH($A224))</f>
        <v/>
      </c>
      <c r="J224" s="113">
        <f>IF($A224="","",YEAR($A224))</f>
        <v/>
      </c>
      <c r="K224" s="113">
        <f>IFERROR(INDEX(Setup!$I$7:$I$22,MATCH($C224,Setup!$D$7:$D$22,0)),"")</f>
        <v/>
      </c>
      <c r="L224" s="88" t="n"/>
      <c r="M224" s="88" t="n"/>
      <c r="N224" s="88" t="n"/>
      <c r="O224" s="88" t="n"/>
      <c r="P224" s="88" t="n"/>
      <c r="Q224" s="88" t="n"/>
      <c r="R224" s="88" t="n"/>
      <c r="S224" s="88" t="n"/>
      <c r="T224" s="88" t="n"/>
      <c r="U224" s="88" t="n"/>
      <c r="V224" s="88" t="n"/>
      <c r="W224" s="88" t="n"/>
      <c r="X224" s="88" t="n"/>
      <c r="Y224" s="88" t="n"/>
      <c r="Z224" s="88" t="n"/>
    </row>
    <row r="225" ht="15" customHeight="1" s="86">
      <c r="A225" s="107">
        <v>46318</v>
      </c>
      <c r="B225" s="95" t="inlineStr">
        <is>
          <t>Expense</t>
        </is>
      </c>
      <c r="C225" s="102" t="inlineStr">
        <is>
          <t>Transport</t>
        </is>
      </c>
      <c r="D225" s="102" t="inlineStr">
        <is>
          <t>Credit Card</t>
        </is>
      </c>
      <c r="E225" s="97">
        <v>183.22</v>
      </c>
      <c r="F225" s="102" t="inlineStr">
        <is>
          <t>Sam</t>
        </is>
      </c>
      <c r="G225" s="102" t="inlineStr">
        <is>
          <t>Shared</t>
        </is>
      </c>
      <c r="H225" s="102" t="inlineStr">
        <is>
          <t>Fuel and transit</t>
        </is>
      </c>
      <c r="I225" s="113">
        <f>IF($A225="","",MONTH($A225))</f>
        <v/>
      </c>
      <c r="J225" s="113">
        <f>IF($A225="","",YEAR($A225))</f>
        <v/>
      </c>
      <c r="K225" s="113">
        <f>IFERROR(INDEX(Setup!$I$7:$I$22,MATCH($C225,Setup!$D$7:$D$22,0)),"")</f>
        <v/>
      </c>
      <c r="L225" s="88" t="n"/>
      <c r="M225" s="88" t="n"/>
      <c r="N225" s="88" t="n"/>
      <c r="O225" s="88" t="n"/>
      <c r="P225" s="88" t="n"/>
      <c r="Q225" s="88" t="n"/>
      <c r="R225" s="88" t="n"/>
      <c r="S225" s="88" t="n"/>
      <c r="T225" s="88" t="n"/>
      <c r="U225" s="88" t="n"/>
      <c r="V225" s="88" t="n"/>
      <c r="W225" s="88" t="n"/>
      <c r="X225" s="88" t="n"/>
      <c r="Y225" s="88" t="n"/>
      <c r="Z225" s="88" t="n"/>
    </row>
    <row r="226" ht="15" customHeight="1" s="86">
      <c r="A226" s="109">
        <v>46319</v>
      </c>
      <c r="B226" s="110" t="inlineStr">
        <is>
          <t>Expense</t>
        </is>
      </c>
      <c r="C226" s="111" t="inlineStr">
        <is>
          <t>Dining out</t>
        </is>
      </c>
      <c r="D226" s="111" t="inlineStr">
        <is>
          <t>Credit Card</t>
        </is>
      </c>
      <c r="E226" s="112">
        <v>103.36</v>
      </c>
      <c r="F226" s="111" t="inlineStr">
        <is>
          <t>Sam</t>
        </is>
      </c>
      <c r="G226" s="111" t="inlineStr">
        <is>
          <t>Shared</t>
        </is>
      </c>
      <c r="H226" s="111" t="inlineStr">
        <is>
          <t>Lunch out</t>
        </is>
      </c>
      <c r="I226" s="113">
        <f>IF($A226="","",MONTH($A226))</f>
        <v/>
      </c>
      <c r="J226" s="113">
        <f>IF($A226="","",YEAR($A226))</f>
        <v/>
      </c>
      <c r="K226" s="113">
        <f>IFERROR(INDEX(Setup!$I$7:$I$22,MATCH($C226,Setup!$D$7:$D$22,0)),"")</f>
        <v/>
      </c>
      <c r="L226" s="88" t="n"/>
      <c r="M226" s="88" t="n"/>
      <c r="N226" s="88" t="n"/>
      <c r="O226" s="88" t="n"/>
      <c r="P226" s="88" t="n"/>
      <c r="Q226" s="88" t="n"/>
      <c r="R226" s="88" t="n"/>
      <c r="S226" s="88" t="n"/>
      <c r="T226" s="88" t="n"/>
      <c r="U226" s="88" t="n"/>
      <c r="V226" s="88" t="n"/>
      <c r="W226" s="88" t="n"/>
      <c r="X226" s="88" t="n"/>
      <c r="Y226" s="88" t="n"/>
      <c r="Z226" s="88" t="n"/>
    </row>
    <row r="227" ht="15" customHeight="1" s="86">
      <c r="A227" s="107">
        <v>46327</v>
      </c>
      <c r="B227" s="95" t="inlineStr">
        <is>
          <t>Income</t>
        </is>
      </c>
      <c r="C227" s="102" t="inlineStr">
        <is>
          <t>Salary</t>
        </is>
      </c>
      <c r="D227" s="102" t="inlineStr">
        <is>
          <t>Checking</t>
        </is>
      </c>
      <c r="E227" s="97">
        <v>5200</v>
      </c>
      <c r="F227" s="102" t="inlineStr">
        <is>
          <t>Alex</t>
        </is>
      </c>
      <c r="G227" s="102" t="inlineStr">
        <is>
          <t>Personal</t>
        </is>
      </c>
      <c r="H227" s="102" t="inlineStr">
        <is>
          <t>Monthly pay</t>
        </is>
      </c>
      <c r="I227" s="113">
        <f>IF($A227="","",MONTH($A227))</f>
        <v/>
      </c>
      <c r="J227" s="113">
        <f>IF($A227="","",YEAR($A227))</f>
        <v/>
      </c>
      <c r="K227" s="113">
        <f>IFERROR(INDEX(Setup!$I$7:$I$22,MATCH($C227,Setup!$D$7:$D$22,0)),"")</f>
        <v/>
      </c>
      <c r="L227" s="88" t="n"/>
      <c r="M227" s="88" t="n"/>
      <c r="N227" s="88" t="n"/>
      <c r="O227" s="88" t="n"/>
      <c r="P227" s="88" t="n"/>
      <c r="Q227" s="88" t="n"/>
      <c r="R227" s="88" t="n"/>
      <c r="S227" s="88" t="n"/>
      <c r="T227" s="88" t="n"/>
      <c r="U227" s="88" t="n"/>
      <c r="V227" s="88" t="n"/>
      <c r="W227" s="88" t="n"/>
      <c r="X227" s="88" t="n"/>
      <c r="Y227" s="88" t="n"/>
      <c r="Z227" s="88" t="n"/>
    </row>
    <row r="228" ht="15" customHeight="1" s="86">
      <c r="A228" s="109">
        <v>46327</v>
      </c>
      <c r="B228" s="110" t="inlineStr">
        <is>
          <t>Income</t>
        </is>
      </c>
      <c r="C228" s="111" t="inlineStr">
        <is>
          <t>Salary</t>
        </is>
      </c>
      <c r="D228" s="111" t="inlineStr">
        <is>
          <t>Checking</t>
        </is>
      </c>
      <c r="E228" s="112">
        <v>3800</v>
      </c>
      <c r="F228" s="111" t="inlineStr">
        <is>
          <t>Sam</t>
        </is>
      </c>
      <c r="G228" s="111" t="inlineStr">
        <is>
          <t>Personal</t>
        </is>
      </c>
      <c r="H228" s="111" t="inlineStr">
        <is>
          <t>Monthly pay</t>
        </is>
      </c>
      <c r="I228" s="113">
        <f>IF($A228="","",MONTH($A228))</f>
        <v/>
      </c>
      <c r="J228" s="113">
        <f>IF($A228="","",YEAR($A228))</f>
        <v/>
      </c>
      <c r="K228" s="113">
        <f>IFERROR(INDEX(Setup!$I$7:$I$22,MATCH($C228,Setup!$D$7:$D$22,0)),"")</f>
        <v/>
      </c>
      <c r="L228" s="88" t="n"/>
      <c r="M228" s="88" t="n"/>
      <c r="N228" s="88" t="n"/>
      <c r="O228" s="88" t="n"/>
      <c r="P228" s="88" t="n"/>
      <c r="Q228" s="88" t="n"/>
      <c r="R228" s="88" t="n"/>
      <c r="S228" s="88" t="n"/>
      <c r="T228" s="88" t="n"/>
      <c r="U228" s="88" t="n"/>
      <c r="V228" s="88" t="n"/>
      <c r="W228" s="88" t="n"/>
      <c r="X228" s="88" t="n"/>
      <c r="Y228" s="88" t="n"/>
      <c r="Z228" s="88" t="n"/>
    </row>
    <row r="229" ht="15" customHeight="1" s="86">
      <c r="A229" s="107">
        <v>46327</v>
      </c>
      <c r="B229" s="95" t="inlineStr">
        <is>
          <t>Expense</t>
        </is>
      </c>
      <c r="C229" s="102" t="inlineStr">
        <is>
          <t>Rent or Mortgage</t>
        </is>
      </c>
      <c r="D229" s="102" t="inlineStr">
        <is>
          <t>Checking</t>
        </is>
      </c>
      <c r="E229" s="97">
        <v>2400.0</v>
      </c>
      <c r="F229" s="102" t="inlineStr">
        <is>
          <t>Alex</t>
        </is>
      </c>
      <c r="G229" s="102" t="inlineStr">
        <is>
          <t>Shared</t>
        </is>
      </c>
      <c r="H229" s="102" t="inlineStr">
        <is>
          <t>Rent</t>
        </is>
      </c>
      <c r="I229" s="113">
        <f>IF($A229="","",MONTH($A229))</f>
        <v/>
      </c>
      <c r="J229" s="113">
        <f>IF($A229="","",YEAR($A229))</f>
        <v/>
      </c>
      <c r="K229" s="113">
        <f>IFERROR(INDEX(Setup!$I$7:$I$22,MATCH($C229,Setup!$D$7:$D$22,0)),"")</f>
        <v/>
      </c>
      <c r="L229" s="88" t="n"/>
      <c r="M229" s="88" t="n"/>
      <c r="N229" s="88" t="n"/>
      <c r="O229" s="88" t="n"/>
      <c r="P229" s="88" t="n"/>
      <c r="Q229" s="88" t="n"/>
      <c r="R229" s="88" t="n"/>
      <c r="S229" s="88" t="n"/>
      <c r="T229" s="88" t="n"/>
      <c r="U229" s="88" t="n"/>
      <c r="V229" s="88" t="n"/>
      <c r="W229" s="88" t="n"/>
      <c r="X229" s="88" t="n"/>
      <c r="Y229" s="88" t="n"/>
      <c r="Z229" s="88" t="n"/>
    </row>
    <row r="230" ht="15" customHeight="1" s="86">
      <c r="A230" s="109">
        <v>46328</v>
      </c>
      <c r="B230" s="110" t="inlineStr">
        <is>
          <t>Transfer</t>
        </is>
      </c>
      <c r="C230" s="111" t="inlineStr">
        <is>
          <t>Emergency Fund</t>
        </is>
      </c>
      <c r="D230" s="111" t="inlineStr">
        <is>
          <t>Savings</t>
        </is>
      </c>
      <c r="E230" s="112">
        <v>850.0</v>
      </c>
      <c r="F230" s="111" t="inlineStr">
        <is>
          <t>Joint</t>
        </is>
      </c>
      <c r="G230" s="111" t="inlineStr">
        <is>
          <t>Shared</t>
        </is>
      </c>
      <c r="H230" s="111" t="inlineStr">
        <is>
          <t>Auto transfer</t>
        </is>
      </c>
      <c r="I230" s="113">
        <f>IF($A230="","",MONTH($A230))</f>
        <v/>
      </c>
      <c r="J230" s="113">
        <f>IF($A230="","",YEAR($A230))</f>
        <v/>
      </c>
      <c r="K230" s="113">
        <f>IFERROR(INDEX(Setup!$I$7:$I$22,MATCH($C230,Setup!$D$7:$D$22,0)),"")</f>
        <v/>
      </c>
      <c r="L230" s="88" t="n"/>
      <c r="M230" s="88" t="n"/>
      <c r="N230" s="88" t="n"/>
      <c r="O230" s="88" t="n"/>
      <c r="P230" s="88" t="n"/>
      <c r="Q230" s="88" t="n"/>
      <c r="R230" s="88" t="n"/>
      <c r="S230" s="88" t="n"/>
      <c r="T230" s="88" t="n"/>
      <c r="U230" s="88" t="n"/>
      <c r="V230" s="88" t="n"/>
      <c r="W230" s="88" t="n"/>
      <c r="X230" s="88" t="n"/>
      <c r="Y230" s="88" t="n"/>
      <c r="Z230" s="88" t="n"/>
    </row>
    <row r="231" ht="15" customHeight="1" s="86">
      <c r="A231" s="107">
        <v>46328</v>
      </c>
      <c r="B231" s="95" t="inlineStr">
        <is>
          <t>Transfer</t>
        </is>
      </c>
      <c r="C231" s="102" t="inlineStr">
        <is>
          <t>Holiday Fund</t>
        </is>
      </c>
      <c r="D231" s="102" t="inlineStr">
        <is>
          <t>Savings</t>
        </is>
      </c>
      <c r="E231" s="97">
        <v>420.0</v>
      </c>
      <c r="F231" s="102" t="inlineStr">
        <is>
          <t>Joint</t>
        </is>
      </c>
      <c r="G231" s="102" t="inlineStr">
        <is>
          <t>Shared</t>
        </is>
      </c>
      <c r="H231" s="102" t="inlineStr">
        <is>
          <t>Auto transfer</t>
        </is>
      </c>
      <c r="I231" s="113">
        <f>IF($A231="","",MONTH($A231))</f>
        <v/>
      </c>
      <c r="J231" s="113">
        <f>IF($A231="","",YEAR($A231))</f>
        <v/>
      </c>
      <c r="K231" s="113">
        <f>IFERROR(INDEX(Setup!$I$7:$I$22,MATCH($C231,Setup!$D$7:$D$22,0)),"")</f>
        <v/>
      </c>
      <c r="L231" s="88" t="n"/>
      <c r="M231" s="88" t="n"/>
      <c r="N231" s="88" t="n"/>
      <c r="O231" s="88" t="n"/>
      <c r="P231" s="88" t="n"/>
      <c r="Q231" s="88" t="n"/>
      <c r="R231" s="88" t="n"/>
      <c r="S231" s="88" t="n"/>
      <c r="T231" s="88" t="n"/>
      <c r="U231" s="88" t="n"/>
      <c r="V231" s="88" t="n"/>
      <c r="W231" s="88" t="n"/>
      <c r="X231" s="88" t="n"/>
      <c r="Y231" s="88" t="n"/>
      <c r="Z231" s="88" t="n"/>
    </row>
    <row r="232" ht="15" customHeight="1" s="86">
      <c r="A232" s="109">
        <v>46328</v>
      </c>
      <c r="B232" s="110" t="inlineStr">
        <is>
          <t>Transfer</t>
        </is>
      </c>
      <c r="C232" s="111" t="inlineStr">
        <is>
          <t>New Car</t>
        </is>
      </c>
      <c r="D232" s="111" t="inlineStr">
        <is>
          <t>Savings</t>
        </is>
      </c>
      <c r="E232" s="112">
        <v>610.0</v>
      </c>
      <c r="F232" s="111" t="inlineStr">
        <is>
          <t>Joint</t>
        </is>
      </c>
      <c r="G232" s="111" t="inlineStr">
        <is>
          <t>Shared</t>
        </is>
      </c>
      <c r="H232" s="111" t="inlineStr">
        <is>
          <t>Auto transfer</t>
        </is>
      </c>
      <c r="I232" s="113">
        <f>IF($A232="","",MONTH($A232))</f>
        <v/>
      </c>
      <c r="J232" s="113">
        <f>IF($A232="","",YEAR($A232))</f>
        <v/>
      </c>
      <c r="K232" s="113">
        <f>IFERROR(INDEX(Setup!$I$7:$I$22,MATCH($C232,Setup!$D$7:$D$22,0)),"")</f>
        <v/>
      </c>
      <c r="L232" s="88" t="n"/>
      <c r="M232" s="88" t="n"/>
      <c r="N232" s="88" t="n"/>
      <c r="O232" s="88" t="n"/>
      <c r="P232" s="88" t="n"/>
      <c r="Q232" s="88" t="n"/>
      <c r="R232" s="88" t="n"/>
      <c r="S232" s="88" t="n"/>
      <c r="T232" s="88" t="n"/>
      <c r="U232" s="88" t="n"/>
      <c r="V232" s="88" t="n"/>
      <c r="W232" s="88" t="n"/>
      <c r="X232" s="88" t="n"/>
      <c r="Y232" s="88" t="n"/>
      <c r="Z232" s="88" t="n"/>
    </row>
    <row r="233" ht="15" customHeight="1" s="86">
      <c r="A233" s="107">
        <v>46329</v>
      </c>
      <c r="B233" s="95" t="inlineStr">
        <is>
          <t>Expense</t>
        </is>
      </c>
      <c r="C233" s="102" t="inlineStr">
        <is>
          <t>Insurance</t>
        </is>
      </c>
      <c r="D233" s="102" t="inlineStr">
        <is>
          <t>Checking</t>
        </is>
      </c>
      <c r="E233" s="97">
        <v>240.0</v>
      </c>
      <c r="F233" s="102" t="inlineStr">
        <is>
          <t>Joint</t>
        </is>
      </c>
      <c r="G233" s="102" t="inlineStr">
        <is>
          <t>Shared</t>
        </is>
      </c>
      <c r="H233" s="102" t="inlineStr">
        <is>
          <t>Home + car</t>
        </is>
      </c>
      <c r="I233" s="113">
        <f>IF($A233="","",MONTH($A233))</f>
        <v/>
      </c>
      <c r="J233" s="113">
        <f>IF($A233="","",YEAR($A233))</f>
        <v/>
      </c>
      <c r="K233" s="113">
        <f>IFERROR(INDEX(Setup!$I$7:$I$22,MATCH($C233,Setup!$D$7:$D$22,0)),"")</f>
        <v/>
      </c>
      <c r="L233" s="88" t="n"/>
      <c r="M233" s="88" t="n"/>
      <c r="N233" s="88" t="n"/>
      <c r="O233" s="88" t="n"/>
      <c r="P233" s="88" t="n"/>
      <c r="Q233" s="88" t="n"/>
      <c r="R233" s="88" t="n"/>
      <c r="S233" s="88" t="n"/>
      <c r="T233" s="88" t="n"/>
      <c r="U233" s="88" t="n"/>
      <c r="V233" s="88" t="n"/>
      <c r="W233" s="88" t="n"/>
      <c r="X233" s="88" t="n"/>
      <c r="Y233" s="88" t="n"/>
      <c r="Z233" s="88" t="n"/>
    </row>
    <row r="234" ht="15" customHeight="1" s="86">
      <c r="A234" s="109">
        <v>46330</v>
      </c>
      <c r="B234" s="110" t="inlineStr">
        <is>
          <t>Expense</t>
        </is>
      </c>
      <c r="C234" s="111" t="inlineStr">
        <is>
          <t>Utilities</t>
        </is>
      </c>
      <c r="D234" s="111" t="inlineStr">
        <is>
          <t>Checking</t>
        </is>
      </c>
      <c r="E234" s="112">
        <v>235.14</v>
      </c>
      <c r="F234" s="111" t="inlineStr">
        <is>
          <t>Sam</t>
        </is>
      </c>
      <c r="G234" s="111" t="inlineStr">
        <is>
          <t>Shared</t>
        </is>
      </c>
      <c r="H234" s="111" t="inlineStr">
        <is>
          <t>Electric and gas</t>
        </is>
      </c>
      <c r="I234" s="113">
        <f>IF($A234="","",MONTH($A234))</f>
        <v/>
      </c>
      <c r="J234" s="113">
        <f>IF($A234="","",YEAR($A234))</f>
        <v/>
      </c>
      <c r="K234" s="113">
        <f>IFERROR(INDEX(Setup!$I$7:$I$22,MATCH($C234,Setup!$D$7:$D$22,0)),"")</f>
        <v/>
      </c>
      <c r="L234" s="88" t="n"/>
      <c r="M234" s="88" t="n"/>
      <c r="N234" s="88" t="n"/>
      <c r="O234" s="88" t="n"/>
      <c r="P234" s="88" t="n"/>
      <c r="Q234" s="88" t="n"/>
      <c r="R234" s="88" t="n"/>
      <c r="S234" s="88" t="n"/>
      <c r="T234" s="88" t="n"/>
      <c r="U234" s="88" t="n"/>
      <c r="V234" s="88" t="n"/>
      <c r="W234" s="88" t="n"/>
      <c r="X234" s="88" t="n"/>
      <c r="Y234" s="88" t="n"/>
      <c r="Z234" s="88" t="n"/>
    </row>
    <row r="235" ht="15" customHeight="1" s="86">
      <c r="A235" s="107">
        <v>46332</v>
      </c>
      <c r="B235" s="95" t="inlineStr">
        <is>
          <t>Expense</t>
        </is>
      </c>
      <c r="C235" s="102" t="inlineStr">
        <is>
          <t>Groceries</t>
        </is>
      </c>
      <c r="D235" s="102" t="inlineStr">
        <is>
          <t>Credit Card</t>
        </is>
      </c>
      <c r="E235" s="97">
        <v>353.82</v>
      </c>
      <c r="F235" s="102" t="inlineStr">
        <is>
          <t>Sam</t>
        </is>
      </c>
      <c r="G235" s="102" t="inlineStr">
        <is>
          <t>Shared</t>
        </is>
      </c>
      <c r="H235" s="102" t="inlineStr">
        <is>
          <t>Weekly shop</t>
        </is>
      </c>
      <c r="I235" s="113">
        <f>IF($A235="","",MONTH($A235))</f>
        <v/>
      </c>
      <c r="J235" s="113">
        <f>IF($A235="","",YEAR($A235))</f>
        <v/>
      </c>
      <c r="K235" s="113">
        <f>IFERROR(INDEX(Setup!$I$7:$I$22,MATCH($C235,Setup!$D$7:$D$22,0)),"")</f>
        <v/>
      </c>
      <c r="L235" s="88" t="n"/>
      <c r="M235" s="88" t="n"/>
      <c r="N235" s="88" t="n"/>
      <c r="O235" s="88" t="n"/>
      <c r="P235" s="88" t="n"/>
      <c r="Q235" s="88" t="n"/>
      <c r="R235" s="88" t="n"/>
      <c r="S235" s="88" t="n"/>
      <c r="T235" s="88" t="n"/>
      <c r="U235" s="88" t="n"/>
      <c r="V235" s="88" t="n"/>
      <c r="W235" s="88" t="n"/>
      <c r="X235" s="88" t="n"/>
      <c r="Y235" s="88" t="n"/>
      <c r="Z235" s="88" t="n"/>
    </row>
    <row r="236" ht="15" customHeight="1" s="86">
      <c r="A236" s="109">
        <v>46333</v>
      </c>
      <c r="B236" s="110" t="inlineStr">
        <is>
          <t>Expense</t>
        </is>
      </c>
      <c r="C236" s="111" t="inlineStr">
        <is>
          <t>Subscriptions</t>
        </is>
      </c>
      <c r="D236" s="111" t="inlineStr">
        <is>
          <t>Credit Card</t>
        </is>
      </c>
      <c r="E236" s="112">
        <v>46.99</v>
      </c>
      <c r="F236" s="111" t="inlineStr">
        <is>
          <t>Alex</t>
        </is>
      </c>
      <c r="G236" s="111" t="inlineStr">
        <is>
          <t>Shared</t>
        </is>
      </c>
      <c r="H236" s="111" t="inlineStr">
        <is>
          <t>Streaming + cloud</t>
        </is>
      </c>
      <c r="I236" s="113">
        <f>IF($A236="","",MONTH($A236))</f>
        <v/>
      </c>
      <c r="J236" s="113">
        <f>IF($A236="","",YEAR($A236))</f>
        <v/>
      </c>
      <c r="K236" s="113">
        <f>IFERROR(INDEX(Setup!$I$7:$I$22,MATCH($C236,Setup!$D$7:$D$22,0)),"")</f>
        <v/>
      </c>
      <c r="L236" s="88" t="n"/>
      <c r="M236" s="88" t="n"/>
      <c r="N236" s="88" t="n"/>
      <c r="O236" s="88" t="n"/>
      <c r="P236" s="88" t="n"/>
      <c r="Q236" s="88" t="n"/>
      <c r="R236" s="88" t="n"/>
      <c r="S236" s="88" t="n"/>
      <c r="T236" s="88" t="n"/>
      <c r="U236" s="88" t="n"/>
      <c r="V236" s="88" t="n"/>
      <c r="W236" s="88" t="n"/>
      <c r="X236" s="88" t="n"/>
      <c r="Y236" s="88" t="n"/>
      <c r="Z236" s="88" t="n"/>
    </row>
    <row r="237" ht="15" customHeight="1" s="86">
      <c r="A237" s="107">
        <v>46334</v>
      </c>
      <c r="B237" s="95" t="inlineStr">
        <is>
          <t>Expense</t>
        </is>
      </c>
      <c r="C237" s="102" t="inlineStr">
        <is>
          <t>Phone and Internet</t>
        </is>
      </c>
      <c r="D237" s="102" t="inlineStr">
        <is>
          <t>Checking</t>
        </is>
      </c>
      <c r="E237" s="97">
        <v>110.0</v>
      </c>
      <c r="F237" s="102" t="inlineStr">
        <is>
          <t>Sam</t>
        </is>
      </c>
      <c r="G237" s="102" t="inlineStr">
        <is>
          <t>Shared</t>
        </is>
      </c>
      <c r="H237" s="102" t="inlineStr">
        <is>
          <t>Fibre + mobiles</t>
        </is>
      </c>
      <c r="I237" s="113">
        <f>IF($A237="","",MONTH($A237))</f>
        <v/>
      </c>
      <c r="J237" s="113">
        <f>IF($A237="","",YEAR($A237))</f>
        <v/>
      </c>
      <c r="K237" s="113">
        <f>IFERROR(INDEX(Setup!$I$7:$I$22,MATCH($C237,Setup!$D$7:$D$22,0)),"")</f>
        <v/>
      </c>
      <c r="L237" s="88" t="n"/>
      <c r="M237" s="88" t="n"/>
      <c r="N237" s="88" t="n"/>
      <c r="O237" s="88" t="n"/>
      <c r="P237" s="88" t="n"/>
      <c r="Q237" s="88" t="n"/>
      <c r="R237" s="88" t="n"/>
      <c r="S237" s="88" t="n"/>
      <c r="T237" s="88" t="n"/>
      <c r="U237" s="88" t="n"/>
      <c r="V237" s="88" t="n"/>
      <c r="W237" s="88" t="n"/>
      <c r="X237" s="88" t="n"/>
      <c r="Y237" s="88" t="n"/>
      <c r="Z237" s="88" t="n"/>
    </row>
    <row r="238" ht="15" customHeight="1" s="86">
      <c r="A238" s="109">
        <v>46335</v>
      </c>
      <c r="B238" s="110" t="inlineStr">
        <is>
          <t>Expense</t>
        </is>
      </c>
      <c r="C238" s="111" t="inlineStr">
        <is>
          <t>Transport</t>
        </is>
      </c>
      <c r="D238" s="111" t="inlineStr">
        <is>
          <t>Credit Card</t>
        </is>
      </c>
      <c r="E238" s="112">
        <v>169.18</v>
      </c>
      <c r="F238" s="111" t="inlineStr">
        <is>
          <t>Alex</t>
        </is>
      </c>
      <c r="G238" s="111" t="inlineStr">
        <is>
          <t>Shared</t>
        </is>
      </c>
      <c r="H238" s="111" t="inlineStr">
        <is>
          <t>Fuel and transit</t>
        </is>
      </c>
      <c r="I238" s="113">
        <f>IF($A238="","",MONTH($A238))</f>
        <v/>
      </c>
      <c r="J238" s="113">
        <f>IF($A238="","",YEAR($A238))</f>
        <v/>
      </c>
      <c r="K238" s="113">
        <f>IFERROR(INDEX(Setup!$I$7:$I$22,MATCH($C238,Setup!$D$7:$D$22,0)),"")</f>
        <v/>
      </c>
      <c r="L238" s="88" t="n"/>
      <c r="M238" s="88" t="n"/>
      <c r="N238" s="88" t="n"/>
      <c r="O238" s="88" t="n"/>
      <c r="P238" s="88" t="n"/>
      <c r="Q238" s="88" t="n"/>
      <c r="R238" s="88" t="n"/>
      <c r="S238" s="88" t="n"/>
      <c r="T238" s="88" t="n"/>
      <c r="U238" s="88" t="n"/>
      <c r="V238" s="88" t="n"/>
      <c r="W238" s="88" t="n"/>
      <c r="X238" s="88" t="n"/>
      <c r="Y238" s="88" t="n"/>
      <c r="Z238" s="88" t="n"/>
    </row>
    <row r="239" ht="15" customHeight="1" s="86">
      <c r="A239" s="107">
        <v>46337</v>
      </c>
      <c r="B239" s="95" t="inlineStr">
        <is>
          <t>Expense</t>
        </is>
      </c>
      <c r="C239" s="102" t="inlineStr">
        <is>
          <t>Dining out</t>
        </is>
      </c>
      <c r="D239" s="102" t="inlineStr">
        <is>
          <t>Credit Card</t>
        </is>
      </c>
      <c r="E239" s="97">
        <v>87.93</v>
      </c>
      <c r="F239" s="102" t="inlineStr">
        <is>
          <t>Alex</t>
        </is>
      </c>
      <c r="G239" s="102" t="inlineStr">
        <is>
          <t>Shared</t>
        </is>
      </c>
      <c r="H239" s="102" t="inlineStr">
        <is>
          <t>Date night</t>
        </is>
      </c>
      <c r="I239" s="113">
        <f>IF($A239="","",MONTH($A239))</f>
        <v/>
      </c>
      <c r="J239" s="113">
        <f>IF($A239="","",YEAR($A239))</f>
        <v/>
      </c>
      <c r="K239" s="113">
        <f>IFERROR(INDEX(Setup!$I$7:$I$22,MATCH($C239,Setup!$D$7:$D$22,0)),"")</f>
        <v/>
      </c>
      <c r="L239" s="88" t="n"/>
      <c r="M239" s="88" t="n"/>
      <c r="N239" s="88" t="n"/>
      <c r="O239" s="88" t="n"/>
      <c r="P239" s="88" t="n"/>
      <c r="Q239" s="88" t="n"/>
      <c r="R239" s="88" t="n"/>
      <c r="S239" s="88" t="n"/>
      <c r="T239" s="88" t="n"/>
      <c r="U239" s="88" t="n"/>
      <c r="V239" s="88" t="n"/>
      <c r="W239" s="88" t="n"/>
      <c r="X239" s="88" t="n"/>
      <c r="Y239" s="88" t="n"/>
      <c r="Z239" s="88" t="n"/>
    </row>
    <row r="240" ht="15" customHeight="1" s="86">
      <c r="A240" s="109">
        <v>46338</v>
      </c>
      <c r="B240" s="110" t="inlineStr">
        <is>
          <t>Expense</t>
        </is>
      </c>
      <c r="C240" s="111" t="inlineStr">
        <is>
          <t>Debt</t>
        </is>
      </c>
      <c r="D240" s="111" t="inlineStr">
        <is>
          <t>Checking</t>
        </is>
      </c>
      <c r="E240" s="112">
        <v>420.0</v>
      </c>
      <c r="F240" s="111" t="inlineStr">
        <is>
          <t>Joint</t>
        </is>
      </c>
      <c r="G240" s="111" t="inlineStr">
        <is>
          <t>Shared</t>
        </is>
      </c>
      <c r="H240" s="111" t="inlineStr">
        <is>
          <t>Car loan</t>
        </is>
      </c>
      <c r="I240" s="113">
        <f>IF($A240="","",MONTH($A240))</f>
        <v/>
      </c>
      <c r="J240" s="113">
        <f>IF($A240="","",YEAR($A240))</f>
        <v/>
      </c>
      <c r="K240" s="113">
        <f>IFERROR(INDEX(Setup!$I$7:$I$22,MATCH($C240,Setup!$D$7:$D$22,0)),"")</f>
        <v/>
      </c>
      <c r="L240" s="88" t="n"/>
      <c r="M240" s="88" t="n"/>
      <c r="N240" s="88" t="n"/>
      <c r="O240" s="88" t="n"/>
      <c r="P240" s="88" t="n"/>
      <c r="Q240" s="88" t="n"/>
      <c r="R240" s="88" t="n"/>
      <c r="S240" s="88" t="n"/>
      <c r="T240" s="88" t="n"/>
      <c r="U240" s="88" t="n"/>
      <c r="V240" s="88" t="n"/>
      <c r="W240" s="88" t="n"/>
      <c r="X240" s="88" t="n"/>
      <c r="Y240" s="88" t="n"/>
      <c r="Z240" s="88" t="n"/>
    </row>
    <row r="241" ht="15" customHeight="1" s="86">
      <c r="A241" s="107">
        <v>46340</v>
      </c>
      <c r="B241" s="95" t="inlineStr">
        <is>
          <t>Expense</t>
        </is>
      </c>
      <c r="C241" s="102" t="inlineStr">
        <is>
          <t>Gifts</t>
        </is>
      </c>
      <c r="D241" s="102" t="inlineStr">
        <is>
          <t>Credit Card</t>
        </is>
      </c>
      <c r="E241" s="97">
        <v>190</v>
      </c>
      <c r="F241" s="102" t="inlineStr">
        <is>
          <t>Sam</t>
        </is>
      </c>
      <c r="G241" s="102" t="inlineStr">
        <is>
          <t>Personal</t>
        </is>
      </c>
      <c r="H241" s="102" t="inlineStr">
        <is>
          <t>Present</t>
        </is>
      </c>
      <c r="I241" s="113">
        <f>IF($A241="","",MONTH($A241))</f>
        <v/>
      </c>
      <c r="J241" s="113">
        <f>IF($A241="","",YEAR($A241))</f>
        <v/>
      </c>
      <c r="K241" s="113">
        <f>IFERROR(INDEX(Setup!$I$7:$I$22,MATCH($C241,Setup!$D$7:$D$22,0)),"")</f>
        <v/>
      </c>
      <c r="L241" s="88" t="n"/>
      <c r="M241" s="88" t="n"/>
      <c r="N241" s="88" t="n"/>
      <c r="O241" s="88" t="n"/>
      <c r="P241" s="88" t="n"/>
      <c r="Q241" s="88" t="n"/>
      <c r="R241" s="88" t="n"/>
      <c r="S241" s="88" t="n"/>
      <c r="T241" s="88" t="n"/>
      <c r="U241" s="88" t="n"/>
      <c r="V241" s="88" t="n"/>
      <c r="W241" s="88" t="n"/>
      <c r="X241" s="88" t="n"/>
      <c r="Y241" s="88" t="n"/>
      <c r="Z241" s="88" t="n"/>
    </row>
    <row r="242" ht="15" customHeight="1" s="86">
      <c r="A242" s="109">
        <v>46341</v>
      </c>
      <c r="B242" s="110" t="inlineStr">
        <is>
          <t>Expense</t>
        </is>
      </c>
      <c r="C242" s="111" t="inlineStr">
        <is>
          <t>Shopping</t>
        </is>
      </c>
      <c r="D242" s="111" t="inlineStr">
        <is>
          <t>Credit Card</t>
        </is>
      </c>
      <c r="E242" s="112">
        <v>153.73</v>
      </c>
      <c r="F242" s="111" t="inlineStr">
        <is>
          <t>Alex</t>
        </is>
      </c>
      <c r="G242" s="111" t="inlineStr">
        <is>
          <t>Personal</t>
        </is>
      </c>
      <c r="H242" s="111" t="inlineStr">
        <is>
          <t>Clothes</t>
        </is>
      </c>
      <c r="I242" s="113">
        <f>IF($A242="","",MONTH($A242))</f>
        <v/>
      </c>
      <c r="J242" s="113">
        <f>IF($A242="","",YEAR($A242))</f>
        <v/>
      </c>
      <c r="K242" s="113">
        <f>IFERROR(INDEX(Setup!$I$7:$I$22,MATCH($C242,Setup!$D$7:$D$22,0)),"")</f>
        <v/>
      </c>
      <c r="L242" s="88" t="n"/>
      <c r="M242" s="88" t="n"/>
      <c r="N242" s="88" t="n"/>
      <c r="O242" s="88" t="n"/>
      <c r="P242" s="88" t="n"/>
      <c r="Q242" s="88" t="n"/>
      <c r="R242" s="88" t="n"/>
      <c r="S242" s="88" t="n"/>
      <c r="T242" s="88" t="n"/>
      <c r="U242" s="88" t="n"/>
      <c r="V242" s="88" t="n"/>
      <c r="W242" s="88" t="n"/>
      <c r="X242" s="88" t="n"/>
      <c r="Y242" s="88" t="n"/>
      <c r="Z242" s="88" t="n"/>
    </row>
    <row r="243" ht="15" customHeight="1" s="86">
      <c r="A243" s="107">
        <v>46342</v>
      </c>
      <c r="B243" s="95" t="inlineStr">
        <is>
          <t>Expense</t>
        </is>
      </c>
      <c r="C243" s="102" t="inlineStr">
        <is>
          <t>Shopping</t>
        </is>
      </c>
      <c r="D243" s="102" t="inlineStr">
        <is>
          <t>Credit Card</t>
        </is>
      </c>
      <c r="E243" s="97">
        <v>99.54</v>
      </c>
      <c r="F243" s="102" t="inlineStr">
        <is>
          <t>Sam</t>
        </is>
      </c>
      <c r="G243" s="102" t="inlineStr">
        <is>
          <t>Personal</t>
        </is>
      </c>
      <c r="H243" s="102" t="inlineStr">
        <is>
          <t>Clothes</t>
        </is>
      </c>
      <c r="I243" s="113">
        <f>IF($A243="","",MONTH($A243))</f>
        <v/>
      </c>
      <c r="J243" s="113">
        <f>IF($A243="","",YEAR($A243))</f>
        <v/>
      </c>
      <c r="K243" s="113">
        <f>IFERROR(INDEX(Setup!$I$7:$I$22,MATCH($C243,Setup!$D$7:$D$22,0)),"")</f>
        <v/>
      </c>
      <c r="L243" s="88" t="n"/>
      <c r="M243" s="88" t="n"/>
      <c r="N243" s="88" t="n"/>
      <c r="O243" s="88" t="n"/>
      <c r="P243" s="88" t="n"/>
      <c r="Q243" s="88" t="n"/>
      <c r="R243" s="88" t="n"/>
      <c r="S243" s="88" t="n"/>
      <c r="T243" s="88" t="n"/>
      <c r="U243" s="88" t="n"/>
      <c r="V243" s="88" t="n"/>
      <c r="W243" s="88" t="n"/>
      <c r="X243" s="88" t="n"/>
      <c r="Y243" s="88" t="n"/>
      <c r="Z243" s="88" t="n"/>
    </row>
    <row r="244" ht="15" customHeight="1" s="86">
      <c r="A244" s="109">
        <v>46343</v>
      </c>
      <c r="B244" s="110" t="inlineStr">
        <is>
          <t>Expense</t>
        </is>
      </c>
      <c r="C244" s="111" t="inlineStr">
        <is>
          <t>Health</t>
        </is>
      </c>
      <c r="D244" s="111" t="inlineStr">
        <is>
          <t>Checking</t>
        </is>
      </c>
      <c r="E244" s="112">
        <v>110</v>
      </c>
      <c r="F244" s="111" t="inlineStr">
        <is>
          <t>Alex</t>
        </is>
      </c>
      <c r="G244" s="111" t="inlineStr">
        <is>
          <t>Personal</t>
        </is>
      </c>
      <c r="H244" s="111" t="inlineStr">
        <is>
          <t>Pharmacy</t>
        </is>
      </c>
      <c r="I244" s="113">
        <f>IF($A244="","",MONTH($A244))</f>
        <v/>
      </c>
      <c r="J244" s="113">
        <f>IF($A244="","",YEAR($A244))</f>
        <v/>
      </c>
      <c r="K244" s="113">
        <f>IFERROR(INDEX(Setup!$I$7:$I$22,MATCH($C244,Setup!$D$7:$D$22,0)),"")</f>
        <v/>
      </c>
      <c r="L244" s="88" t="n"/>
      <c r="M244" s="88" t="n"/>
      <c r="N244" s="88" t="n"/>
      <c r="O244" s="88" t="n"/>
      <c r="P244" s="88" t="n"/>
      <c r="Q244" s="88" t="n"/>
      <c r="R244" s="88" t="n"/>
      <c r="S244" s="88" t="n"/>
      <c r="T244" s="88" t="n"/>
      <c r="U244" s="88" t="n"/>
      <c r="V244" s="88" t="n"/>
      <c r="W244" s="88" t="n"/>
      <c r="X244" s="88" t="n"/>
      <c r="Y244" s="88" t="n"/>
      <c r="Z244" s="88" t="n"/>
    </row>
    <row r="245" ht="15" customHeight="1" s="86">
      <c r="A245" s="107">
        <v>46345</v>
      </c>
      <c r="B245" s="95" t="inlineStr">
        <is>
          <t>Expense</t>
        </is>
      </c>
      <c r="C245" s="102" t="inlineStr">
        <is>
          <t>Groceries</t>
        </is>
      </c>
      <c r="D245" s="102" t="inlineStr">
        <is>
          <t>Credit Card</t>
        </is>
      </c>
      <c r="E245" s="97">
        <v>296.7</v>
      </c>
      <c r="F245" s="102" t="inlineStr">
        <is>
          <t>Sam</t>
        </is>
      </c>
      <c r="G245" s="102" t="inlineStr">
        <is>
          <t>Shared</t>
        </is>
      </c>
      <c r="H245" s="102" t="inlineStr">
        <is>
          <t>Weekly shop</t>
        </is>
      </c>
      <c r="I245" s="113">
        <f>IF($A245="","",MONTH($A245))</f>
        <v/>
      </c>
      <c r="J245" s="113">
        <f>IF($A245="","",YEAR($A245))</f>
        <v/>
      </c>
      <c r="K245" s="113">
        <f>IFERROR(INDEX(Setup!$I$7:$I$22,MATCH($C245,Setup!$D$7:$D$22,0)),"")</f>
        <v/>
      </c>
      <c r="L245" s="88" t="n"/>
      <c r="M245" s="88" t="n"/>
      <c r="N245" s="88" t="n"/>
      <c r="O245" s="88" t="n"/>
      <c r="P245" s="88" t="n"/>
      <c r="Q245" s="88" t="n"/>
      <c r="R245" s="88" t="n"/>
      <c r="S245" s="88" t="n"/>
      <c r="T245" s="88" t="n"/>
      <c r="U245" s="88" t="n"/>
      <c r="V245" s="88" t="n"/>
      <c r="W245" s="88" t="n"/>
      <c r="X245" s="88" t="n"/>
      <c r="Y245" s="88" t="n"/>
      <c r="Z245" s="88" t="n"/>
    </row>
    <row r="246" ht="15" customHeight="1" s="86">
      <c r="A246" s="109">
        <v>46347</v>
      </c>
      <c r="B246" s="110" t="inlineStr">
        <is>
          <t>Expense</t>
        </is>
      </c>
      <c r="C246" s="111" t="inlineStr">
        <is>
          <t>Fun and Leisure</t>
        </is>
      </c>
      <c r="D246" s="111" t="inlineStr">
        <is>
          <t>Credit Card</t>
        </is>
      </c>
      <c r="E246" s="112">
        <v>147.17</v>
      </c>
      <c r="F246" s="111" t="inlineStr">
        <is>
          <t>Alex</t>
        </is>
      </c>
      <c r="G246" s="111" t="inlineStr">
        <is>
          <t>Personal</t>
        </is>
      </c>
      <c r="H246" s="111" t="inlineStr">
        <is>
          <t>Gym + hobbies</t>
        </is>
      </c>
      <c r="I246" s="113">
        <f>IF($A246="","",MONTH($A246))</f>
        <v/>
      </c>
      <c r="J246" s="113">
        <f>IF($A246="","",YEAR($A246))</f>
        <v/>
      </c>
      <c r="K246" s="113">
        <f>IFERROR(INDEX(Setup!$I$7:$I$22,MATCH($C246,Setup!$D$7:$D$22,0)),"")</f>
        <v/>
      </c>
      <c r="L246" s="88" t="n"/>
      <c r="M246" s="88" t="n"/>
      <c r="N246" s="88" t="n"/>
      <c r="O246" s="88" t="n"/>
      <c r="P246" s="88" t="n"/>
      <c r="Q246" s="88" t="n"/>
      <c r="R246" s="88" t="n"/>
      <c r="S246" s="88" t="n"/>
      <c r="T246" s="88" t="n"/>
      <c r="U246" s="88" t="n"/>
      <c r="V246" s="88" t="n"/>
      <c r="W246" s="88" t="n"/>
      <c r="X246" s="88" t="n"/>
      <c r="Y246" s="88" t="n"/>
      <c r="Z246" s="88" t="n"/>
    </row>
    <row r="247" ht="15" customHeight="1" s="86">
      <c r="A247" s="107">
        <v>46348</v>
      </c>
      <c r="B247" s="95" t="inlineStr">
        <is>
          <t>Expense</t>
        </is>
      </c>
      <c r="C247" s="102" t="inlineStr">
        <is>
          <t>Fun and Leisure</t>
        </is>
      </c>
      <c r="D247" s="102" t="inlineStr">
        <is>
          <t>Credit Card</t>
        </is>
      </c>
      <c r="E247" s="97">
        <v>133.39</v>
      </c>
      <c r="F247" s="102" t="inlineStr">
        <is>
          <t>Sam</t>
        </is>
      </c>
      <c r="G247" s="102" t="inlineStr">
        <is>
          <t>Personal</t>
        </is>
      </c>
      <c r="H247" s="102" t="inlineStr">
        <is>
          <t>Gym + hobbies</t>
        </is>
      </c>
      <c r="I247" s="113">
        <f>IF($A247="","",MONTH($A247))</f>
        <v/>
      </c>
      <c r="J247" s="113">
        <f>IF($A247="","",YEAR($A247))</f>
        <v/>
      </c>
      <c r="K247" s="113">
        <f>IFERROR(INDEX(Setup!$I$7:$I$22,MATCH($C247,Setup!$D$7:$D$22,0)),"")</f>
        <v/>
      </c>
      <c r="L247" s="88" t="n"/>
      <c r="M247" s="88" t="n"/>
      <c r="N247" s="88" t="n"/>
      <c r="O247" s="88" t="n"/>
      <c r="P247" s="88" t="n"/>
      <c r="Q247" s="88" t="n"/>
      <c r="R247" s="88" t="n"/>
      <c r="S247" s="88" t="n"/>
      <c r="T247" s="88" t="n"/>
      <c r="U247" s="88" t="n"/>
      <c r="V247" s="88" t="n"/>
      <c r="W247" s="88" t="n"/>
      <c r="X247" s="88" t="n"/>
      <c r="Y247" s="88" t="n"/>
      <c r="Z247" s="88" t="n"/>
    </row>
    <row r="248" ht="15" customHeight="1" s="86">
      <c r="A248" s="109">
        <v>46349</v>
      </c>
      <c r="B248" s="110" t="inlineStr">
        <is>
          <t>Expense</t>
        </is>
      </c>
      <c r="C248" s="111" t="inlineStr">
        <is>
          <t>Transport</t>
        </is>
      </c>
      <c r="D248" s="111" t="inlineStr">
        <is>
          <t>Credit Card</t>
        </is>
      </c>
      <c r="E248" s="112">
        <v>199.45</v>
      </c>
      <c r="F248" s="111" t="inlineStr">
        <is>
          <t>Sam</t>
        </is>
      </c>
      <c r="G248" s="111" t="inlineStr">
        <is>
          <t>Shared</t>
        </is>
      </c>
      <c r="H248" s="111" t="inlineStr">
        <is>
          <t>Fuel and transit</t>
        </is>
      </c>
      <c r="I248" s="113">
        <f>IF($A248="","",MONTH($A248))</f>
        <v/>
      </c>
      <c r="J248" s="113">
        <f>IF($A248="","",YEAR($A248))</f>
        <v/>
      </c>
      <c r="K248" s="113">
        <f>IFERROR(INDEX(Setup!$I$7:$I$22,MATCH($C248,Setup!$D$7:$D$22,0)),"")</f>
        <v/>
      </c>
      <c r="L248" s="88" t="n"/>
      <c r="M248" s="88" t="n"/>
      <c r="N248" s="88" t="n"/>
      <c r="O248" s="88" t="n"/>
      <c r="P248" s="88" t="n"/>
      <c r="Q248" s="88" t="n"/>
      <c r="R248" s="88" t="n"/>
      <c r="S248" s="88" t="n"/>
      <c r="T248" s="88" t="n"/>
      <c r="U248" s="88" t="n"/>
      <c r="V248" s="88" t="n"/>
      <c r="W248" s="88" t="n"/>
      <c r="X248" s="88" t="n"/>
      <c r="Y248" s="88" t="n"/>
      <c r="Z248" s="88" t="n"/>
    </row>
    <row r="249" ht="15" customHeight="1" s="86">
      <c r="A249" s="107">
        <v>46350</v>
      </c>
      <c r="B249" s="95" t="inlineStr">
        <is>
          <t>Expense</t>
        </is>
      </c>
      <c r="C249" s="102" t="inlineStr">
        <is>
          <t>Dining out</t>
        </is>
      </c>
      <c r="D249" s="102" t="inlineStr">
        <is>
          <t>Credit Card</t>
        </is>
      </c>
      <c r="E249" s="97">
        <v>103.71</v>
      </c>
      <c r="F249" s="102" t="inlineStr">
        <is>
          <t>Sam</t>
        </is>
      </c>
      <c r="G249" s="102" t="inlineStr">
        <is>
          <t>Shared</t>
        </is>
      </c>
      <c r="H249" s="102" t="inlineStr">
        <is>
          <t>Lunch out</t>
        </is>
      </c>
      <c r="I249" s="113">
        <f>IF($A249="","",MONTH($A249))</f>
        <v/>
      </c>
      <c r="J249" s="113">
        <f>IF($A249="","",YEAR($A249))</f>
        <v/>
      </c>
      <c r="K249" s="113">
        <f>IFERROR(INDEX(Setup!$I$7:$I$22,MATCH($C249,Setup!$D$7:$D$22,0)),"")</f>
        <v/>
      </c>
      <c r="L249" s="88" t="n"/>
      <c r="M249" s="88" t="n"/>
      <c r="N249" s="88" t="n"/>
      <c r="O249" s="88" t="n"/>
      <c r="P249" s="88" t="n"/>
      <c r="Q249" s="88" t="n"/>
      <c r="R249" s="88" t="n"/>
      <c r="S249" s="88" t="n"/>
      <c r="T249" s="88" t="n"/>
      <c r="U249" s="88" t="n"/>
      <c r="V249" s="88" t="n"/>
      <c r="W249" s="88" t="n"/>
      <c r="X249" s="88" t="n"/>
      <c r="Y249" s="88" t="n"/>
      <c r="Z249" s="88" t="n"/>
    </row>
    <row r="250" ht="15" customHeight="1" s="86">
      <c r="A250" s="109">
        <v>46357</v>
      </c>
      <c r="B250" s="110" t="inlineStr">
        <is>
          <t>Income</t>
        </is>
      </c>
      <c r="C250" s="111" t="inlineStr">
        <is>
          <t>Salary</t>
        </is>
      </c>
      <c r="D250" s="111" t="inlineStr">
        <is>
          <t>Checking</t>
        </is>
      </c>
      <c r="E250" s="112">
        <v>5200</v>
      </c>
      <c r="F250" s="111" t="inlineStr">
        <is>
          <t>Alex</t>
        </is>
      </c>
      <c r="G250" s="111" t="inlineStr">
        <is>
          <t>Personal</t>
        </is>
      </c>
      <c r="H250" s="111" t="inlineStr">
        <is>
          <t>Monthly pay</t>
        </is>
      </c>
      <c r="I250" s="113">
        <f>IF($A250="","",MONTH($A250))</f>
        <v/>
      </c>
      <c r="J250" s="113">
        <f>IF($A250="","",YEAR($A250))</f>
        <v/>
      </c>
      <c r="K250" s="113">
        <f>IFERROR(INDEX(Setup!$I$7:$I$22,MATCH($C250,Setup!$D$7:$D$22,0)),"")</f>
        <v/>
      </c>
      <c r="L250" s="88" t="n"/>
      <c r="M250" s="88" t="n"/>
      <c r="N250" s="88" t="n"/>
      <c r="O250" s="88" t="n"/>
      <c r="P250" s="88" t="n"/>
      <c r="Q250" s="88" t="n"/>
      <c r="R250" s="88" t="n"/>
      <c r="S250" s="88" t="n"/>
      <c r="T250" s="88" t="n"/>
      <c r="U250" s="88" t="n"/>
      <c r="V250" s="88" t="n"/>
      <c r="W250" s="88" t="n"/>
      <c r="X250" s="88" t="n"/>
      <c r="Y250" s="88" t="n"/>
      <c r="Z250" s="88" t="n"/>
    </row>
    <row r="251" ht="15" customHeight="1" s="86">
      <c r="A251" s="107">
        <v>46357</v>
      </c>
      <c r="B251" s="95" t="inlineStr">
        <is>
          <t>Income</t>
        </is>
      </c>
      <c r="C251" s="102" t="inlineStr">
        <is>
          <t>Salary</t>
        </is>
      </c>
      <c r="D251" s="102" t="inlineStr">
        <is>
          <t>Checking</t>
        </is>
      </c>
      <c r="E251" s="97">
        <v>3800</v>
      </c>
      <c r="F251" s="102" t="inlineStr">
        <is>
          <t>Sam</t>
        </is>
      </c>
      <c r="G251" s="102" t="inlineStr">
        <is>
          <t>Personal</t>
        </is>
      </c>
      <c r="H251" s="102" t="inlineStr">
        <is>
          <t>Monthly pay</t>
        </is>
      </c>
      <c r="I251" s="113">
        <f>IF($A251="","",MONTH($A251))</f>
        <v/>
      </c>
      <c r="J251" s="113">
        <f>IF($A251="","",YEAR($A251))</f>
        <v/>
      </c>
      <c r="K251" s="113">
        <f>IFERROR(INDEX(Setup!$I$7:$I$22,MATCH($C251,Setup!$D$7:$D$22,0)),"")</f>
        <v/>
      </c>
      <c r="L251" s="88" t="n"/>
      <c r="M251" s="88" t="n"/>
      <c r="N251" s="88" t="n"/>
      <c r="O251" s="88" t="n"/>
      <c r="P251" s="88" t="n"/>
      <c r="Q251" s="88" t="n"/>
      <c r="R251" s="88" t="n"/>
      <c r="S251" s="88" t="n"/>
      <c r="T251" s="88" t="n"/>
      <c r="U251" s="88" t="n"/>
      <c r="V251" s="88" t="n"/>
      <c r="W251" s="88" t="n"/>
      <c r="X251" s="88" t="n"/>
      <c r="Y251" s="88" t="n"/>
      <c r="Z251" s="88" t="n"/>
    </row>
    <row r="252" ht="15" customHeight="1" s="86">
      <c r="A252" s="109">
        <v>46357</v>
      </c>
      <c r="B252" s="110" t="inlineStr">
        <is>
          <t>Expense</t>
        </is>
      </c>
      <c r="C252" s="111" t="inlineStr">
        <is>
          <t>Rent or Mortgage</t>
        </is>
      </c>
      <c r="D252" s="111" t="inlineStr">
        <is>
          <t>Checking</t>
        </is>
      </c>
      <c r="E252" s="112">
        <v>2400.0</v>
      </c>
      <c r="F252" s="111" t="inlineStr">
        <is>
          <t>Alex</t>
        </is>
      </c>
      <c r="G252" s="111" t="inlineStr">
        <is>
          <t>Shared</t>
        </is>
      </c>
      <c r="H252" s="111" t="inlineStr">
        <is>
          <t>Rent</t>
        </is>
      </c>
      <c r="I252" s="113">
        <f>IF($A252="","",MONTH($A252))</f>
        <v/>
      </c>
      <c r="J252" s="113">
        <f>IF($A252="","",YEAR($A252))</f>
        <v/>
      </c>
      <c r="K252" s="113">
        <f>IFERROR(INDEX(Setup!$I$7:$I$22,MATCH($C252,Setup!$D$7:$D$22,0)),"")</f>
        <v/>
      </c>
      <c r="L252" s="88" t="n"/>
      <c r="M252" s="88" t="n"/>
      <c r="N252" s="88" t="n"/>
      <c r="O252" s="88" t="n"/>
      <c r="P252" s="88" t="n"/>
      <c r="Q252" s="88" t="n"/>
      <c r="R252" s="88" t="n"/>
      <c r="S252" s="88" t="n"/>
      <c r="T252" s="88" t="n"/>
      <c r="U252" s="88" t="n"/>
      <c r="V252" s="88" t="n"/>
      <c r="W252" s="88" t="n"/>
      <c r="X252" s="88" t="n"/>
      <c r="Y252" s="88" t="n"/>
      <c r="Z252" s="88" t="n"/>
    </row>
    <row r="253" ht="15" customHeight="1" s="86">
      <c r="A253" s="107">
        <v>46358</v>
      </c>
      <c r="B253" s="95" t="inlineStr">
        <is>
          <t>Transfer</t>
        </is>
      </c>
      <c r="C253" s="102" t="inlineStr">
        <is>
          <t>Emergency Fund</t>
        </is>
      </c>
      <c r="D253" s="102" t="inlineStr">
        <is>
          <t>Savings</t>
        </is>
      </c>
      <c r="E253" s="97">
        <v>850.0</v>
      </c>
      <c r="F253" s="102" t="inlineStr">
        <is>
          <t>Joint</t>
        </is>
      </c>
      <c r="G253" s="102" t="inlineStr">
        <is>
          <t>Shared</t>
        </is>
      </c>
      <c r="H253" s="102" t="inlineStr">
        <is>
          <t>Auto transfer</t>
        </is>
      </c>
      <c r="I253" s="113">
        <f>IF($A253="","",MONTH($A253))</f>
        <v/>
      </c>
      <c r="J253" s="113">
        <f>IF($A253="","",YEAR($A253))</f>
        <v/>
      </c>
      <c r="K253" s="113">
        <f>IFERROR(INDEX(Setup!$I$7:$I$22,MATCH($C253,Setup!$D$7:$D$22,0)),"")</f>
        <v/>
      </c>
      <c r="L253" s="88" t="n"/>
      <c r="M253" s="88" t="n"/>
      <c r="N253" s="88" t="n"/>
      <c r="O253" s="88" t="n"/>
      <c r="P253" s="88" t="n"/>
      <c r="Q253" s="88" t="n"/>
      <c r="R253" s="88" t="n"/>
      <c r="S253" s="88" t="n"/>
      <c r="T253" s="88" t="n"/>
      <c r="U253" s="88" t="n"/>
      <c r="V253" s="88" t="n"/>
      <c r="W253" s="88" t="n"/>
      <c r="X253" s="88" t="n"/>
      <c r="Y253" s="88" t="n"/>
      <c r="Z253" s="88" t="n"/>
    </row>
    <row r="254" ht="15" customHeight="1" s="86">
      <c r="A254" s="109">
        <v>46358</v>
      </c>
      <c r="B254" s="110" t="inlineStr">
        <is>
          <t>Transfer</t>
        </is>
      </c>
      <c r="C254" s="111" t="inlineStr">
        <is>
          <t>Holiday Fund</t>
        </is>
      </c>
      <c r="D254" s="111" t="inlineStr">
        <is>
          <t>Savings</t>
        </is>
      </c>
      <c r="E254" s="112">
        <v>420.0</v>
      </c>
      <c r="F254" s="111" t="inlineStr">
        <is>
          <t>Joint</t>
        </is>
      </c>
      <c r="G254" s="111" t="inlineStr">
        <is>
          <t>Shared</t>
        </is>
      </c>
      <c r="H254" s="111" t="inlineStr">
        <is>
          <t>Auto transfer</t>
        </is>
      </c>
      <c r="I254" s="113">
        <f>IF($A254="","",MONTH($A254))</f>
        <v/>
      </c>
      <c r="J254" s="113">
        <f>IF($A254="","",YEAR($A254))</f>
        <v/>
      </c>
      <c r="K254" s="113">
        <f>IFERROR(INDEX(Setup!$I$7:$I$22,MATCH($C254,Setup!$D$7:$D$22,0)),"")</f>
        <v/>
      </c>
      <c r="L254" s="88" t="n"/>
      <c r="M254" s="88" t="n"/>
      <c r="N254" s="88" t="n"/>
      <c r="O254" s="88" t="n"/>
      <c r="P254" s="88" t="n"/>
      <c r="Q254" s="88" t="n"/>
      <c r="R254" s="88" t="n"/>
      <c r="S254" s="88" t="n"/>
      <c r="T254" s="88" t="n"/>
      <c r="U254" s="88" t="n"/>
      <c r="V254" s="88" t="n"/>
      <c r="W254" s="88" t="n"/>
      <c r="X254" s="88" t="n"/>
      <c r="Y254" s="88" t="n"/>
      <c r="Z254" s="88" t="n"/>
    </row>
    <row r="255" ht="15" customHeight="1" s="86">
      <c r="A255" s="107">
        <v>46358</v>
      </c>
      <c r="B255" s="95" t="inlineStr">
        <is>
          <t>Transfer</t>
        </is>
      </c>
      <c r="C255" s="102" t="inlineStr">
        <is>
          <t>New Car</t>
        </is>
      </c>
      <c r="D255" s="102" t="inlineStr">
        <is>
          <t>Savings</t>
        </is>
      </c>
      <c r="E255" s="97">
        <v>610.0</v>
      </c>
      <c r="F255" s="102" t="inlineStr">
        <is>
          <t>Joint</t>
        </is>
      </c>
      <c r="G255" s="102" t="inlineStr">
        <is>
          <t>Shared</t>
        </is>
      </c>
      <c r="H255" s="102" t="inlineStr">
        <is>
          <t>Auto transfer</t>
        </is>
      </c>
      <c r="I255" s="113">
        <f>IF($A255="","",MONTH($A255))</f>
        <v/>
      </c>
      <c r="J255" s="113">
        <f>IF($A255="","",YEAR($A255))</f>
        <v/>
      </c>
      <c r="K255" s="113">
        <f>IFERROR(INDEX(Setup!$I$7:$I$22,MATCH($C255,Setup!$D$7:$D$22,0)),"")</f>
        <v/>
      </c>
      <c r="L255" s="88" t="n"/>
      <c r="M255" s="88" t="n"/>
      <c r="N255" s="88" t="n"/>
      <c r="O255" s="88" t="n"/>
      <c r="P255" s="88" t="n"/>
      <c r="Q255" s="88" t="n"/>
      <c r="R255" s="88" t="n"/>
      <c r="S255" s="88" t="n"/>
      <c r="T255" s="88" t="n"/>
      <c r="U255" s="88" t="n"/>
      <c r="V255" s="88" t="n"/>
      <c r="W255" s="88" t="n"/>
      <c r="X255" s="88" t="n"/>
      <c r="Y255" s="88" t="n"/>
      <c r="Z255" s="88" t="n"/>
    </row>
    <row r="256" ht="15" customHeight="1" s="86">
      <c r="A256" s="109">
        <v>46359</v>
      </c>
      <c r="B256" s="110" t="inlineStr">
        <is>
          <t>Expense</t>
        </is>
      </c>
      <c r="C256" s="111" t="inlineStr">
        <is>
          <t>Insurance</t>
        </is>
      </c>
      <c r="D256" s="111" t="inlineStr">
        <is>
          <t>Checking</t>
        </is>
      </c>
      <c r="E256" s="112">
        <v>240.0</v>
      </c>
      <c r="F256" s="111" t="inlineStr">
        <is>
          <t>Joint</t>
        </is>
      </c>
      <c r="G256" s="111" t="inlineStr">
        <is>
          <t>Shared</t>
        </is>
      </c>
      <c r="H256" s="111" t="inlineStr">
        <is>
          <t>Home + car</t>
        </is>
      </c>
      <c r="I256" s="113">
        <f>IF($A256="","",MONTH($A256))</f>
        <v/>
      </c>
      <c r="J256" s="113">
        <f>IF($A256="","",YEAR($A256))</f>
        <v/>
      </c>
      <c r="K256" s="113">
        <f>IFERROR(INDEX(Setup!$I$7:$I$22,MATCH($C256,Setup!$D$7:$D$22,0)),"")</f>
        <v/>
      </c>
      <c r="L256" s="88" t="n"/>
      <c r="M256" s="88" t="n"/>
      <c r="N256" s="88" t="n"/>
      <c r="O256" s="88" t="n"/>
      <c r="P256" s="88" t="n"/>
      <c r="Q256" s="88" t="n"/>
      <c r="R256" s="88" t="n"/>
      <c r="S256" s="88" t="n"/>
      <c r="T256" s="88" t="n"/>
      <c r="U256" s="88" t="n"/>
      <c r="V256" s="88" t="n"/>
      <c r="W256" s="88" t="n"/>
      <c r="X256" s="88" t="n"/>
      <c r="Y256" s="88" t="n"/>
      <c r="Z256" s="88" t="n"/>
    </row>
    <row r="257" ht="15" customHeight="1" s="86">
      <c r="A257" s="107">
        <v>46360</v>
      </c>
      <c r="B257" s="95" t="inlineStr">
        <is>
          <t>Expense</t>
        </is>
      </c>
      <c r="C257" s="102" t="inlineStr">
        <is>
          <t>Utilities</t>
        </is>
      </c>
      <c r="D257" s="102" t="inlineStr">
        <is>
          <t>Checking</t>
        </is>
      </c>
      <c r="E257" s="97">
        <v>231.48</v>
      </c>
      <c r="F257" s="102" t="inlineStr">
        <is>
          <t>Sam</t>
        </is>
      </c>
      <c r="G257" s="102" t="inlineStr">
        <is>
          <t>Shared</t>
        </is>
      </c>
      <c r="H257" s="102" t="inlineStr">
        <is>
          <t>Electric and gas</t>
        </is>
      </c>
      <c r="I257" s="113">
        <f>IF($A257="","",MONTH($A257))</f>
        <v/>
      </c>
      <c r="J257" s="113">
        <f>IF($A257="","",YEAR($A257))</f>
        <v/>
      </c>
      <c r="K257" s="113">
        <f>IFERROR(INDEX(Setup!$I$7:$I$22,MATCH($C257,Setup!$D$7:$D$22,0)),"")</f>
        <v/>
      </c>
      <c r="L257" s="88" t="n"/>
      <c r="M257" s="88" t="n"/>
      <c r="N257" s="88" t="n"/>
      <c r="O257" s="88" t="n"/>
      <c r="P257" s="88" t="n"/>
      <c r="Q257" s="88" t="n"/>
      <c r="R257" s="88" t="n"/>
      <c r="S257" s="88" t="n"/>
      <c r="T257" s="88" t="n"/>
      <c r="U257" s="88" t="n"/>
      <c r="V257" s="88" t="n"/>
      <c r="W257" s="88" t="n"/>
      <c r="X257" s="88" t="n"/>
      <c r="Y257" s="88" t="n"/>
      <c r="Z257" s="88" t="n"/>
    </row>
    <row r="258" ht="15" customHeight="1" s="86">
      <c r="A258" s="109">
        <v>46362</v>
      </c>
      <c r="B258" s="110" t="inlineStr">
        <is>
          <t>Expense</t>
        </is>
      </c>
      <c r="C258" s="111" t="inlineStr">
        <is>
          <t>Groceries</t>
        </is>
      </c>
      <c r="D258" s="111" t="inlineStr">
        <is>
          <t>Credit Card</t>
        </is>
      </c>
      <c r="E258" s="112">
        <v>301.34</v>
      </c>
      <c r="F258" s="111" t="inlineStr">
        <is>
          <t>Sam</t>
        </is>
      </c>
      <c r="G258" s="111" t="inlineStr">
        <is>
          <t>Shared</t>
        </is>
      </c>
      <c r="H258" s="111" t="inlineStr">
        <is>
          <t>Weekly shop</t>
        </is>
      </c>
      <c r="I258" s="113">
        <f>IF($A258="","",MONTH($A258))</f>
        <v/>
      </c>
      <c r="J258" s="113">
        <f>IF($A258="","",YEAR($A258))</f>
        <v/>
      </c>
      <c r="K258" s="113">
        <f>IFERROR(INDEX(Setup!$I$7:$I$22,MATCH($C258,Setup!$D$7:$D$22,0)),"")</f>
        <v/>
      </c>
      <c r="L258" s="88" t="n"/>
      <c r="M258" s="88" t="n"/>
      <c r="N258" s="88" t="n"/>
      <c r="O258" s="88" t="n"/>
      <c r="P258" s="88" t="n"/>
      <c r="Q258" s="88" t="n"/>
      <c r="R258" s="88" t="n"/>
      <c r="S258" s="88" t="n"/>
      <c r="T258" s="88" t="n"/>
      <c r="U258" s="88" t="n"/>
      <c r="V258" s="88" t="n"/>
      <c r="W258" s="88" t="n"/>
      <c r="X258" s="88" t="n"/>
      <c r="Y258" s="88" t="n"/>
      <c r="Z258" s="88" t="n"/>
    </row>
    <row r="259" ht="15" customHeight="1" s="86">
      <c r="A259" s="107">
        <v>46363</v>
      </c>
      <c r="B259" s="95" t="inlineStr">
        <is>
          <t>Expense</t>
        </is>
      </c>
      <c r="C259" s="102" t="inlineStr">
        <is>
          <t>Subscriptions</t>
        </is>
      </c>
      <c r="D259" s="102" t="inlineStr">
        <is>
          <t>Credit Card</t>
        </is>
      </c>
      <c r="E259" s="97">
        <v>46.99</v>
      </c>
      <c r="F259" s="102" t="inlineStr">
        <is>
          <t>Alex</t>
        </is>
      </c>
      <c r="G259" s="102" t="inlineStr">
        <is>
          <t>Shared</t>
        </is>
      </c>
      <c r="H259" s="102" t="inlineStr">
        <is>
          <t>Streaming + cloud</t>
        </is>
      </c>
      <c r="I259" s="113">
        <f>IF($A259="","",MONTH($A259))</f>
        <v/>
      </c>
      <c r="J259" s="113">
        <f>IF($A259="","",YEAR($A259))</f>
        <v/>
      </c>
      <c r="K259" s="113">
        <f>IFERROR(INDEX(Setup!$I$7:$I$22,MATCH($C259,Setup!$D$7:$D$22,0)),"")</f>
        <v/>
      </c>
      <c r="L259" s="88" t="n"/>
      <c r="M259" s="88" t="n"/>
      <c r="N259" s="88" t="n"/>
      <c r="O259" s="88" t="n"/>
      <c r="P259" s="88" t="n"/>
      <c r="Q259" s="88" t="n"/>
      <c r="R259" s="88" t="n"/>
      <c r="S259" s="88" t="n"/>
      <c r="T259" s="88" t="n"/>
      <c r="U259" s="88" t="n"/>
      <c r="V259" s="88" t="n"/>
      <c r="W259" s="88" t="n"/>
      <c r="X259" s="88" t="n"/>
      <c r="Y259" s="88" t="n"/>
      <c r="Z259" s="88" t="n"/>
    </row>
    <row r="260" ht="15" customHeight="1" s="86">
      <c r="A260" s="109">
        <v>46364</v>
      </c>
      <c r="B260" s="110" t="inlineStr">
        <is>
          <t>Expense</t>
        </is>
      </c>
      <c r="C260" s="111" t="inlineStr">
        <is>
          <t>Phone and Internet</t>
        </is>
      </c>
      <c r="D260" s="111" t="inlineStr">
        <is>
          <t>Checking</t>
        </is>
      </c>
      <c r="E260" s="112">
        <v>110.0</v>
      </c>
      <c r="F260" s="111" t="inlineStr">
        <is>
          <t>Sam</t>
        </is>
      </c>
      <c r="G260" s="111" t="inlineStr">
        <is>
          <t>Shared</t>
        </is>
      </c>
      <c r="H260" s="111" t="inlineStr">
        <is>
          <t>Fibre + mobiles</t>
        </is>
      </c>
      <c r="I260" s="113">
        <f>IF($A260="","",MONTH($A260))</f>
        <v/>
      </c>
      <c r="J260" s="113">
        <f>IF($A260="","",YEAR($A260))</f>
        <v/>
      </c>
      <c r="K260" s="113">
        <f>IFERROR(INDEX(Setup!$I$7:$I$22,MATCH($C260,Setup!$D$7:$D$22,0)),"")</f>
        <v/>
      </c>
      <c r="L260" s="88" t="n"/>
      <c r="M260" s="88" t="n"/>
      <c r="N260" s="88" t="n"/>
      <c r="O260" s="88" t="n"/>
      <c r="P260" s="88" t="n"/>
      <c r="Q260" s="88" t="n"/>
      <c r="R260" s="88" t="n"/>
      <c r="S260" s="88" t="n"/>
      <c r="T260" s="88" t="n"/>
      <c r="U260" s="88" t="n"/>
      <c r="V260" s="88" t="n"/>
      <c r="W260" s="88" t="n"/>
      <c r="X260" s="88" t="n"/>
      <c r="Y260" s="88" t="n"/>
      <c r="Z260" s="88" t="n"/>
    </row>
    <row r="261" ht="15" customHeight="1" s="86">
      <c r="A261" s="107">
        <v>46365</v>
      </c>
      <c r="B261" s="95" t="inlineStr">
        <is>
          <t>Expense</t>
        </is>
      </c>
      <c r="C261" s="102" t="inlineStr">
        <is>
          <t>Transport</t>
        </is>
      </c>
      <c r="D261" s="102" t="inlineStr">
        <is>
          <t>Credit Card</t>
        </is>
      </c>
      <c r="E261" s="97">
        <v>199.99</v>
      </c>
      <c r="F261" s="102" t="inlineStr">
        <is>
          <t>Alex</t>
        </is>
      </c>
      <c r="G261" s="102" t="inlineStr">
        <is>
          <t>Shared</t>
        </is>
      </c>
      <c r="H261" s="102" t="inlineStr">
        <is>
          <t>Fuel and transit</t>
        </is>
      </c>
      <c r="I261" s="113">
        <f>IF($A261="","",MONTH($A261))</f>
        <v/>
      </c>
      <c r="J261" s="113">
        <f>IF($A261="","",YEAR($A261))</f>
        <v/>
      </c>
      <c r="K261" s="113">
        <f>IFERROR(INDEX(Setup!$I$7:$I$22,MATCH($C261,Setup!$D$7:$D$22,0)),"")</f>
        <v/>
      </c>
      <c r="L261" s="88" t="n"/>
      <c r="M261" s="88" t="n"/>
      <c r="N261" s="88" t="n"/>
      <c r="O261" s="88" t="n"/>
      <c r="P261" s="88" t="n"/>
      <c r="Q261" s="88" t="n"/>
      <c r="R261" s="88" t="n"/>
      <c r="S261" s="88" t="n"/>
      <c r="T261" s="88" t="n"/>
      <c r="U261" s="88" t="n"/>
      <c r="V261" s="88" t="n"/>
      <c r="W261" s="88" t="n"/>
      <c r="X261" s="88" t="n"/>
      <c r="Y261" s="88" t="n"/>
      <c r="Z261" s="88" t="n"/>
    </row>
    <row r="262" ht="15" customHeight="1" s="86">
      <c r="A262" s="109">
        <v>46367</v>
      </c>
      <c r="B262" s="110" t="inlineStr">
        <is>
          <t>Expense</t>
        </is>
      </c>
      <c r="C262" s="111" t="inlineStr">
        <is>
          <t>Dining out</t>
        </is>
      </c>
      <c r="D262" s="111" t="inlineStr">
        <is>
          <t>Credit Card</t>
        </is>
      </c>
      <c r="E262" s="112">
        <v>89.04</v>
      </c>
      <c r="F262" s="111" t="inlineStr">
        <is>
          <t>Alex</t>
        </is>
      </c>
      <c r="G262" s="111" t="inlineStr">
        <is>
          <t>Shared</t>
        </is>
      </c>
      <c r="H262" s="111" t="inlineStr">
        <is>
          <t>Date night</t>
        </is>
      </c>
      <c r="I262" s="113">
        <f>IF($A262="","",MONTH($A262))</f>
        <v/>
      </c>
      <c r="J262" s="113">
        <f>IF($A262="","",YEAR($A262))</f>
        <v/>
      </c>
      <c r="K262" s="113">
        <f>IFERROR(INDEX(Setup!$I$7:$I$22,MATCH($C262,Setup!$D$7:$D$22,0)),"")</f>
        <v/>
      </c>
      <c r="L262" s="88" t="n"/>
      <c r="M262" s="88" t="n"/>
      <c r="N262" s="88" t="n"/>
      <c r="O262" s="88" t="n"/>
      <c r="P262" s="88" t="n"/>
      <c r="Q262" s="88" t="n"/>
      <c r="R262" s="88" t="n"/>
      <c r="S262" s="88" t="n"/>
      <c r="T262" s="88" t="n"/>
      <c r="U262" s="88" t="n"/>
      <c r="V262" s="88" t="n"/>
      <c r="W262" s="88" t="n"/>
      <c r="X262" s="88" t="n"/>
      <c r="Y262" s="88" t="n"/>
      <c r="Z262" s="88" t="n"/>
    </row>
    <row r="263" ht="15" customHeight="1" s="86">
      <c r="A263" s="107">
        <v>46368</v>
      </c>
      <c r="B263" s="95" t="inlineStr">
        <is>
          <t>Expense</t>
        </is>
      </c>
      <c r="C263" s="102" t="inlineStr">
        <is>
          <t>Debt</t>
        </is>
      </c>
      <c r="D263" s="102" t="inlineStr">
        <is>
          <t>Checking</t>
        </is>
      </c>
      <c r="E263" s="97">
        <v>420.0</v>
      </c>
      <c r="F263" s="102" t="inlineStr">
        <is>
          <t>Joint</t>
        </is>
      </c>
      <c r="G263" s="102" t="inlineStr">
        <is>
          <t>Shared</t>
        </is>
      </c>
      <c r="H263" s="102" t="inlineStr">
        <is>
          <t>Car loan</t>
        </is>
      </c>
      <c r="I263" s="113">
        <f>IF($A263="","",MONTH($A263))</f>
        <v/>
      </c>
      <c r="J263" s="113">
        <f>IF($A263="","",YEAR($A263))</f>
        <v/>
      </c>
      <c r="K263" s="113">
        <f>IFERROR(INDEX(Setup!$I$7:$I$22,MATCH($C263,Setup!$D$7:$D$22,0)),"")</f>
        <v/>
      </c>
      <c r="L263" s="88" t="n"/>
      <c r="M263" s="88" t="n"/>
      <c r="N263" s="88" t="n"/>
      <c r="O263" s="88" t="n"/>
      <c r="P263" s="88" t="n"/>
      <c r="Q263" s="88" t="n"/>
      <c r="R263" s="88" t="n"/>
      <c r="S263" s="88" t="n"/>
      <c r="T263" s="88" t="n"/>
      <c r="U263" s="88" t="n"/>
      <c r="V263" s="88" t="n"/>
      <c r="W263" s="88" t="n"/>
      <c r="X263" s="88" t="n"/>
      <c r="Y263" s="88" t="n"/>
      <c r="Z263" s="88" t="n"/>
    </row>
    <row r="264" ht="15" customHeight="1" s="86">
      <c r="A264" s="109">
        <v>46370</v>
      </c>
      <c r="B264" s="110" t="inlineStr">
        <is>
          <t>Expense</t>
        </is>
      </c>
      <c r="C264" s="111" t="inlineStr">
        <is>
          <t>Gifts</t>
        </is>
      </c>
      <c r="D264" s="111" t="inlineStr">
        <is>
          <t>Credit Card</t>
        </is>
      </c>
      <c r="E264" s="112">
        <v>420</v>
      </c>
      <c r="F264" s="111" t="inlineStr">
        <is>
          <t>Alex</t>
        </is>
      </c>
      <c r="G264" s="111" t="inlineStr">
        <is>
          <t>Personal</t>
        </is>
      </c>
      <c r="H264" s="111" t="inlineStr">
        <is>
          <t>Present</t>
        </is>
      </c>
      <c r="I264" s="113">
        <f>IF($A264="","",MONTH($A264))</f>
        <v/>
      </c>
      <c r="J264" s="113">
        <f>IF($A264="","",YEAR($A264))</f>
        <v/>
      </c>
      <c r="K264" s="113">
        <f>IFERROR(INDEX(Setup!$I$7:$I$22,MATCH($C264,Setup!$D$7:$D$22,0)),"")</f>
        <v/>
      </c>
      <c r="L264" s="88" t="n"/>
      <c r="M264" s="88" t="n"/>
      <c r="N264" s="88" t="n"/>
      <c r="O264" s="88" t="n"/>
      <c r="P264" s="88" t="n"/>
      <c r="Q264" s="88" t="n"/>
      <c r="R264" s="88" t="n"/>
      <c r="S264" s="88" t="n"/>
      <c r="T264" s="88" t="n"/>
      <c r="U264" s="88" t="n"/>
      <c r="V264" s="88" t="n"/>
      <c r="W264" s="88" t="n"/>
      <c r="X264" s="88" t="n"/>
      <c r="Y264" s="88" t="n"/>
      <c r="Z264" s="88" t="n"/>
    </row>
    <row r="265" ht="15" customHeight="1" s="86">
      <c r="A265" s="107">
        <v>46371</v>
      </c>
      <c r="B265" s="95" t="inlineStr">
        <is>
          <t>Expense</t>
        </is>
      </c>
      <c r="C265" s="102" t="inlineStr">
        <is>
          <t>Shopping</t>
        </is>
      </c>
      <c r="D265" s="102" t="inlineStr">
        <is>
          <t>Credit Card</t>
        </is>
      </c>
      <c r="E265" s="97">
        <v>138.32</v>
      </c>
      <c r="F265" s="102" t="inlineStr">
        <is>
          <t>Alex</t>
        </is>
      </c>
      <c r="G265" s="102" t="inlineStr">
        <is>
          <t>Personal</t>
        </is>
      </c>
      <c r="H265" s="102" t="inlineStr">
        <is>
          <t>Clothes</t>
        </is>
      </c>
      <c r="I265" s="113">
        <f>IF($A265="","",MONTH($A265))</f>
        <v/>
      </c>
      <c r="J265" s="113">
        <f>IF($A265="","",YEAR($A265))</f>
        <v/>
      </c>
      <c r="K265" s="113">
        <f>IFERROR(INDEX(Setup!$I$7:$I$22,MATCH($C265,Setup!$D$7:$D$22,0)),"")</f>
        <v/>
      </c>
      <c r="L265" s="88" t="n"/>
      <c r="M265" s="88" t="n"/>
      <c r="N265" s="88" t="n"/>
      <c r="O265" s="88" t="n"/>
      <c r="P265" s="88" t="n"/>
      <c r="Q265" s="88" t="n"/>
      <c r="R265" s="88" t="n"/>
      <c r="S265" s="88" t="n"/>
      <c r="T265" s="88" t="n"/>
      <c r="U265" s="88" t="n"/>
      <c r="V265" s="88" t="n"/>
      <c r="W265" s="88" t="n"/>
      <c r="X265" s="88" t="n"/>
      <c r="Y265" s="88" t="n"/>
      <c r="Z265" s="88" t="n"/>
    </row>
    <row r="266" ht="15" customHeight="1" s="86">
      <c r="A266" s="109">
        <v>46372</v>
      </c>
      <c r="B266" s="110" t="inlineStr">
        <is>
          <t>Expense</t>
        </is>
      </c>
      <c r="C266" s="111" t="inlineStr">
        <is>
          <t>Shopping</t>
        </is>
      </c>
      <c r="D266" s="111" t="inlineStr">
        <is>
          <t>Credit Card</t>
        </is>
      </c>
      <c r="E266" s="112">
        <v>98.62</v>
      </c>
      <c r="F266" s="111" t="inlineStr">
        <is>
          <t>Sam</t>
        </is>
      </c>
      <c r="G266" s="111" t="inlineStr">
        <is>
          <t>Personal</t>
        </is>
      </c>
      <c r="H266" s="111" t="inlineStr">
        <is>
          <t>Clothes</t>
        </is>
      </c>
      <c r="I266" s="113">
        <f>IF($A266="","",MONTH($A266))</f>
        <v/>
      </c>
      <c r="J266" s="113">
        <f>IF($A266="","",YEAR($A266))</f>
        <v/>
      </c>
      <c r="K266" s="113">
        <f>IFERROR(INDEX(Setup!$I$7:$I$22,MATCH($C266,Setup!$D$7:$D$22,0)),"")</f>
        <v/>
      </c>
      <c r="L266" s="88" t="n"/>
      <c r="M266" s="88" t="n"/>
      <c r="N266" s="88" t="n"/>
      <c r="O266" s="88" t="n"/>
      <c r="P266" s="88" t="n"/>
      <c r="Q266" s="88" t="n"/>
      <c r="R266" s="88" t="n"/>
      <c r="S266" s="88" t="n"/>
      <c r="T266" s="88" t="n"/>
      <c r="U266" s="88" t="n"/>
      <c r="V266" s="88" t="n"/>
      <c r="W266" s="88" t="n"/>
      <c r="X266" s="88" t="n"/>
      <c r="Y266" s="88" t="n"/>
      <c r="Z266" s="88" t="n"/>
    </row>
    <row r="267" ht="15" customHeight="1" s="86">
      <c r="A267" s="107">
        <v>46375</v>
      </c>
      <c r="B267" s="95" t="inlineStr">
        <is>
          <t>Expense</t>
        </is>
      </c>
      <c r="C267" s="102" t="inlineStr">
        <is>
          <t>Groceries</t>
        </is>
      </c>
      <c r="D267" s="102" t="inlineStr">
        <is>
          <t>Credit Card</t>
        </is>
      </c>
      <c r="E267" s="97">
        <v>344.86</v>
      </c>
      <c r="F267" s="102" t="inlineStr">
        <is>
          <t>Sam</t>
        </is>
      </c>
      <c r="G267" s="102" t="inlineStr">
        <is>
          <t>Shared</t>
        </is>
      </c>
      <c r="H267" s="102" t="inlineStr">
        <is>
          <t>Weekly shop</t>
        </is>
      </c>
      <c r="I267" s="113">
        <f>IF($A267="","",MONTH($A267))</f>
        <v/>
      </c>
      <c r="J267" s="113">
        <f>IF($A267="","",YEAR($A267))</f>
        <v/>
      </c>
      <c r="K267" s="113">
        <f>IFERROR(INDEX(Setup!$I$7:$I$22,MATCH($C267,Setup!$D$7:$D$22,0)),"")</f>
        <v/>
      </c>
      <c r="L267" s="88" t="n"/>
      <c r="M267" s="88" t="n"/>
      <c r="N267" s="88" t="n"/>
      <c r="O267" s="88" t="n"/>
      <c r="P267" s="88" t="n"/>
      <c r="Q267" s="88" t="n"/>
      <c r="R267" s="88" t="n"/>
      <c r="S267" s="88" t="n"/>
      <c r="T267" s="88" t="n"/>
      <c r="U267" s="88" t="n"/>
      <c r="V267" s="88" t="n"/>
      <c r="W267" s="88" t="n"/>
      <c r="X267" s="88" t="n"/>
      <c r="Y267" s="88" t="n"/>
      <c r="Z267" s="88" t="n"/>
    </row>
    <row r="268" ht="15" customHeight="1" s="86">
      <c r="A268" s="109">
        <v>46376</v>
      </c>
      <c r="B268" s="110" t="inlineStr">
        <is>
          <t>Income</t>
        </is>
      </c>
      <c r="C268" s="111" t="inlineStr">
        <is>
          <t>Side income</t>
        </is>
      </c>
      <c r="D268" s="111" t="inlineStr">
        <is>
          <t>Checking</t>
        </is>
      </c>
      <c r="E268" s="112">
        <v>2400</v>
      </c>
      <c r="F268" s="111" t="inlineStr">
        <is>
          <t>Alex</t>
        </is>
      </c>
      <c r="G268" s="111" t="inlineStr">
        <is>
          <t>Personal</t>
        </is>
      </c>
      <c r="H268" s="111" t="inlineStr">
        <is>
          <t>Bonus</t>
        </is>
      </c>
      <c r="I268" s="113">
        <f>IF($A268="","",MONTH($A268))</f>
        <v/>
      </c>
      <c r="J268" s="113">
        <f>IF($A268="","",YEAR($A268))</f>
        <v/>
      </c>
      <c r="K268" s="113">
        <f>IFERROR(INDEX(Setup!$I$7:$I$22,MATCH($C268,Setup!$D$7:$D$22,0)),"")</f>
        <v/>
      </c>
      <c r="L268" s="88" t="n"/>
      <c r="M268" s="88" t="n"/>
      <c r="N268" s="88" t="n"/>
      <c r="O268" s="88" t="n"/>
      <c r="P268" s="88" t="n"/>
      <c r="Q268" s="88" t="n"/>
      <c r="R268" s="88" t="n"/>
      <c r="S268" s="88" t="n"/>
      <c r="T268" s="88" t="n"/>
      <c r="U268" s="88" t="n"/>
      <c r="V268" s="88" t="n"/>
      <c r="W268" s="88" t="n"/>
      <c r="X268" s="88" t="n"/>
      <c r="Y268" s="88" t="n"/>
      <c r="Z268" s="88" t="n"/>
    </row>
    <row r="269" ht="15" customHeight="1" s="86">
      <c r="A269" s="107">
        <v>46377</v>
      </c>
      <c r="B269" s="95" t="inlineStr">
        <is>
          <t>Expense</t>
        </is>
      </c>
      <c r="C269" s="102" t="inlineStr">
        <is>
          <t>Fun and Leisure</t>
        </is>
      </c>
      <c r="D269" s="102" t="inlineStr">
        <is>
          <t>Credit Card</t>
        </is>
      </c>
      <c r="E269" s="97">
        <v>157.93</v>
      </c>
      <c r="F269" s="102" t="inlineStr">
        <is>
          <t>Alex</t>
        </is>
      </c>
      <c r="G269" s="102" t="inlineStr">
        <is>
          <t>Personal</t>
        </is>
      </c>
      <c r="H269" s="102" t="inlineStr">
        <is>
          <t>Gym + hobbies</t>
        </is>
      </c>
      <c r="I269" s="113">
        <f>IF($A269="","",MONTH($A269))</f>
        <v/>
      </c>
      <c r="J269" s="113">
        <f>IF($A269="","",YEAR($A269))</f>
        <v/>
      </c>
      <c r="K269" s="113">
        <f>IFERROR(INDEX(Setup!$I$7:$I$22,MATCH($C269,Setup!$D$7:$D$22,0)),"")</f>
        <v/>
      </c>
      <c r="L269" s="88" t="n"/>
      <c r="M269" s="88" t="n"/>
      <c r="N269" s="88" t="n"/>
      <c r="O269" s="88" t="n"/>
      <c r="P269" s="88" t="n"/>
      <c r="Q269" s="88" t="n"/>
      <c r="R269" s="88" t="n"/>
      <c r="S269" s="88" t="n"/>
      <c r="T269" s="88" t="n"/>
      <c r="U269" s="88" t="n"/>
      <c r="V269" s="88" t="n"/>
      <c r="W269" s="88" t="n"/>
      <c r="X269" s="88" t="n"/>
      <c r="Y269" s="88" t="n"/>
      <c r="Z269" s="88" t="n"/>
    </row>
    <row r="270" ht="15" customHeight="1" s="86">
      <c r="A270" s="109">
        <v>46378</v>
      </c>
      <c r="B270" s="110" t="inlineStr">
        <is>
          <t>Expense</t>
        </is>
      </c>
      <c r="C270" s="111" t="inlineStr">
        <is>
          <t>Fun and Leisure</t>
        </is>
      </c>
      <c r="D270" s="111" t="inlineStr">
        <is>
          <t>Credit Card</t>
        </is>
      </c>
      <c r="E270" s="112">
        <v>140.22</v>
      </c>
      <c r="F270" s="111" t="inlineStr">
        <is>
          <t>Sam</t>
        </is>
      </c>
      <c r="G270" s="111" t="inlineStr">
        <is>
          <t>Personal</t>
        </is>
      </c>
      <c r="H270" s="111" t="inlineStr">
        <is>
          <t>Gym + hobbies</t>
        </is>
      </c>
      <c r="I270" s="113">
        <f>IF($A270="","",MONTH($A270))</f>
        <v/>
      </c>
      <c r="J270" s="113">
        <f>IF($A270="","",YEAR($A270))</f>
        <v/>
      </c>
      <c r="K270" s="113">
        <f>IFERROR(INDEX(Setup!$I$7:$I$22,MATCH($C270,Setup!$D$7:$D$22,0)),"")</f>
        <v/>
      </c>
      <c r="L270" s="88" t="n"/>
      <c r="M270" s="88" t="n"/>
      <c r="N270" s="88" t="n"/>
      <c r="O270" s="88" t="n"/>
      <c r="P270" s="88" t="n"/>
      <c r="Q270" s="88" t="n"/>
      <c r="R270" s="88" t="n"/>
      <c r="S270" s="88" t="n"/>
      <c r="T270" s="88" t="n"/>
      <c r="U270" s="88" t="n"/>
      <c r="V270" s="88" t="n"/>
      <c r="W270" s="88" t="n"/>
      <c r="X270" s="88" t="n"/>
      <c r="Y270" s="88" t="n"/>
      <c r="Z270" s="88" t="n"/>
    </row>
    <row r="271" ht="15" customHeight="1" s="86">
      <c r="A271" s="107">
        <v>46379</v>
      </c>
      <c r="B271" s="95" t="inlineStr">
        <is>
          <t>Expense</t>
        </is>
      </c>
      <c r="C271" s="102" t="inlineStr">
        <is>
          <t>Transport</t>
        </is>
      </c>
      <c r="D271" s="102" t="inlineStr">
        <is>
          <t>Credit Card</t>
        </is>
      </c>
      <c r="E271" s="97">
        <v>184.17</v>
      </c>
      <c r="F271" s="102" t="inlineStr">
        <is>
          <t>Sam</t>
        </is>
      </c>
      <c r="G271" s="102" t="inlineStr">
        <is>
          <t>Shared</t>
        </is>
      </c>
      <c r="H271" s="102" t="inlineStr">
        <is>
          <t>Fuel and transit</t>
        </is>
      </c>
      <c r="I271" s="113">
        <f>IF($A271="","",MONTH($A271))</f>
        <v/>
      </c>
      <c r="J271" s="113">
        <f>IF($A271="","",YEAR($A271))</f>
        <v/>
      </c>
      <c r="K271" s="113">
        <f>IFERROR(INDEX(Setup!$I$7:$I$22,MATCH($C271,Setup!$D$7:$D$22,0)),"")</f>
        <v/>
      </c>
      <c r="L271" s="88" t="n"/>
      <c r="M271" s="88" t="n"/>
      <c r="N271" s="88" t="n"/>
      <c r="O271" s="88" t="n"/>
      <c r="P271" s="88" t="n"/>
      <c r="Q271" s="88" t="n"/>
      <c r="R271" s="88" t="n"/>
      <c r="S271" s="88" t="n"/>
      <c r="T271" s="88" t="n"/>
      <c r="U271" s="88" t="n"/>
      <c r="V271" s="88" t="n"/>
      <c r="W271" s="88" t="n"/>
      <c r="X271" s="88" t="n"/>
      <c r="Y271" s="88" t="n"/>
      <c r="Z271" s="88" t="n"/>
    </row>
    <row r="272" ht="15" customHeight="1" s="86">
      <c r="A272" s="109">
        <v>46380</v>
      </c>
      <c r="B272" s="110" t="inlineStr">
        <is>
          <t>Expense</t>
        </is>
      </c>
      <c r="C272" s="111" t="inlineStr">
        <is>
          <t>Dining out</t>
        </is>
      </c>
      <c r="D272" s="111" t="inlineStr">
        <is>
          <t>Credit Card</t>
        </is>
      </c>
      <c r="E272" s="112">
        <v>90.29</v>
      </c>
      <c r="F272" s="111" t="inlineStr">
        <is>
          <t>Sam</t>
        </is>
      </c>
      <c r="G272" s="111" t="inlineStr">
        <is>
          <t>Shared</t>
        </is>
      </c>
      <c r="H272" s="111" t="inlineStr">
        <is>
          <t>Lunch out</t>
        </is>
      </c>
      <c r="I272" s="113">
        <f>IF($A272="","",MONTH($A272))</f>
        <v/>
      </c>
      <c r="J272" s="113">
        <f>IF($A272="","",YEAR($A272))</f>
        <v/>
      </c>
      <c r="K272" s="113">
        <f>IFERROR(INDEX(Setup!$I$7:$I$22,MATCH($C272,Setup!$D$7:$D$22,0)),"")</f>
        <v/>
      </c>
      <c r="L272" s="88" t="n"/>
      <c r="M272" s="88" t="n"/>
      <c r="N272" s="88" t="n"/>
      <c r="O272" s="88" t="n"/>
      <c r="P272" s="88" t="n"/>
      <c r="Q272" s="88" t="n"/>
      <c r="R272" s="88" t="n"/>
      <c r="S272" s="88" t="n"/>
      <c r="T272" s="88" t="n"/>
      <c r="U272" s="88" t="n"/>
      <c r="V272" s="88" t="n"/>
      <c r="W272" s="88" t="n"/>
      <c r="X272" s="88" t="n"/>
      <c r="Y272" s="88" t="n"/>
      <c r="Z272" s="88" t="n"/>
    </row>
    <row r="273" ht="15" customHeight="1" s="86">
      <c r="A273" s="107">
        <v>46382</v>
      </c>
      <c r="B273" s="95" t="inlineStr">
        <is>
          <t>Expense</t>
        </is>
      </c>
      <c r="C273" s="102" t="inlineStr">
        <is>
          <t>Fun and Leisure</t>
        </is>
      </c>
      <c r="D273" s="102" t="inlineStr">
        <is>
          <t>Credit Card</t>
        </is>
      </c>
      <c r="E273" s="97">
        <v>640</v>
      </c>
      <c r="F273" s="102" t="inlineStr">
        <is>
          <t>Joint</t>
        </is>
      </c>
      <c r="G273" s="102" t="inlineStr">
        <is>
          <t>Shared</t>
        </is>
      </c>
      <c r="H273" s="102" t="inlineStr">
        <is>
          <t>Weekend away</t>
        </is>
      </c>
      <c r="I273" s="113">
        <f>IF($A273="","",MONTH($A273))</f>
        <v/>
      </c>
      <c r="J273" s="113">
        <f>IF($A273="","",YEAR($A273))</f>
        <v/>
      </c>
      <c r="K273" s="113">
        <f>IFERROR(INDEX(Setup!$I$7:$I$22,MATCH($C273,Setup!$D$7:$D$22,0)),"")</f>
        <v/>
      </c>
      <c r="L273" s="88" t="n"/>
      <c r="M273" s="88" t="n"/>
      <c r="N273" s="88" t="n"/>
      <c r="O273" s="88" t="n"/>
      <c r="P273" s="88" t="n"/>
      <c r="Q273" s="88" t="n"/>
      <c r="R273" s="88" t="n"/>
      <c r="S273" s="88" t="n"/>
      <c r="T273" s="88" t="n"/>
      <c r="U273" s="88" t="n"/>
      <c r="V273" s="88" t="n"/>
      <c r="W273" s="88" t="n"/>
      <c r="X273" s="88" t="n"/>
      <c r="Y273" s="88" t="n"/>
      <c r="Z273" s="88" t="n"/>
    </row>
    <row r="274" ht="15" customHeight="1" s="86">
      <c r="A274" s="109" t="n"/>
      <c r="B274" s="110" t="n"/>
      <c r="C274" s="111" t="n"/>
      <c r="D274" s="111" t="n"/>
      <c r="E274" s="112" t="n"/>
      <c r="F274" s="111" t="n"/>
      <c r="G274" s="111" t="n"/>
      <c r="H274" s="111" t="n"/>
      <c r="I274" s="113">
        <f>IF($A274="","",MONTH($A274))</f>
        <v/>
      </c>
      <c r="J274" s="113">
        <f>IF($A274="","",YEAR($A274))</f>
        <v/>
      </c>
      <c r="K274" s="113">
        <f>IFERROR(INDEX(Setup!$I$7:$I$22,MATCH($C274,Setup!$D$7:$D$22,0)),"")</f>
        <v/>
      </c>
      <c r="L274" s="88" t="n"/>
      <c r="M274" s="88" t="n"/>
      <c r="N274" s="88" t="n"/>
      <c r="O274" s="88" t="n"/>
      <c r="P274" s="88" t="n"/>
      <c r="Q274" s="88" t="n"/>
      <c r="R274" s="88" t="n"/>
      <c r="S274" s="88" t="n"/>
      <c r="T274" s="88" t="n"/>
      <c r="U274" s="88" t="n"/>
      <c r="V274" s="88" t="n"/>
      <c r="W274" s="88" t="n"/>
      <c r="X274" s="88" t="n"/>
      <c r="Y274" s="88" t="n"/>
      <c r="Z274" s="88" t="n"/>
    </row>
    <row r="275" ht="15" customHeight="1" s="86">
      <c r="A275" s="107" t="n"/>
      <c r="B275" s="95" t="n"/>
      <c r="C275" s="102" t="n"/>
      <c r="D275" s="102" t="n"/>
      <c r="E275" s="97" t="n"/>
      <c r="F275" s="102" t="n"/>
      <c r="G275" s="102" t="n"/>
      <c r="H275" s="102" t="n"/>
      <c r="I275" s="113">
        <f>IF($A275="","",MONTH($A275))</f>
        <v/>
      </c>
      <c r="J275" s="113">
        <f>IF($A275="","",YEAR($A275))</f>
        <v/>
      </c>
      <c r="K275" s="113">
        <f>IFERROR(INDEX(Setup!$I$7:$I$22,MATCH($C275,Setup!$D$7:$D$22,0)),"")</f>
        <v/>
      </c>
      <c r="L275" s="88" t="n"/>
      <c r="M275" s="88" t="n"/>
      <c r="N275" s="88" t="n"/>
      <c r="O275" s="88" t="n"/>
      <c r="P275" s="88" t="n"/>
      <c r="Q275" s="88" t="n"/>
      <c r="R275" s="88" t="n"/>
      <c r="S275" s="88" t="n"/>
      <c r="T275" s="88" t="n"/>
      <c r="U275" s="88" t="n"/>
      <c r="V275" s="88" t="n"/>
      <c r="W275" s="88" t="n"/>
      <c r="X275" s="88" t="n"/>
      <c r="Y275" s="88" t="n"/>
      <c r="Z275" s="88" t="n"/>
    </row>
    <row r="276" ht="15" customHeight="1" s="86">
      <c r="A276" s="109" t="n"/>
      <c r="B276" s="110" t="n"/>
      <c r="C276" s="111" t="n"/>
      <c r="D276" s="111" t="n"/>
      <c r="E276" s="112" t="n"/>
      <c r="F276" s="111" t="n"/>
      <c r="G276" s="111" t="n"/>
      <c r="H276" s="111" t="n"/>
      <c r="I276" s="113">
        <f>IF($A276="","",MONTH($A276))</f>
        <v/>
      </c>
      <c r="J276" s="113">
        <f>IF($A276="","",YEAR($A276))</f>
        <v/>
      </c>
      <c r="K276" s="113">
        <f>IFERROR(INDEX(Setup!$I$7:$I$22,MATCH($C276,Setup!$D$7:$D$22,0)),"")</f>
        <v/>
      </c>
      <c r="L276" s="88" t="n"/>
      <c r="M276" s="88" t="n"/>
      <c r="N276" s="88" t="n"/>
      <c r="O276" s="88" t="n"/>
      <c r="P276" s="88" t="n"/>
      <c r="Q276" s="88" t="n"/>
      <c r="R276" s="88" t="n"/>
      <c r="S276" s="88" t="n"/>
      <c r="T276" s="88" t="n"/>
      <c r="U276" s="88" t="n"/>
      <c r="V276" s="88" t="n"/>
      <c r="W276" s="88" t="n"/>
      <c r="X276" s="88" t="n"/>
      <c r="Y276" s="88" t="n"/>
      <c r="Z276" s="88" t="n"/>
    </row>
    <row r="277" ht="15" customHeight="1" s="86">
      <c r="A277" s="107" t="n"/>
      <c r="B277" s="95" t="n"/>
      <c r="C277" s="102" t="n"/>
      <c r="D277" s="102" t="n"/>
      <c r="E277" s="97" t="n"/>
      <c r="F277" s="102" t="n"/>
      <c r="G277" s="102" t="n"/>
      <c r="H277" s="102" t="n"/>
      <c r="I277" s="113">
        <f>IF($A277="","",MONTH($A277))</f>
        <v/>
      </c>
      <c r="J277" s="113">
        <f>IF($A277="","",YEAR($A277))</f>
        <v/>
      </c>
      <c r="K277" s="113">
        <f>IFERROR(INDEX(Setup!$I$7:$I$22,MATCH($C277,Setup!$D$7:$D$22,0)),"")</f>
        <v/>
      </c>
      <c r="L277" s="88" t="n"/>
      <c r="M277" s="88" t="n"/>
      <c r="N277" s="88" t="n"/>
      <c r="O277" s="88" t="n"/>
      <c r="P277" s="88" t="n"/>
      <c r="Q277" s="88" t="n"/>
      <c r="R277" s="88" t="n"/>
      <c r="S277" s="88" t="n"/>
      <c r="T277" s="88" t="n"/>
      <c r="U277" s="88" t="n"/>
      <c r="V277" s="88" t="n"/>
      <c r="W277" s="88" t="n"/>
      <c r="X277" s="88" t="n"/>
      <c r="Y277" s="88" t="n"/>
      <c r="Z277" s="88" t="n"/>
    </row>
    <row r="278" ht="15" customHeight="1" s="86">
      <c r="A278" s="109" t="n"/>
      <c r="B278" s="110" t="n"/>
      <c r="C278" s="111" t="n"/>
      <c r="D278" s="111" t="n"/>
      <c r="E278" s="112" t="n"/>
      <c r="F278" s="111" t="n"/>
      <c r="G278" s="111" t="n"/>
      <c r="H278" s="111" t="n"/>
      <c r="I278" s="113">
        <f>IF($A278="","",MONTH($A278))</f>
        <v/>
      </c>
      <c r="J278" s="113">
        <f>IF($A278="","",YEAR($A278))</f>
        <v/>
      </c>
      <c r="K278" s="113">
        <f>IFERROR(INDEX(Setup!$I$7:$I$22,MATCH($C278,Setup!$D$7:$D$22,0)),"")</f>
        <v/>
      </c>
      <c r="L278" s="88" t="n"/>
      <c r="M278" s="88" t="n"/>
      <c r="N278" s="88" t="n"/>
      <c r="O278" s="88" t="n"/>
      <c r="P278" s="88" t="n"/>
      <c r="Q278" s="88" t="n"/>
      <c r="R278" s="88" t="n"/>
      <c r="S278" s="88" t="n"/>
      <c r="T278" s="88" t="n"/>
      <c r="U278" s="88" t="n"/>
      <c r="V278" s="88" t="n"/>
      <c r="W278" s="88" t="n"/>
      <c r="X278" s="88" t="n"/>
      <c r="Y278" s="88" t="n"/>
      <c r="Z278" s="88" t="n"/>
    </row>
    <row r="279" ht="15" customHeight="1" s="86">
      <c r="A279" s="107" t="n"/>
      <c r="B279" s="95" t="n"/>
      <c r="C279" s="102" t="n"/>
      <c r="D279" s="102" t="n"/>
      <c r="E279" s="97" t="n"/>
      <c r="F279" s="102" t="n"/>
      <c r="G279" s="102" t="n"/>
      <c r="H279" s="102" t="n"/>
      <c r="I279" s="113">
        <f>IF($A279="","",MONTH($A279))</f>
        <v/>
      </c>
      <c r="J279" s="113">
        <f>IF($A279="","",YEAR($A279))</f>
        <v/>
      </c>
      <c r="K279" s="113">
        <f>IFERROR(INDEX(Setup!$I$7:$I$22,MATCH($C279,Setup!$D$7:$D$22,0)),"")</f>
        <v/>
      </c>
      <c r="L279" s="88" t="n"/>
      <c r="M279" s="88" t="n"/>
      <c r="N279" s="88" t="n"/>
      <c r="O279" s="88" t="n"/>
      <c r="P279" s="88" t="n"/>
      <c r="Q279" s="88" t="n"/>
      <c r="R279" s="88" t="n"/>
      <c r="S279" s="88" t="n"/>
      <c r="T279" s="88" t="n"/>
      <c r="U279" s="88" t="n"/>
      <c r="V279" s="88" t="n"/>
      <c r="W279" s="88" t="n"/>
      <c r="X279" s="88" t="n"/>
      <c r="Y279" s="88" t="n"/>
      <c r="Z279" s="88" t="n"/>
    </row>
    <row r="280" ht="15" customHeight="1" s="86">
      <c r="A280" s="109" t="n"/>
      <c r="B280" s="110" t="n"/>
      <c r="C280" s="111" t="n"/>
      <c r="D280" s="111" t="n"/>
      <c r="E280" s="112" t="n"/>
      <c r="F280" s="111" t="n"/>
      <c r="G280" s="111" t="n"/>
      <c r="H280" s="111" t="n"/>
      <c r="I280" s="113">
        <f>IF($A280="","",MONTH($A280))</f>
        <v/>
      </c>
      <c r="J280" s="113">
        <f>IF($A280="","",YEAR($A280))</f>
        <v/>
      </c>
      <c r="K280" s="113">
        <f>IFERROR(INDEX(Setup!$I$7:$I$22,MATCH($C280,Setup!$D$7:$D$22,0)),"")</f>
        <v/>
      </c>
      <c r="L280" s="88" t="n"/>
      <c r="M280" s="88" t="n"/>
      <c r="N280" s="88" t="n"/>
      <c r="O280" s="88" t="n"/>
      <c r="P280" s="88" t="n"/>
      <c r="Q280" s="88" t="n"/>
      <c r="R280" s="88" t="n"/>
      <c r="S280" s="88" t="n"/>
      <c r="T280" s="88" t="n"/>
      <c r="U280" s="88" t="n"/>
      <c r="V280" s="88" t="n"/>
      <c r="W280" s="88" t="n"/>
      <c r="X280" s="88" t="n"/>
      <c r="Y280" s="88" t="n"/>
      <c r="Z280" s="88" t="n"/>
    </row>
    <row r="281" ht="15" customHeight="1" s="86">
      <c r="A281" s="107" t="n"/>
      <c r="B281" s="95" t="n"/>
      <c r="C281" s="102" t="n"/>
      <c r="D281" s="102" t="n"/>
      <c r="E281" s="97" t="n"/>
      <c r="F281" s="102" t="n"/>
      <c r="G281" s="102" t="n"/>
      <c r="H281" s="102" t="n"/>
      <c r="I281" s="113">
        <f>IF($A281="","",MONTH($A281))</f>
        <v/>
      </c>
      <c r="J281" s="113">
        <f>IF($A281="","",YEAR($A281))</f>
        <v/>
      </c>
      <c r="K281" s="113">
        <f>IFERROR(INDEX(Setup!$I$7:$I$22,MATCH($C281,Setup!$D$7:$D$22,0)),"")</f>
        <v/>
      </c>
      <c r="L281" s="88" t="n"/>
      <c r="M281" s="88" t="n"/>
      <c r="N281" s="88" t="n"/>
      <c r="O281" s="88" t="n"/>
      <c r="P281" s="88" t="n"/>
      <c r="Q281" s="88" t="n"/>
      <c r="R281" s="88" t="n"/>
      <c r="S281" s="88" t="n"/>
      <c r="T281" s="88" t="n"/>
      <c r="U281" s="88" t="n"/>
      <c r="V281" s="88" t="n"/>
      <c r="W281" s="88" t="n"/>
      <c r="X281" s="88" t="n"/>
      <c r="Y281" s="88" t="n"/>
      <c r="Z281" s="88" t="n"/>
    </row>
    <row r="282" ht="15" customHeight="1" s="86">
      <c r="A282" s="109" t="n"/>
      <c r="B282" s="110" t="n"/>
      <c r="C282" s="111" t="n"/>
      <c r="D282" s="111" t="n"/>
      <c r="E282" s="112" t="n"/>
      <c r="F282" s="111" t="n"/>
      <c r="G282" s="111" t="n"/>
      <c r="H282" s="111" t="n"/>
      <c r="I282" s="113">
        <f>IF($A282="","",MONTH($A282))</f>
        <v/>
      </c>
      <c r="J282" s="113">
        <f>IF($A282="","",YEAR($A282))</f>
        <v/>
      </c>
      <c r="K282" s="113">
        <f>IFERROR(INDEX(Setup!$I$7:$I$22,MATCH($C282,Setup!$D$7:$D$22,0)),"")</f>
        <v/>
      </c>
      <c r="L282" s="88" t="n"/>
      <c r="M282" s="88" t="n"/>
      <c r="N282" s="88" t="n"/>
      <c r="O282" s="88" t="n"/>
      <c r="P282" s="88" t="n"/>
      <c r="Q282" s="88" t="n"/>
      <c r="R282" s="88" t="n"/>
      <c r="S282" s="88" t="n"/>
      <c r="T282" s="88" t="n"/>
      <c r="U282" s="88" t="n"/>
      <c r="V282" s="88" t="n"/>
      <c r="W282" s="88" t="n"/>
      <c r="X282" s="88" t="n"/>
      <c r="Y282" s="88" t="n"/>
      <c r="Z282" s="88" t="n"/>
    </row>
    <row r="283" ht="15" customHeight="1" s="86">
      <c r="A283" s="107" t="n"/>
      <c r="B283" s="95" t="n"/>
      <c r="C283" s="102" t="n"/>
      <c r="D283" s="102" t="n"/>
      <c r="E283" s="97" t="n"/>
      <c r="F283" s="102" t="n"/>
      <c r="G283" s="102" t="n"/>
      <c r="H283" s="102" t="n"/>
      <c r="I283" s="113">
        <f>IF($A283="","",MONTH($A283))</f>
        <v/>
      </c>
      <c r="J283" s="113">
        <f>IF($A283="","",YEAR($A283))</f>
        <v/>
      </c>
      <c r="K283" s="113">
        <f>IFERROR(INDEX(Setup!$I$7:$I$22,MATCH($C283,Setup!$D$7:$D$22,0)),"")</f>
        <v/>
      </c>
      <c r="L283" s="88" t="n"/>
      <c r="M283" s="88" t="n"/>
      <c r="N283" s="88" t="n"/>
      <c r="O283" s="88" t="n"/>
      <c r="P283" s="88" t="n"/>
      <c r="Q283" s="88" t="n"/>
      <c r="R283" s="88" t="n"/>
      <c r="S283" s="88" t="n"/>
      <c r="T283" s="88" t="n"/>
      <c r="U283" s="88" t="n"/>
      <c r="V283" s="88" t="n"/>
      <c r="W283" s="88" t="n"/>
      <c r="X283" s="88" t="n"/>
      <c r="Y283" s="88" t="n"/>
      <c r="Z283" s="88" t="n"/>
    </row>
    <row r="284" ht="15" customHeight="1" s="86">
      <c r="A284" s="109" t="n"/>
      <c r="B284" s="110" t="n"/>
      <c r="C284" s="111" t="n"/>
      <c r="D284" s="111" t="n"/>
      <c r="E284" s="112" t="n"/>
      <c r="F284" s="111" t="n"/>
      <c r="G284" s="111" t="n"/>
      <c r="H284" s="111" t="n"/>
      <c r="I284" s="113">
        <f>IF($A284="","",MONTH($A284))</f>
        <v/>
      </c>
      <c r="J284" s="113">
        <f>IF($A284="","",YEAR($A284))</f>
        <v/>
      </c>
      <c r="K284" s="113">
        <f>IFERROR(INDEX(Setup!$I$7:$I$22,MATCH($C284,Setup!$D$7:$D$22,0)),"")</f>
        <v/>
      </c>
      <c r="L284" s="88" t="n"/>
      <c r="M284" s="88" t="n"/>
      <c r="N284" s="88" t="n"/>
      <c r="O284" s="88" t="n"/>
      <c r="P284" s="88" t="n"/>
      <c r="Q284" s="88" t="n"/>
      <c r="R284" s="88" t="n"/>
      <c r="S284" s="88" t="n"/>
      <c r="T284" s="88" t="n"/>
      <c r="U284" s="88" t="n"/>
      <c r="V284" s="88" t="n"/>
      <c r="W284" s="88" t="n"/>
      <c r="X284" s="88" t="n"/>
      <c r="Y284" s="88" t="n"/>
      <c r="Z284" s="88" t="n"/>
    </row>
    <row r="285" ht="15" customHeight="1" s="86">
      <c r="A285" s="107" t="n"/>
      <c r="B285" s="95" t="n"/>
      <c r="C285" s="102" t="n"/>
      <c r="D285" s="102" t="n"/>
      <c r="E285" s="97" t="n"/>
      <c r="F285" s="102" t="n"/>
      <c r="G285" s="102" t="n"/>
      <c r="H285" s="102" t="n"/>
      <c r="I285" s="113">
        <f>IF($A285="","",MONTH($A285))</f>
        <v/>
      </c>
      <c r="J285" s="113">
        <f>IF($A285="","",YEAR($A285))</f>
        <v/>
      </c>
      <c r="K285" s="113">
        <f>IFERROR(INDEX(Setup!$I$7:$I$22,MATCH($C285,Setup!$D$7:$D$22,0)),"")</f>
        <v/>
      </c>
      <c r="L285" s="88" t="n"/>
      <c r="M285" s="88" t="n"/>
      <c r="N285" s="88" t="n"/>
      <c r="O285" s="88" t="n"/>
      <c r="P285" s="88" t="n"/>
      <c r="Q285" s="88" t="n"/>
      <c r="R285" s="88" t="n"/>
      <c r="S285" s="88" t="n"/>
      <c r="T285" s="88" t="n"/>
      <c r="U285" s="88" t="n"/>
      <c r="V285" s="88" t="n"/>
      <c r="W285" s="88" t="n"/>
      <c r="X285" s="88" t="n"/>
      <c r="Y285" s="88" t="n"/>
      <c r="Z285" s="88" t="n"/>
    </row>
    <row r="286" ht="15" customHeight="1" s="86">
      <c r="A286" s="109" t="n"/>
      <c r="B286" s="110" t="n"/>
      <c r="C286" s="111" t="n"/>
      <c r="D286" s="111" t="n"/>
      <c r="E286" s="112" t="n"/>
      <c r="F286" s="111" t="n"/>
      <c r="G286" s="111" t="n"/>
      <c r="H286" s="111" t="n"/>
      <c r="I286" s="113">
        <f>IF($A286="","",MONTH($A286))</f>
        <v/>
      </c>
      <c r="J286" s="113">
        <f>IF($A286="","",YEAR($A286))</f>
        <v/>
      </c>
      <c r="K286" s="113">
        <f>IFERROR(INDEX(Setup!$I$7:$I$22,MATCH($C286,Setup!$D$7:$D$22,0)),"")</f>
        <v/>
      </c>
      <c r="L286" s="88" t="n"/>
      <c r="M286" s="88" t="n"/>
      <c r="N286" s="88" t="n"/>
      <c r="O286" s="88" t="n"/>
      <c r="P286" s="88" t="n"/>
      <c r="Q286" s="88" t="n"/>
      <c r="R286" s="88" t="n"/>
      <c r="S286" s="88" t="n"/>
      <c r="T286" s="88" t="n"/>
      <c r="U286" s="88" t="n"/>
      <c r="V286" s="88" t="n"/>
      <c r="W286" s="88" t="n"/>
      <c r="X286" s="88" t="n"/>
      <c r="Y286" s="88" t="n"/>
      <c r="Z286" s="88" t="n"/>
    </row>
    <row r="287" ht="15" customHeight="1" s="86">
      <c r="A287" s="107" t="n"/>
      <c r="B287" s="95" t="n"/>
      <c r="C287" s="102" t="n"/>
      <c r="D287" s="102" t="n"/>
      <c r="E287" s="97" t="n"/>
      <c r="F287" s="102" t="n"/>
      <c r="G287" s="102" t="n"/>
      <c r="H287" s="102" t="n"/>
      <c r="I287" s="113">
        <f>IF($A287="","",MONTH($A287))</f>
        <v/>
      </c>
      <c r="J287" s="113">
        <f>IF($A287="","",YEAR($A287))</f>
        <v/>
      </c>
      <c r="K287" s="113">
        <f>IFERROR(INDEX(Setup!$I$7:$I$22,MATCH($C287,Setup!$D$7:$D$22,0)),"")</f>
        <v/>
      </c>
      <c r="L287" s="88" t="n"/>
      <c r="M287" s="88" t="n"/>
      <c r="N287" s="88" t="n"/>
      <c r="O287" s="88" t="n"/>
      <c r="P287" s="88" t="n"/>
      <c r="Q287" s="88" t="n"/>
      <c r="R287" s="88" t="n"/>
      <c r="S287" s="88" t="n"/>
      <c r="T287" s="88" t="n"/>
      <c r="U287" s="88" t="n"/>
      <c r="V287" s="88" t="n"/>
      <c r="W287" s="88" t="n"/>
      <c r="X287" s="88" t="n"/>
      <c r="Y287" s="88" t="n"/>
      <c r="Z287" s="88" t="n"/>
    </row>
    <row r="288" ht="15" customHeight="1" s="86">
      <c r="A288" s="109" t="n"/>
      <c r="B288" s="110" t="n"/>
      <c r="C288" s="111" t="n"/>
      <c r="D288" s="111" t="n"/>
      <c r="E288" s="112" t="n"/>
      <c r="F288" s="111" t="n"/>
      <c r="G288" s="111" t="n"/>
      <c r="H288" s="111" t="n"/>
      <c r="I288" s="113">
        <f>IF($A288="","",MONTH($A288))</f>
        <v/>
      </c>
      <c r="J288" s="113">
        <f>IF($A288="","",YEAR($A288))</f>
        <v/>
      </c>
      <c r="K288" s="113">
        <f>IFERROR(INDEX(Setup!$I$7:$I$22,MATCH($C288,Setup!$D$7:$D$22,0)),"")</f>
        <v/>
      </c>
      <c r="L288" s="88" t="n"/>
      <c r="M288" s="88" t="n"/>
      <c r="N288" s="88" t="n"/>
      <c r="O288" s="88" t="n"/>
      <c r="P288" s="88" t="n"/>
      <c r="Q288" s="88" t="n"/>
      <c r="R288" s="88" t="n"/>
      <c r="S288" s="88" t="n"/>
      <c r="T288" s="88" t="n"/>
      <c r="U288" s="88" t="n"/>
      <c r="V288" s="88" t="n"/>
      <c r="W288" s="88" t="n"/>
      <c r="X288" s="88" t="n"/>
      <c r="Y288" s="88" t="n"/>
      <c r="Z288" s="88" t="n"/>
    </row>
    <row r="289" ht="15" customHeight="1" s="86">
      <c r="A289" s="107" t="n"/>
      <c r="B289" s="95" t="n"/>
      <c r="C289" s="102" t="n"/>
      <c r="D289" s="102" t="n"/>
      <c r="E289" s="97" t="n"/>
      <c r="F289" s="102" t="n"/>
      <c r="G289" s="102" t="n"/>
      <c r="H289" s="102" t="n"/>
      <c r="I289" s="113">
        <f>IF($A289="","",MONTH($A289))</f>
        <v/>
      </c>
      <c r="J289" s="113">
        <f>IF($A289="","",YEAR($A289))</f>
        <v/>
      </c>
      <c r="K289" s="113">
        <f>IFERROR(INDEX(Setup!$I$7:$I$22,MATCH($C289,Setup!$D$7:$D$22,0)),"")</f>
        <v/>
      </c>
      <c r="L289" s="88" t="n"/>
      <c r="M289" s="88" t="n"/>
      <c r="N289" s="88" t="n"/>
      <c r="O289" s="88" t="n"/>
      <c r="P289" s="88" t="n"/>
      <c r="Q289" s="88" t="n"/>
      <c r="R289" s="88" t="n"/>
      <c r="S289" s="88" t="n"/>
      <c r="T289" s="88" t="n"/>
      <c r="U289" s="88" t="n"/>
      <c r="V289" s="88" t="n"/>
      <c r="W289" s="88" t="n"/>
      <c r="X289" s="88" t="n"/>
      <c r="Y289" s="88" t="n"/>
      <c r="Z289" s="88" t="n"/>
    </row>
    <row r="290" ht="15" customHeight="1" s="86">
      <c r="A290" s="109" t="n"/>
      <c r="B290" s="110" t="n"/>
      <c r="C290" s="111" t="n"/>
      <c r="D290" s="111" t="n"/>
      <c r="E290" s="112" t="n"/>
      <c r="F290" s="111" t="n"/>
      <c r="G290" s="111" t="n"/>
      <c r="H290" s="111" t="n"/>
      <c r="I290" s="113">
        <f>IF($A290="","",MONTH($A290))</f>
        <v/>
      </c>
      <c r="J290" s="113">
        <f>IF($A290="","",YEAR($A290))</f>
        <v/>
      </c>
      <c r="K290" s="113">
        <f>IFERROR(INDEX(Setup!$I$7:$I$22,MATCH($C290,Setup!$D$7:$D$22,0)),"")</f>
        <v/>
      </c>
      <c r="L290" s="88" t="n"/>
      <c r="M290" s="88" t="n"/>
      <c r="N290" s="88" t="n"/>
      <c r="O290" s="88" t="n"/>
      <c r="P290" s="88" t="n"/>
      <c r="Q290" s="88" t="n"/>
      <c r="R290" s="88" t="n"/>
      <c r="S290" s="88" t="n"/>
      <c r="T290" s="88" t="n"/>
      <c r="U290" s="88" t="n"/>
      <c r="V290" s="88" t="n"/>
      <c r="W290" s="88" t="n"/>
      <c r="X290" s="88" t="n"/>
      <c r="Y290" s="88" t="n"/>
      <c r="Z290" s="88" t="n"/>
    </row>
    <row r="291" ht="15" customHeight="1" s="86">
      <c r="A291" s="107" t="n"/>
      <c r="B291" s="95" t="n"/>
      <c r="C291" s="102" t="n"/>
      <c r="D291" s="102" t="n"/>
      <c r="E291" s="97" t="n"/>
      <c r="F291" s="102" t="n"/>
      <c r="G291" s="102" t="n"/>
      <c r="H291" s="102" t="n"/>
      <c r="I291" s="113">
        <f>IF($A291="","",MONTH($A291))</f>
        <v/>
      </c>
      <c r="J291" s="113">
        <f>IF($A291="","",YEAR($A291))</f>
        <v/>
      </c>
      <c r="K291" s="113">
        <f>IFERROR(INDEX(Setup!$I$7:$I$22,MATCH($C291,Setup!$D$7:$D$22,0)),"")</f>
        <v/>
      </c>
      <c r="L291" s="88" t="n"/>
      <c r="M291" s="88" t="n"/>
      <c r="N291" s="88" t="n"/>
      <c r="O291" s="88" t="n"/>
      <c r="P291" s="88" t="n"/>
      <c r="Q291" s="88" t="n"/>
      <c r="R291" s="88" t="n"/>
      <c r="S291" s="88" t="n"/>
      <c r="T291" s="88" t="n"/>
      <c r="U291" s="88" t="n"/>
      <c r="V291" s="88" t="n"/>
      <c r="W291" s="88" t="n"/>
      <c r="X291" s="88" t="n"/>
      <c r="Y291" s="88" t="n"/>
      <c r="Z291" s="88" t="n"/>
    </row>
    <row r="292" ht="15" customHeight="1" s="86">
      <c r="A292" s="109" t="n"/>
      <c r="B292" s="110" t="n"/>
      <c r="C292" s="111" t="n"/>
      <c r="D292" s="111" t="n"/>
      <c r="E292" s="112" t="n"/>
      <c r="F292" s="111" t="n"/>
      <c r="G292" s="111" t="n"/>
      <c r="H292" s="111" t="n"/>
      <c r="I292" s="113">
        <f>IF($A292="","",MONTH($A292))</f>
        <v/>
      </c>
      <c r="J292" s="113">
        <f>IF($A292="","",YEAR($A292))</f>
        <v/>
      </c>
      <c r="K292" s="113">
        <f>IFERROR(INDEX(Setup!$I$7:$I$22,MATCH($C292,Setup!$D$7:$D$22,0)),"")</f>
        <v/>
      </c>
      <c r="L292" s="88" t="n"/>
      <c r="M292" s="88" t="n"/>
      <c r="N292" s="88" t="n"/>
      <c r="O292" s="88" t="n"/>
      <c r="P292" s="88" t="n"/>
      <c r="Q292" s="88" t="n"/>
      <c r="R292" s="88" t="n"/>
      <c r="S292" s="88" t="n"/>
      <c r="T292" s="88" t="n"/>
      <c r="U292" s="88" t="n"/>
      <c r="V292" s="88" t="n"/>
      <c r="W292" s="88" t="n"/>
      <c r="X292" s="88" t="n"/>
      <c r="Y292" s="88" t="n"/>
      <c r="Z292" s="88" t="n"/>
    </row>
    <row r="293" ht="15" customHeight="1" s="86">
      <c r="A293" s="107" t="n"/>
      <c r="B293" s="95" t="n"/>
      <c r="C293" s="102" t="n"/>
      <c r="D293" s="102" t="n"/>
      <c r="E293" s="97" t="n"/>
      <c r="F293" s="102" t="n"/>
      <c r="G293" s="102" t="n"/>
      <c r="H293" s="102" t="n"/>
      <c r="I293" s="113">
        <f>IF($A293="","",MONTH($A293))</f>
        <v/>
      </c>
      <c r="J293" s="113">
        <f>IF($A293="","",YEAR($A293))</f>
        <v/>
      </c>
      <c r="K293" s="113">
        <f>IFERROR(INDEX(Setup!$I$7:$I$22,MATCH($C293,Setup!$D$7:$D$22,0)),"")</f>
        <v/>
      </c>
      <c r="L293" s="88" t="n"/>
      <c r="M293" s="88" t="n"/>
      <c r="N293" s="88" t="n"/>
      <c r="O293" s="88" t="n"/>
      <c r="P293" s="88" t="n"/>
      <c r="Q293" s="88" t="n"/>
      <c r="R293" s="88" t="n"/>
      <c r="S293" s="88" t="n"/>
      <c r="T293" s="88" t="n"/>
      <c r="U293" s="88" t="n"/>
      <c r="V293" s="88" t="n"/>
      <c r="W293" s="88" t="n"/>
      <c r="X293" s="88" t="n"/>
      <c r="Y293" s="88" t="n"/>
      <c r="Z293" s="88" t="n"/>
    </row>
    <row r="294" ht="15" customHeight="1" s="86">
      <c r="A294" s="109" t="n"/>
      <c r="B294" s="110" t="n"/>
      <c r="C294" s="111" t="n"/>
      <c r="D294" s="111" t="n"/>
      <c r="E294" s="112" t="n"/>
      <c r="F294" s="111" t="n"/>
      <c r="G294" s="111" t="n"/>
      <c r="H294" s="111" t="n"/>
      <c r="I294" s="113">
        <f>IF($A294="","",MONTH($A294))</f>
        <v/>
      </c>
      <c r="J294" s="113">
        <f>IF($A294="","",YEAR($A294))</f>
        <v/>
      </c>
      <c r="K294" s="113">
        <f>IFERROR(INDEX(Setup!$I$7:$I$22,MATCH($C294,Setup!$D$7:$D$22,0)),"")</f>
        <v/>
      </c>
      <c r="L294" s="88" t="n"/>
      <c r="M294" s="88" t="n"/>
      <c r="N294" s="88" t="n"/>
      <c r="O294" s="88" t="n"/>
      <c r="P294" s="88" t="n"/>
      <c r="Q294" s="88" t="n"/>
      <c r="R294" s="88" t="n"/>
      <c r="S294" s="88" t="n"/>
      <c r="T294" s="88" t="n"/>
      <c r="U294" s="88" t="n"/>
      <c r="V294" s="88" t="n"/>
      <c r="W294" s="88" t="n"/>
      <c r="X294" s="88" t="n"/>
      <c r="Y294" s="88" t="n"/>
      <c r="Z294" s="88" t="n"/>
    </row>
    <row r="295" ht="15" customHeight="1" s="86">
      <c r="A295" s="107" t="n"/>
      <c r="B295" s="95" t="n"/>
      <c r="C295" s="102" t="n"/>
      <c r="D295" s="102" t="n"/>
      <c r="E295" s="97" t="n"/>
      <c r="F295" s="102" t="n"/>
      <c r="G295" s="102" t="n"/>
      <c r="H295" s="102" t="n"/>
      <c r="I295" s="113">
        <f>IF($A295="","",MONTH($A295))</f>
        <v/>
      </c>
      <c r="J295" s="113">
        <f>IF($A295="","",YEAR($A295))</f>
        <v/>
      </c>
      <c r="K295" s="113">
        <f>IFERROR(INDEX(Setup!$I$7:$I$22,MATCH($C295,Setup!$D$7:$D$22,0)),"")</f>
        <v/>
      </c>
      <c r="L295" s="88" t="n"/>
      <c r="M295" s="88" t="n"/>
      <c r="N295" s="88" t="n"/>
      <c r="O295" s="88" t="n"/>
      <c r="P295" s="88" t="n"/>
      <c r="Q295" s="88" t="n"/>
      <c r="R295" s="88" t="n"/>
      <c r="S295" s="88" t="n"/>
      <c r="T295" s="88" t="n"/>
      <c r="U295" s="88" t="n"/>
      <c r="V295" s="88" t="n"/>
      <c r="W295" s="88" t="n"/>
      <c r="X295" s="88" t="n"/>
      <c r="Y295" s="88" t="n"/>
      <c r="Z295" s="88" t="n"/>
    </row>
    <row r="296" ht="15" customHeight="1" s="86">
      <c r="A296" s="109" t="n"/>
      <c r="B296" s="110" t="n"/>
      <c r="C296" s="111" t="n"/>
      <c r="D296" s="111" t="n"/>
      <c r="E296" s="112" t="n"/>
      <c r="F296" s="111" t="n"/>
      <c r="G296" s="111" t="n"/>
      <c r="H296" s="111" t="n"/>
      <c r="I296" s="113">
        <f>IF($A296="","",MONTH($A296))</f>
        <v/>
      </c>
      <c r="J296" s="113">
        <f>IF($A296="","",YEAR($A296))</f>
        <v/>
      </c>
      <c r="K296" s="113">
        <f>IFERROR(INDEX(Setup!$I$7:$I$22,MATCH($C296,Setup!$D$7:$D$22,0)),"")</f>
        <v/>
      </c>
      <c r="L296" s="88" t="n"/>
      <c r="M296" s="88" t="n"/>
      <c r="N296" s="88" t="n"/>
      <c r="O296" s="88" t="n"/>
      <c r="P296" s="88" t="n"/>
      <c r="Q296" s="88" t="n"/>
      <c r="R296" s="88" t="n"/>
      <c r="S296" s="88" t="n"/>
      <c r="T296" s="88" t="n"/>
      <c r="U296" s="88" t="n"/>
      <c r="V296" s="88" t="n"/>
      <c r="W296" s="88" t="n"/>
      <c r="X296" s="88" t="n"/>
      <c r="Y296" s="88" t="n"/>
      <c r="Z296" s="88" t="n"/>
    </row>
    <row r="297" ht="15" customHeight="1" s="86">
      <c r="A297" s="107" t="n"/>
      <c r="B297" s="95" t="n"/>
      <c r="C297" s="102" t="n"/>
      <c r="D297" s="102" t="n"/>
      <c r="E297" s="97" t="n"/>
      <c r="F297" s="102" t="n"/>
      <c r="G297" s="102" t="n"/>
      <c r="H297" s="102" t="n"/>
      <c r="I297" s="113">
        <f>IF($A297="","",MONTH($A297))</f>
        <v/>
      </c>
      <c r="J297" s="113">
        <f>IF($A297="","",YEAR($A297))</f>
        <v/>
      </c>
      <c r="K297" s="113">
        <f>IFERROR(INDEX(Setup!$I$7:$I$22,MATCH($C297,Setup!$D$7:$D$22,0)),"")</f>
        <v/>
      </c>
      <c r="L297" s="88" t="n"/>
      <c r="M297" s="88" t="n"/>
      <c r="N297" s="88" t="n"/>
      <c r="O297" s="88" t="n"/>
      <c r="P297" s="88" t="n"/>
      <c r="Q297" s="88" t="n"/>
      <c r="R297" s="88" t="n"/>
      <c r="S297" s="88" t="n"/>
      <c r="T297" s="88" t="n"/>
      <c r="U297" s="88" t="n"/>
      <c r="V297" s="88" t="n"/>
      <c r="W297" s="88" t="n"/>
      <c r="X297" s="88" t="n"/>
      <c r="Y297" s="88" t="n"/>
      <c r="Z297" s="88" t="n"/>
    </row>
    <row r="298" ht="15" customHeight="1" s="86">
      <c r="A298" s="109" t="n"/>
      <c r="B298" s="110" t="n"/>
      <c r="C298" s="111" t="n"/>
      <c r="D298" s="111" t="n"/>
      <c r="E298" s="112" t="n"/>
      <c r="F298" s="111" t="n"/>
      <c r="G298" s="111" t="n"/>
      <c r="H298" s="111" t="n"/>
      <c r="I298" s="113">
        <f>IF($A298="","",MONTH($A298))</f>
        <v/>
      </c>
      <c r="J298" s="113">
        <f>IF($A298="","",YEAR($A298))</f>
        <v/>
      </c>
      <c r="K298" s="113">
        <f>IFERROR(INDEX(Setup!$I$7:$I$22,MATCH($C298,Setup!$D$7:$D$22,0)),"")</f>
        <v/>
      </c>
      <c r="L298" s="88" t="n"/>
      <c r="M298" s="88" t="n"/>
      <c r="N298" s="88" t="n"/>
      <c r="O298" s="88" t="n"/>
      <c r="P298" s="88" t="n"/>
      <c r="Q298" s="88" t="n"/>
      <c r="R298" s="88" t="n"/>
      <c r="S298" s="88" t="n"/>
      <c r="T298" s="88" t="n"/>
      <c r="U298" s="88" t="n"/>
      <c r="V298" s="88" t="n"/>
      <c r="W298" s="88" t="n"/>
      <c r="X298" s="88" t="n"/>
      <c r="Y298" s="88" t="n"/>
      <c r="Z298" s="88" t="n"/>
    </row>
    <row r="299" ht="15" customHeight="1" s="86">
      <c r="A299" s="107" t="n"/>
      <c r="B299" s="95" t="n"/>
      <c r="C299" s="102" t="n"/>
      <c r="D299" s="102" t="n"/>
      <c r="E299" s="97" t="n"/>
      <c r="F299" s="102" t="n"/>
      <c r="G299" s="102" t="n"/>
      <c r="H299" s="102" t="n"/>
      <c r="I299" s="113">
        <f>IF($A299="","",MONTH($A299))</f>
        <v/>
      </c>
      <c r="J299" s="113">
        <f>IF($A299="","",YEAR($A299))</f>
        <v/>
      </c>
      <c r="K299" s="113">
        <f>IFERROR(INDEX(Setup!$I$7:$I$22,MATCH($C299,Setup!$D$7:$D$22,0)),"")</f>
        <v/>
      </c>
      <c r="L299" s="88" t="n"/>
      <c r="M299" s="88" t="n"/>
      <c r="N299" s="88" t="n"/>
      <c r="O299" s="88" t="n"/>
      <c r="P299" s="88" t="n"/>
      <c r="Q299" s="88" t="n"/>
      <c r="R299" s="88" t="n"/>
      <c r="S299" s="88" t="n"/>
      <c r="T299" s="88" t="n"/>
      <c r="U299" s="88" t="n"/>
      <c r="V299" s="88" t="n"/>
      <c r="W299" s="88" t="n"/>
      <c r="X299" s="88" t="n"/>
      <c r="Y299" s="88" t="n"/>
      <c r="Z299" s="88" t="n"/>
    </row>
    <row r="300" ht="15" customHeight="1" s="86">
      <c r="A300" s="109" t="n"/>
      <c r="B300" s="110" t="n"/>
      <c r="C300" s="111" t="n"/>
      <c r="D300" s="111" t="n"/>
      <c r="E300" s="112" t="n"/>
      <c r="F300" s="111" t="n"/>
      <c r="G300" s="111" t="n"/>
      <c r="H300" s="111" t="n"/>
      <c r="I300" s="113">
        <f>IF($A300="","",MONTH($A300))</f>
        <v/>
      </c>
      <c r="J300" s="113">
        <f>IF($A300="","",YEAR($A300))</f>
        <v/>
      </c>
      <c r="K300" s="113">
        <f>IFERROR(INDEX(Setup!$I$7:$I$22,MATCH($C300,Setup!$D$7:$D$22,0)),"")</f>
        <v/>
      </c>
      <c r="L300" s="88" t="n"/>
      <c r="M300" s="88" t="n"/>
      <c r="N300" s="88" t="n"/>
      <c r="O300" s="88" t="n"/>
      <c r="P300" s="88" t="n"/>
      <c r="Q300" s="88" t="n"/>
      <c r="R300" s="88" t="n"/>
      <c r="S300" s="88" t="n"/>
      <c r="T300" s="88" t="n"/>
      <c r="U300" s="88" t="n"/>
      <c r="V300" s="88" t="n"/>
      <c r="W300" s="88" t="n"/>
      <c r="X300" s="88" t="n"/>
      <c r="Y300" s="88" t="n"/>
      <c r="Z300" s="88" t="n"/>
    </row>
    <row r="301" ht="15" customHeight="1" s="86">
      <c r="A301" s="107" t="n"/>
      <c r="B301" s="95" t="n"/>
      <c r="C301" s="102" t="n"/>
      <c r="D301" s="102" t="n"/>
      <c r="E301" s="97" t="n"/>
      <c r="F301" s="102" t="n"/>
      <c r="G301" s="102" t="n"/>
      <c r="H301" s="102" t="n"/>
      <c r="I301" s="113">
        <f>IF($A301="","",MONTH($A301))</f>
        <v/>
      </c>
      <c r="J301" s="113">
        <f>IF($A301="","",YEAR($A301))</f>
        <v/>
      </c>
      <c r="K301" s="113">
        <f>IFERROR(INDEX(Setup!$I$7:$I$22,MATCH($C301,Setup!$D$7:$D$22,0)),"")</f>
        <v/>
      </c>
      <c r="L301" s="88" t="n"/>
      <c r="M301" s="88" t="n"/>
      <c r="N301" s="88" t="n"/>
      <c r="O301" s="88" t="n"/>
      <c r="P301" s="88" t="n"/>
      <c r="Q301" s="88" t="n"/>
      <c r="R301" s="88" t="n"/>
      <c r="S301" s="88" t="n"/>
      <c r="T301" s="88" t="n"/>
      <c r="U301" s="88" t="n"/>
      <c r="V301" s="88" t="n"/>
      <c r="W301" s="88" t="n"/>
      <c r="X301" s="88" t="n"/>
      <c r="Y301" s="88" t="n"/>
      <c r="Z301" s="88" t="n"/>
    </row>
    <row r="302" ht="15" customHeight="1" s="86">
      <c r="A302" s="109" t="n"/>
      <c r="B302" s="110" t="n"/>
      <c r="C302" s="111" t="n"/>
      <c r="D302" s="111" t="n"/>
      <c r="E302" s="112" t="n"/>
      <c r="F302" s="111" t="n"/>
      <c r="G302" s="111" t="n"/>
      <c r="H302" s="111" t="n"/>
      <c r="I302" s="113">
        <f>IF($A302="","",MONTH($A302))</f>
        <v/>
      </c>
      <c r="J302" s="113">
        <f>IF($A302="","",YEAR($A302))</f>
        <v/>
      </c>
      <c r="K302" s="113">
        <f>IFERROR(INDEX(Setup!$I$7:$I$22,MATCH($C302,Setup!$D$7:$D$22,0)),"")</f>
        <v/>
      </c>
      <c r="L302" s="88" t="n"/>
      <c r="M302" s="88" t="n"/>
      <c r="N302" s="88" t="n"/>
      <c r="O302" s="88" t="n"/>
      <c r="P302" s="88" t="n"/>
      <c r="Q302" s="88" t="n"/>
      <c r="R302" s="88" t="n"/>
      <c r="S302" s="88" t="n"/>
      <c r="T302" s="88" t="n"/>
      <c r="U302" s="88" t="n"/>
      <c r="V302" s="88" t="n"/>
      <c r="W302" s="88" t="n"/>
      <c r="X302" s="88" t="n"/>
      <c r="Y302" s="88" t="n"/>
      <c r="Z302" s="88" t="n"/>
    </row>
    <row r="303" ht="15" customHeight="1" s="86">
      <c r="A303" s="107" t="n"/>
      <c r="B303" s="95" t="n"/>
      <c r="C303" s="102" t="n"/>
      <c r="D303" s="102" t="n"/>
      <c r="E303" s="97" t="n"/>
      <c r="F303" s="102" t="n"/>
      <c r="G303" s="102" t="n"/>
      <c r="H303" s="102" t="n"/>
      <c r="I303" s="113">
        <f>IF($A303="","",MONTH($A303))</f>
        <v/>
      </c>
      <c r="J303" s="113">
        <f>IF($A303="","",YEAR($A303))</f>
        <v/>
      </c>
      <c r="K303" s="113">
        <f>IFERROR(INDEX(Setup!$I$7:$I$22,MATCH($C303,Setup!$D$7:$D$22,0)),"")</f>
        <v/>
      </c>
      <c r="L303" s="88" t="n"/>
      <c r="M303" s="88" t="n"/>
      <c r="N303" s="88" t="n"/>
      <c r="O303" s="88" t="n"/>
      <c r="P303" s="88" t="n"/>
      <c r="Q303" s="88" t="n"/>
      <c r="R303" s="88" t="n"/>
      <c r="S303" s="88" t="n"/>
      <c r="T303" s="88" t="n"/>
      <c r="U303" s="88" t="n"/>
      <c r="V303" s="88" t="n"/>
      <c r="W303" s="88" t="n"/>
      <c r="X303" s="88" t="n"/>
      <c r="Y303" s="88" t="n"/>
      <c r="Z303" s="88" t="n"/>
    </row>
    <row r="304" ht="15" customHeight="1" s="86">
      <c r="A304" s="109" t="n"/>
      <c r="B304" s="110" t="n"/>
      <c r="C304" s="111" t="n"/>
      <c r="D304" s="111" t="n"/>
      <c r="E304" s="112" t="n"/>
      <c r="F304" s="111" t="n"/>
      <c r="G304" s="111" t="n"/>
      <c r="H304" s="111" t="n"/>
      <c r="I304" s="113">
        <f>IF($A304="","",MONTH($A304))</f>
        <v/>
      </c>
      <c r="J304" s="113">
        <f>IF($A304="","",YEAR($A304))</f>
        <v/>
      </c>
      <c r="K304" s="113">
        <f>IFERROR(INDEX(Setup!$I$7:$I$22,MATCH($C304,Setup!$D$7:$D$22,0)),"")</f>
        <v/>
      </c>
      <c r="L304" s="88" t="n"/>
      <c r="M304" s="88" t="n"/>
      <c r="N304" s="88" t="n"/>
      <c r="O304" s="88" t="n"/>
      <c r="P304" s="88" t="n"/>
      <c r="Q304" s="88" t="n"/>
      <c r="R304" s="88" t="n"/>
      <c r="S304" s="88" t="n"/>
      <c r="T304" s="88" t="n"/>
      <c r="U304" s="88" t="n"/>
      <c r="V304" s="88" t="n"/>
      <c r="W304" s="88" t="n"/>
      <c r="X304" s="88" t="n"/>
      <c r="Y304" s="88" t="n"/>
      <c r="Z304" s="88" t="n"/>
    </row>
    <row r="305" ht="15" customHeight="1" s="86">
      <c r="A305" s="107" t="n"/>
      <c r="B305" s="95" t="n"/>
      <c r="C305" s="102" t="n"/>
      <c r="D305" s="102" t="n"/>
      <c r="E305" s="97" t="n"/>
      <c r="F305" s="102" t="n"/>
      <c r="G305" s="102" t="n"/>
      <c r="H305" s="102" t="n"/>
      <c r="I305" s="113">
        <f>IF($A305="","",MONTH($A305))</f>
        <v/>
      </c>
      <c r="J305" s="113">
        <f>IF($A305="","",YEAR($A305))</f>
        <v/>
      </c>
      <c r="K305" s="113">
        <f>IFERROR(INDEX(Setup!$I$7:$I$22,MATCH($C305,Setup!$D$7:$D$22,0)),"")</f>
        <v/>
      </c>
      <c r="L305" s="88" t="n"/>
      <c r="M305" s="88" t="n"/>
      <c r="N305" s="88" t="n"/>
      <c r="O305" s="88" t="n"/>
      <c r="P305" s="88" t="n"/>
      <c r="Q305" s="88" t="n"/>
      <c r="R305" s="88" t="n"/>
      <c r="S305" s="88" t="n"/>
      <c r="T305" s="88" t="n"/>
      <c r="U305" s="88" t="n"/>
      <c r="V305" s="88" t="n"/>
      <c r="W305" s="88" t="n"/>
      <c r="X305" s="88" t="n"/>
      <c r="Y305" s="88" t="n"/>
      <c r="Z305" s="88" t="n"/>
    </row>
    <row r="306" ht="15" customHeight="1" s="86">
      <c r="A306" s="109" t="n"/>
      <c r="B306" s="110" t="n"/>
      <c r="C306" s="111" t="n"/>
      <c r="D306" s="111" t="n"/>
      <c r="E306" s="112" t="n"/>
      <c r="F306" s="111" t="n"/>
      <c r="G306" s="111" t="n"/>
      <c r="H306" s="111" t="n"/>
      <c r="I306" s="113">
        <f>IF($A306="","",MONTH($A306))</f>
        <v/>
      </c>
      <c r="J306" s="113">
        <f>IF($A306="","",YEAR($A306))</f>
        <v/>
      </c>
      <c r="K306" s="113">
        <f>IFERROR(INDEX(Setup!$I$7:$I$22,MATCH($C306,Setup!$D$7:$D$22,0)),"")</f>
        <v/>
      </c>
      <c r="L306" s="88" t="n"/>
      <c r="M306" s="88" t="n"/>
      <c r="N306" s="88" t="n"/>
      <c r="O306" s="88" t="n"/>
      <c r="P306" s="88" t="n"/>
      <c r="Q306" s="88" t="n"/>
      <c r="R306" s="88" t="n"/>
      <c r="S306" s="88" t="n"/>
      <c r="T306" s="88" t="n"/>
      <c r="U306" s="88" t="n"/>
      <c r="V306" s="88" t="n"/>
      <c r="W306" s="88" t="n"/>
      <c r="X306" s="88" t="n"/>
      <c r="Y306" s="88" t="n"/>
      <c r="Z306" s="88" t="n"/>
    </row>
    <row r="307" ht="15" customHeight="1" s="86">
      <c r="A307" s="107" t="n"/>
      <c r="B307" s="95" t="n"/>
      <c r="C307" s="102" t="n"/>
      <c r="D307" s="102" t="n"/>
      <c r="E307" s="97" t="n"/>
      <c r="F307" s="102" t="n"/>
      <c r="G307" s="102" t="n"/>
      <c r="H307" s="102" t="n"/>
      <c r="I307" s="113">
        <f>IF($A307="","",MONTH($A307))</f>
        <v/>
      </c>
      <c r="J307" s="113">
        <f>IF($A307="","",YEAR($A307))</f>
        <v/>
      </c>
      <c r="K307" s="113">
        <f>IFERROR(INDEX(Setup!$I$7:$I$22,MATCH($C307,Setup!$D$7:$D$22,0)),"")</f>
        <v/>
      </c>
      <c r="L307" s="88" t="n"/>
      <c r="M307" s="88" t="n"/>
      <c r="N307" s="88" t="n"/>
      <c r="O307" s="88" t="n"/>
      <c r="P307" s="88" t="n"/>
      <c r="Q307" s="88" t="n"/>
      <c r="R307" s="88" t="n"/>
      <c r="S307" s="88" t="n"/>
      <c r="T307" s="88" t="n"/>
      <c r="U307" s="88" t="n"/>
      <c r="V307" s="88" t="n"/>
      <c r="W307" s="88" t="n"/>
      <c r="X307" s="88" t="n"/>
      <c r="Y307" s="88" t="n"/>
      <c r="Z307" s="88" t="n"/>
    </row>
    <row r="308" ht="15" customHeight="1" s="86">
      <c r="A308" s="109" t="n"/>
      <c r="B308" s="110" t="n"/>
      <c r="C308" s="111" t="n"/>
      <c r="D308" s="111" t="n"/>
      <c r="E308" s="112" t="n"/>
      <c r="F308" s="111" t="n"/>
      <c r="G308" s="111" t="n"/>
      <c r="H308" s="111" t="n"/>
      <c r="I308" s="113">
        <f>IF($A308="","",MONTH($A308))</f>
        <v/>
      </c>
      <c r="J308" s="113">
        <f>IF($A308="","",YEAR($A308))</f>
        <v/>
      </c>
      <c r="K308" s="113">
        <f>IFERROR(INDEX(Setup!$I$7:$I$22,MATCH($C308,Setup!$D$7:$D$22,0)),"")</f>
        <v/>
      </c>
      <c r="L308" s="88" t="n"/>
      <c r="M308" s="88" t="n"/>
      <c r="N308" s="88" t="n"/>
      <c r="O308" s="88" t="n"/>
      <c r="P308" s="88" t="n"/>
      <c r="Q308" s="88" t="n"/>
      <c r="R308" s="88" t="n"/>
      <c r="S308" s="88" t="n"/>
      <c r="T308" s="88" t="n"/>
      <c r="U308" s="88" t="n"/>
      <c r="V308" s="88" t="n"/>
      <c r="W308" s="88" t="n"/>
      <c r="X308" s="88" t="n"/>
      <c r="Y308" s="88" t="n"/>
      <c r="Z308" s="88" t="n"/>
    </row>
    <row r="309" ht="15" customHeight="1" s="86">
      <c r="A309" s="107" t="n"/>
      <c r="B309" s="95" t="n"/>
      <c r="C309" s="102" t="n"/>
      <c r="D309" s="102" t="n"/>
      <c r="E309" s="97" t="n"/>
      <c r="F309" s="102" t="n"/>
      <c r="G309" s="102" t="n"/>
      <c r="H309" s="102" t="n"/>
      <c r="I309" s="113">
        <f>IF($A309="","",MONTH($A309))</f>
        <v/>
      </c>
      <c r="J309" s="113">
        <f>IF($A309="","",YEAR($A309))</f>
        <v/>
      </c>
      <c r="K309" s="113">
        <f>IFERROR(INDEX(Setup!$I$7:$I$22,MATCH($C309,Setup!$D$7:$D$22,0)),"")</f>
        <v/>
      </c>
      <c r="L309" s="88" t="n"/>
      <c r="M309" s="88" t="n"/>
      <c r="N309" s="88" t="n"/>
      <c r="O309" s="88" t="n"/>
      <c r="P309" s="88" t="n"/>
      <c r="Q309" s="88" t="n"/>
      <c r="R309" s="88" t="n"/>
      <c r="S309" s="88" t="n"/>
      <c r="T309" s="88" t="n"/>
      <c r="U309" s="88" t="n"/>
      <c r="V309" s="88" t="n"/>
      <c r="W309" s="88" t="n"/>
      <c r="X309" s="88" t="n"/>
      <c r="Y309" s="88" t="n"/>
      <c r="Z309" s="88" t="n"/>
    </row>
    <row r="310" ht="15" customHeight="1" s="86">
      <c r="A310" s="109" t="n"/>
      <c r="B310" s="110" t="n"/>
      <c r="C310" s="111" t="n"/>
      <c r="D310" s="111" t="n"/>
      <c r="E310" s="112" t="n"/>
      <c r="F310" s="111" t="n"/>
      <c r="G310" s="111" t="n"/>
      <c r="H310" s="111" t="n"/>
      <c r="I310" s="113">
        <f>IF($A310="","",MONTH($A310))</f>
        <v/>
      </c>
      <c r="J310" s="113">
        <f>IF($A310="","",YEAR($A310))</f>
        <v/>
      </c>
      <c r="K310" s="113">
        <f>IFERROR(INDEX(Setup!$I$7:$I$22,MATCH($C310,Setup!$D$7:$D$22,0)),"")</f>
        <v/>
      </c>
      <c r="L310" s="88" t="n"/>
      <c r="M310" s="88" t="n"/>
      <c r="N310" s="88" t="n"/>
      <c r="O310" s="88" t="n"/>
      <c r="P310" s="88" t="n"/>
      <c r="Q310" s="88" t="n"/>
      <c r="R310" s="88" t="n"/>
      <c r="S310" s="88" t="n"/>
      <c r="T310" s="88" t="n"/>
      <c r="U310" s="88" t="n"/>
      <c r="V310" s="88" t="n"/>
      <c r="W310" s="88" t="n"/>
      <c r="X310" s="88" t="n"/>
      <c r="Y310" s="88" t="n"/>
      <c r="Z310" s="88" t="n"/>
    </row>
    <row r="311" ht="15" customHeight="1" s="86">
      <c r="A311" s="107" t="n"/>
      <c r="B311" s="95" t="n"/>
      <c r="C311" s="102" t="n"/>
      <c r="D311" s="102" t="n"/>
      <c r="E311" s="97" t="n"/>
      <c r="F311" s="102" t="n"/>
      <c r="G311" s="102" t="n"/>
      <c r="H311" s="102" t="n"/>
      <c r="I311" s="113">
        <f>IF($A311="","",MONTH($A311))</f>
        <v/>
      </c>
      <c r="J311" s="113">
        <f>IF($A311="","",YEAR($A311))</f>
        <v/>
      </c>
      <c r="K311" s="113">
        <f>IFERROR(INDEX(Setup!$I$7:$I$22,MATCH($C311,Setup!$D$7:$D$22,0)),"")</f>
        <v/>
      </c>
      <c r="L311" s="88" t="n"/>
      <c r="M311" s="88" t="n"/>
      <c r="N311" s="88" t="n"/>
      <c r="O311" s="88" t="n"/>
      <c r="P311" s="88" t="n"/>
      <c r="Q311" s="88" t="n"/>
      <c r="R311" s="88" t="n"/>
      <c r="S311" s="88" t="n"/>
      <c r="T311" s="88" t="n"/>
      <c r="U311" s="88" t="n"/>
      <c r="V311" s="88" t="n"/>
      <c r="W311" s="88" t="n"/>
      <c r="X311" s="88" t="n"/>
      <c r="Y311" s="88" t="n"/>
      <c r="Z311" s="88" t="n"/>
    </row>
    <row r="312" ht="15" customHeight="1" s="86">
      <c r="A312" s="109" t="n"/>
      <c r="B312" s="110" t="n"/>
      <c r="C312" s="111" t="n"/>
      <c r="D312" s="111" t="n"/>
      <c r="E312" s="112" t="n"/>
      <c r="F312" s="111" t="n"/>
      <c r="G312" s="111" t="n"/>
      <c r="H312" s="111" t="n"/>
      <c r="I312" s="113">
        <f>IF($A312="","",MONTH($A312))</f>
        <v/>
      </c>
      <c r="J312" s="113">
        <f>IF($A312="","",YEAR($A312))</f>
        <v/>
      </c>
      <c r="K312" s="113">
        <f>IFERROR(INDEX(Setup!$I$7:$I$22,MATCH($C312,Setup!$D$7:$D$22,0)),"")</f>
        <v/>
      </c>
      <c r="L312" s="88" t="n"/>
      <c r="M312" s="88" t="n"/>
      <c r="N312" s="88" t="n"/>
      <c r="O312" s="88" t="n"/>
      <c r="P312" s="88" t="n"/>
      <c r="Q312" s="88" t="n"/>
      <c r="R312" s="88" t="n"/>
      <c r="S312" s="88" t="n"/>
      <c r="T312" s="88" t="n"/>
      <c r="U312" s="88" t="n"/>
      <c r="V312" s="88" t="n"/>
      <c r="W312" s="88" t="n"/>
      <c r="X312" s="88" t="n"/>
      <c r="Y312" s="88" t="n"/>
      <c r="Z312" s="88" t="n"/>
    </row>
    <row r="313" ht="15" customHeight="1" s="86">
      <c r="A313" s="107" t="n"/>
      <c r="B313" s="95" t="n"/>
      <c r="C313" s="102" t="n"/>
      <c r="D313" s="102" t="n"/>
      <c r="E313" s="97" t="n"/>
      <c r="F313" s="102" t="n"/>
      <c r="G313" s="102" t="n"/>
      <c r="H313" s="102" t="n"/>
      <c r="I313" s="113">
        <f>IF($A313="","",MONTH($A313))</f>
        <v/>
      </c>
      <c r="J313" s="113">
        <f>IF($A313="","",YEAR($A313))</f>
        <v/>
      </c>
      <c r="K313" s="113">
        <f>IFERROR(INDEX(Setup!$I$7:$I$22,MATCH($C313,Setup!$D$7:$D$22,0)),"")</f>
        <v/>
      </c>
      <c r="L313" s="88" t="n"/>
      <c r="M313" s="88" t="n"/>
      <c r="N313" s="88" t="n"/>
      <c r="O313" s="88" t="n"/>
      <c r="P313" s="88" t="n"/>
      <c r="Q313" s="88" t="n"/>
      <c r="R313" s="88" t="n"/>
      <c r="S313" s="88" t="n"/>
      <c r="T313" s="88" t="n"/>
      <c r="U313" s="88" t="n"/>
      <c r="V313" s="88" t="n"/>
      <c r="W313" s="88" t="n"/>
      <c r="X313" s="88" t="n"/>
      <c r="Y313" s="88" t="n"/>
      <c r="Z313" s="88" t="n"/>
    </row>
    <row r="314" ht="15" customHeight="1" s="86">
      <c r="A314" s="109" t="n"/>
      <c r="B314" s="110" t="n"/>
      <c r="C314" s="111" t="n"/>
      <c r="D314" s="111" t="n"/>
      <c r="E314" s="112" t="n"/>
      <c r="F314" s="111" t="n"/>
      <c r="G314" s="111" t="n"/>
      <c r="H314" s="111" t="n"/>
      <c r="I314" s="113">
        <f>IF($A314="","",MONTH($A314))</f>
        <v/>
      </c>
      <c r="J314" s="113">
        <f>IF($A314="","",YEAR($A314))</f>
        <v/>
      </c>
      <c r="K314" s="113">
        <f>IFERROR(INDEX(Setup!$I$7:$I$22,MATCH($C314,Setup!$D$7:$D$22,0)),"")</f>
        <v/>
      </c>
      <c r="L314" s="88" t="n"/>
      <c r="M314" s="88" t="n"/>
      <c r="N314" s="88" t="n"/>
      <c r="O314" s="88" t="n"/>
      <c r="P314" s="88" t="n"/>
      <c r="Q314" s="88" t="n"/>
      <c r="R314" s="88" t="n"/>
      <c r="S314" s="88" t="n"/>
      <c r="T314" s="88" t="n"/>
      <c r="U314" s="88" t="n"/>
      <c r="V314" s="88" t="n"/>
      <c r="W314" s="88" t="n"/>
      <c r="X314" s="88" t="n"/>
      <c r="Y314" s="88" t="n"/>
      <c r="Z314" s="88" t="n"/>
    </row>
    <row r="315" ht="15" customHeight="1" s="86">
      <c r="A315" s="107" t="n"/>
      <c r="B315" s="95" t="n"/>
      <c r="C315" s="102" t="n"/>
      <c r="D315" s="102" t="n"/>
      <c r="E315" s="97" t="n"/>
      <c r="F315" s="102" t="n"/>
      <c r="G315" s="102" t="n"/>
      <c r="H315" s="102" t="n"/>
      <c r="I315" s="113">
        <f>IF($A315="","",MONTH($A315))</f>
        <v/>
      </c>
      <c r="J315" s="113">
        <f>IF($A315="","",YEAR($A315))</f>
        <v/>
      </c>
      <c r="K315" s="113">
        <f>IFERROR(INDEX(Setup!$I$7:$I$22,MATCH($C315,Setup!$D$7:$D$22,0)),"")</f>
        <v/>
      </c>
      <c r="L315" s="88" t="n"/>
      <c r="M315" s="88" t="n"/>
      <c r="N315" s="88" t="n"/>
      <c r="O315" s="88" t="n"/>
      <c r="P315" s="88" t="n"/>
      <c r="Q315" s="88" t="n"/>
      <c r="R315" s="88" t="n"/>
      <c r="S315" s="88" t="n"/>
      <c r="T315" s="88" t="n"/>
      <c r="U315" s="88" t="n"/>
      <c r="V315" s="88" t="n"/>
      <c r="W315" s="88" t="n"/>
      <c r="X315" s="88" t="n"/>
      <c r="Y315" s="88" t="n"/>
      <c r="Z315" s="88" t="n"/>
    </row>
    <row r="316" ht="15" customHeight="1" s="86">
      <c r="A316" s="109" t="n"/>
      <c r="B316" s="110" t="n"/>
      <c r="C316" s="111" t="n"/>
      <c r="D316" s="111" t="n"/>
      <c r="E316" s="112" t="n"/>
      <c r="F316" s="111" t="n"/>
      <c r="G316" s="111" t="n"/>
      <c r="H316" s="111" t="n"/>
      <c r="I316" s="113">
        <f>IF($A316="","",MONTH($A316))</f>
        <v/>
      </c>
      <c r="J316" s="113">
        <f>IF($A316="","",YEAR($A316))</f>
        <v/>
      </c>
      <c r="K316" s="113">
        <f>IFERROR(INDEX(Setup!$I$7:$I$22,MATCH($C316,Setup!$D$7:$D$22,0)),"")</f>
        <v/>
      </c>
      <c r="L316" s="88" t="n"/>
      <c r="M316" s="88" t="n"/>
      <c r="N316" s="88" t="n"/>
      <c r="O316" s="88" t="n"/>
      <c r="P316" s="88" t="n"/>
      <c r="Q316" s="88" t="n"/>
      <c r="R316" s="88" t="n"/>
      <c r="S316" s="88" t="n"/>
      <c r="T316" s="88" t="n"/>
      <c r="U316" s="88" t="n"/>
      <c r="V316" s="88" t="n"/>
      <c r="W316" s="88" t="n"/>
      <c r="X316" s="88" t="n"/>
      <c r="Y316" s="88" t="n"/>
      <c r="Z316" s="88" t="n"/>
    </row>
    <row r="317" ht="15" customHeight="1" s="86">
      <c r="A317" s="107" t="n"/>
      <c r="B317" s="95" t="n"/>
      <c r="C317" s="102" t="n"/>
      <c r="D317" s="102" t="n"/>
      <c r="E317" s="97" t="n"/>
      <c r="F317" s="102" t="n"/>
      <c r="G317" s="102" t="n"/>
      <c r="H317" s="102" t="n"/>
      <c r="I317" s="113">
        <f>IF($A317="","",MONTH($A317))</f>
        <v/>
      </c>
      <c r="J317" s="113">
        <f>IF($A317="","",YEAR($A317))</f>
        <v/>
      </c>
      <c r="K317" s="113">
        <f>IFERROR(INDEX(Setup!$I$7:$I$22,MATCH($C317,Setup!$D$7:$D$22,0)),"")</f>
        <v/>
      </c>
      <c r="L317" s="88" t="n"/>
      <c r="M317" s="88" t="n"/>
      <c r="N317" s="88" t="n"/>
      <c r="O317" s="88" t="n"/>
      <c r="P317" s="88" t="n"/>
      <c r="Q317" s="88" t="n"/>
      <c r="R317" s="88" t="n"/>
      <c r="S317" s="88" t="n"/>
      <c r="T317" s="88" t="n"/>
      <c r="U317" s="88" t="n"/>
      <c r="V317" s="88" t="n"/>
      <c r="W317" s="88" t="n"/>
      <c r="X317" s="88" t="n"/>
      <c r="Y317" s="88" t="n"/>
      <c r="Z317" s="88" t="n"/>
    </row>
    <row r="318" ht="15" customHeight="1" s="86">
      <c r="A318" s="109" t="n"/>
      <c r="B318" s="110" t="n"/>
      <c r="C318" s="111" t="n"/>
      <c r="D318" s="111" t="n"/>
      <c r="E318" s="112" t="n"/>
      <c r="F318" s="111" t="n"/>
      <c r="G318" s="111" t="n"/>
      <c r="H318" s="111" t="n"/>
      <c r="I318" s="113">
        <f>IF($A318="","",MONTH($A318))</f>
        <v/>
      </c>
      <c r="J318" s="113">
        <f>IF($A318="","",YEAR($A318))</f>
        <v/>
      </c>
      <c r="K318" s="113">
        <f>IFERROR(INDEX(Setup!$I$7:$I$22,MATCH($C318,Setup!$D$7:$D$22,0)),"")</f>
        <v/>
      </c>
      <c r="L318" s="88" t="n"/>
      <c r="M318" s="88" t="n"/>
      <c r="N318" s="88" t="n"/>
      <c r="O318" s="88" t="n"/>
      <c r="P318" s="88" t="n"/>
      <c r="Q318" s="88" t="n"/>
      <c r="R318" s="88" t="n"/>
      <c r="S318" s="88" t="n"/>
      <c r="T318" s="88" t="n"/>
      <c r="U318" s="88" t="n"/>
      <c r="V318" s="88" t="n"/>
      <c r="W318" s="88" t="n"/>
      <c r="X318" s="88" t="n"/>
      <c r="Y318" s="88" t="n"/>
      <c r="Z318" s="88" t="n"/>
    </row>
    <row r="319" ht="15" customHeight="1" s="86">
      <c r="A319" s="107" t="n"/>
      <c r="B319" s="95" t="n"/>
      <c r="C319" s="102" t="n"/>
      <c r="D319" s="102" t="n"/>
      <c r="E319" s="97" t="n"/>
      <c r="F319" s="102" t="n"/>
      <c r="G319" s="102" t="n"/>
      <c r="H319" s="102" t="n"/>
      <c r="I319" s="113">
        <f>IF($A319="","",MONTH($A319))</f>
        <v/>
      </c>
      <c r="J319" s="113">
        <f>IF($A319="","",YEAR($A319))</f>
        <v/>
      </c>
      <c r="K319" s="113">
        <f>IFERROR(INDEX(Setup!$I$7:$I$22,MATCH($C319,Setup!$D$7:$D$22,0)),"")</f>
        <v/>
      </c>
      <c r="L319" s="88" t="n"/>
      <c r="M319" s="88" t="n"/>
      <c r="N319" s="88" t="n"/>
      <c r="O319" s="88" t="n"/>
      <c r="P319" s="88" t="n"/>
      <c r="Q319" s="88" t="n"/>
      <c r="R319" s="88" t="n"/>
      <c r="S319" s="88" t="n"/>
      <c r="T319" s="88" t="n"/>
      <c r="U319" s="88" t="n"/>
      <c r="V319" s="88" t="n"/>
      <c r="W319" s="88" t="n"/>
      <c r="X319" s="88" t="n"/>
      <c r="Y319" s="88" t="n"/>
      <c r="Z319" s="88" t="n"/>
    </row>
    <row r="320" ht="15" customHeight="1" s="86">
      <c r="A320" s="109" t="n"/>
      <c r="B320" s="110" t="n"/>
      <c r="C320" s="111" t="n"/>
      <c r="D320" s="111" t="n"/>
      <c r="E320" s="112" t="n"/>
      <c r="F320" s="111" t="n"/>
      <c r="G320" s="111" t="n"/>
      <c r="H320" s="111" t="n"/>
      <c r="I320" s="113">
        <f>IF($A320="","",MONTH($A320))</f>
        <v/>
      </c>
      <c r="J320" s="113">
        <f>IF($A320="","",YEAR($A320))</f>
        <v/>
      </c>
      <c r="K320" s="113">
        <f>IFERROR(INDEX(Setup!$I$7:$I$22,MATCH($C320,Setup!$D$7:$D$22,0)),"")</f>
        <v/>
      </c>
      <c r="L320" s="88" t="n"/>
      <c r="M320" s="88" t="n"/>
      <c r="N320" s="88" t="n"/>
      <c r="O320" s="88" t="n"/>
      <c r="P320" s="88" t="n"/>
      <c r="Q320" s="88" t="n"/>
      <c r="R320" s="88" t="n"/>
      <c r="S320" s="88" t="n"/>
      <c r="T320" s="88" t="n"/>
      <c r="U320" s="88" t="n"/>
      <c r="V320" s="88" t="n"/>
      <c r="W320" s="88" t="n"/>
      <c r="X320" s="88" t="n"/>
      <c r="Y320" s="88" t="n"/>
      <c r="Z320" s="88" t="n"/>
    </row>
    <row r="321" ht="15" customHeight="1" s="86">
      <c r="A321" s="107" t="n"/>
      <c r="B321" s="95" t="n"/>
      <c r="C321" s="102" t="n"/>
      <c r="D321" s="102" t="n"/>
      <c r="E321" s="97" t="n"/>
      <c r="F321" s="102" t="n"/>
      <c r="G321" s="102" t="n"/>
      <c r="H321" s="102" t="n"/>
      <c r="I321" s="113">
        <f>IF($A321="","",MONTH($A321))</f>
        <v/>
      </c>
      <c r="J321" s="113">
        <f>IF($A321="","",YEAR($A321))</f>
        <v/>
      </c>
      <c r="K321" s="113">
        <f>IFERROR(INDEX(Setup!$I$7:$I$22,MATCH($C321,Setup!$D$7:$D$22,0)),"")</f>
        <v/>
      </c>
      <c r="L321" s="88" t="n"/>
      <c r="M321" s="88" t="n"/>
      <c r="N321" s="88" t="n"/>
      <c r="O321" s="88" t="n"/>
      <c r="P321" s="88" t="n"/>
      <c r="Q321" s="88" t="n"/>
      <c r="R321" s="88" t="n"/>
      <c r="S321" s="88" t="n"/>
      <c r="T321" s="88" t="n"/>
      <c r="U321" s="88" t="n"/>
      <c r="V321" s="88" t="n"/>
      <c r="W321" s="88" t="n"/>
      <c r="X321" s="88" t="n"/>
      <c r="Y321" s="88" t="n"/>
      <c r="Z321" s="88" t="n"/>
    </row>
    <row r="322" ht="15" customHeight="1" s="86">
      <c r="A322" s="109" t="n"/>
      <c r="B322" s="110" t="n"/>
      <c r="C322" s="111" t="n"/>
      <c r="D322" s="111" t="n"/>
      <c r="E322" s="112" t="n"/>
      <c r="F322" s="111" t="n"/>
      <c r="G322" s="111" t="n"/>
      <c r="H322" s="111" t="n"/>
      <c r="I322" s="113">
        <f>IF($A322="","",MONTH($A322))</f>
        <v/>
      </c>
      <c r="J322" s="113">
        <f>IF($A322="","",YEAR($A322))</f>
        <v/>
      </c>
      <c r="K322" s="113">
        <f>IFERROR(INDEX(Setup!$I$7:$I$22,MATCH($C322,Setup!$D$7:$D$22,0)),"")</f>
        <v/>
      </c>
      <c r="L322" s="88" t="n"/>
      <c r="M322" s="88" t="n"/>
      <c r="N322" s="88" t="n"/>
      <c r="O322" s="88" t="n"/>
      <c r="P322" s="88" t="n"/>
      <c r="Q322" s="88" t="n"/>
      <c r="R322" s="88" t="n"/>
      <c r="S322" s="88" t="n"/>
      <c r="T322" s="88" t="n"/>
      <c r="U322" s="88" t="n"/>
      <c r="V322" s="88" t="n"/>
      <c r="W322" s="88" t="n"/>
      <c r="X322" s="88" t="n"/>
      <c r="Y322" s="88" t="n"/>
      <c r="Z322" s="88" t="n"/>
    </row>
    <row r="323" ht="15" customHeight="1" s="86">
      <c r="A323" s="107" t="n"/>
      <c r="B323" s="95" t="n"/>
      <c r="C323" s="102" t="n"/>
      <c r="D323" s="102" t="n"/>
      <c r="E323" s="97" t="n"/>
      <c r="F323" s="102" t="n"/>
      <c r="G323" s="102" t="n"/>
      <c r="H323" s="102" t="n"/>
      <c r="I323" s="113">
        <f>IF($A323="","",MONTH($A323))</f>
        <v/>
      </c>
      <c r="J323" s="113">
        <f>IF($A323="","",YEAR($A323))</f>
        <v/>
      </c>
      <c r="K323" s="113">
        <f>IFERROR(INDEX(Setup!$I$7:$I$22,MATCH($C323,Setup!$D$7:$D$22,0)),"")</f>
        <v/>
      </c>
      <c r="L323" s="88" t="n"/>
      <c r="M323" s="88" t="n"/>
      <c r="N323" s="88" t="n"/>
      <c r="O323" s="88" t="n"/>
      <c r="P323" s="88" t="n"/>
      <c r="Q323" s="88" t="n"/>
      <c r="R323" s="88" t="n"/>
      <c r="S323" s="88" t="n"/>
      <c r="T323" s="88" t="n"/>
      <c r="U323" s="88" t="n"/>
      <c r="V323" s="88" t="n"/>
      <c r="W323" s="88" t="n"/>
      <c r="X323" s="88" t="n"/>
      <c r="Y323" s="88" t="n"/>
      <c r="Z323" s="88" t="n"/>
    </row>
    <row r="324" ht="15" customHeight="1" s="86">
      <c r="A324" s="109" t="n"/>
      <c r="B324" s="110" t="n"/>
      <c r="C324" s="111" t="n"/>
      <c r="D324" s="111" t="n"/>
      <c r="E324" s="112" t="n"/>
      <c r="F324" s="111" t="n"/>
      <c r="G324" s="111" t="n"/>
      <c r="H324" s="111" t="n"/>
      <c r="I324" s="113">
        <f>IF($A324="","",MONTH($A324))</f>
        <v/>
      </c>
      <c r="J324" s="113">
        <f>IF($A324="","",YEAR($A324))</f>
        <v/>
      </c>
      <c r="K324" s="113">
        <f>IFERROR(INDEX(Setup!$I$7:$I$22,MATCH($C324,Setup!$D$7:$D$22,0)),"")</f>
        <v/>
      </c>
      <c r="L324" s="88" t="n"/>
      <c r="M324" s="88" t="n"/>
      <c r="N324" s="88" t="n"/>
      <c r="O324" s="88" t="n"/>
      <c r="P324" s="88" t="n"/>
      <c r="Q324" s="88" t="n"/>
      <c r="R324" s="88" t="n"/>
      <c r="S324" s="88" t="n"/>
      <c r="T324" s="88" t="n"/>
      <c r="U324" s="88" t="n"/>
      <c r="V324" s="88" t="n"/>
      <c r="W324" s="88" t="n"/>
      <c r="X324" s="88" t="n"/>
      <c r="Y324" s="88" t="n"/>
      <c r="Z324" s="88" t="n"/>
    </row>
    <row r="325" ht="15" customHeight="1" s="86">
      <c r="A325" s="107" t="n"/>
      <c r="B325" s="95" t="n"/>
      <c r="C325" s="102" t="n"/>
      <c r="D325" s="102" t="n"/>
      <c r="E325" s="97" t="n"/>
      <c r="F325" s="102" t="n"/>
      <c r="G325" s="102" t="n"/>
      <c r="H325" s="102" t="n"/>
      <c r="I325" s="113">
        <f>IF($A325="","",MONTH($A325))</f>
        <v/>
      </c>
      <c r="J325" s="113">
        <f>IF($A325="","",YEAR($A325))</f>
        <v/>
      </c>
      <c r="K325" s="113">
        <f>IFERROR(INDEX(Setup!$I$7:$I$22,MATCH($C325,Setup!$D$7:$D$22,0)),"")</f>
        <v/>
      </c>
      <c r="L325" s="88" t="n"/>
      <c r="M325" s="88" t="n"/>
      <c r="N325" s="88" t="n"/>
      <c r="O325" s="88" t="n"/>
      <c r="P325" s="88" t="n"/>
      <c r="Q325" s="88" t="n"/>
      <c r="R325" s="88" t="n"/>
      <c r="S325" s="88" t="n"/>
      <c r="T325" s="88" t="n"/>
      <c r="U325" s="88" t="n"/>
      <c r="V325" s="88" t="n"/>
      <c r="W325" s="88" t="n"/>
      <c r="X325" s="88" t="n"/>
      <c r="Y325" s="88" t="n"/>
      <c r="Z325" s="88" t="n"/>
    </row>
    <row r="326" ht="15" customHeight="1" s="86">
      <c r="A326" s="109" t="n"/>
      <c r="B326" s="110" t="n"/>
      <c r="C326" s="111" t="n"/>
      <c r="D326" s="111" t="n"/>
      <c r="E326" s="112" t="n"/>
      <c r="F326" s="111" t="n"/>
      <c r="G326" s="111" t="n"/>
      <c r="H326" s="111" t="n"/>
      <c r="I326" s="113">
        <f>IF($A326="","",MONTH($A326))</f>
        <v/>
      </c>
      <c r="J326" s="113">
        <f>IF($A326="","",YEAR($A326))</f>
        <v/>
      </c>
      <c r="K326" s="113">
        <f>IFERROR(INDEX(Setup!$I$7:$I$22,MATCH($C326,Setup!$D$7:$D$22,0)),"")</f>
        <v/>
      </c>
      <c r="L326" s="88" t="n"/>
      <c r="M326" s="88" t="n"/>
      <c r="N326" s="88" t="n"/>
      <c r="O326" s="88" t="n"/>
      <c r="P326" s="88" t="n"/>
      <c r="Q326" s="88" t="n"/>
      <c r="R326" s="88" t="n"/>
      <c r="S326" s="88" t="n"/>
      <c r="T326" s="88" t="n"/>
      <c r="U326" s="88" t="n"/>
      <c r="V326" s="88" t="n"/>
      <c r="W326" s="88" t="n"/>
      <c r="X326" s="88" t="n"/>
      <c r="Y326" s="88" t="n"/>
      <c r="Z326" s="88" t="n"/>
    </row>
    <row r="327" ht="15" customHeight="1" s="86">
      <c r="A327" s="107" t="n"/>
      <c r="B327" s="95" t="n"/>
      <c r="C327" s="102" t="n"/>
      <c r="D327" s="102" t="n"/>
      <c r="E327" s="97" t="n"/>
      <c r="F327" s="102" t="n"/>
      <c r="G327" s="102" t="n"/>
      <c r="H327" s="102" t="n"/>
      <c r="I327" s="113">
        <f>IF($A327="","",MONTH($A327))</f>
        <v/>
      </c>
      <c r="J327" s="113">
        <f>IF($A327="","",YEAR($A327))</f>
        <v/>
      </c>
      <c r="K327" s="113">
        <f>IFERROR(INDEX(Setup!$I$7:$I$22,MATCH($C327,Setup!$D$7:$D$22,0)),"")</f>
        <v/>
      </c>
      <c r="L327" s="88" t="n"/>
      <c r="M327" s="88" t="n"/>
      <c r="N327" s="88" t="n"/>
      <c r="O327" s="88" t="n"/>
      <c r="P327" s="88" t="n"/>
      <c r="Q327" s="88" t="n"/>
      <c r="R327" s="88" t="n"/>
      <c r="S327" s="88" t="n"/>
      <c r="T327" s="88" t="n"/>
      <c r="U327" s="88" t="n"/>
      <c r="V327" s="88" t="n"/>
      <c r="W327" s="88" t="n"/>
      <c r="X327" s="88" t="n"/>
      <c r="Y327" s="88" t="n"/>
      <c r="Z327" s="88" t="n"/>
    </row>
    <row r="328" ht="15" customHeight="1" s="86">
      <c r="A328" s="109" t="n"/>
      <c r="B328" s="110" t="n"/>
      <c r="C328" s="111" t="n"/>
      <c r="D328" s="111" t="n"/>
      <c r="E328" s="112" t="n"/>
      <c r="F328" s="111" t="n"/>
      <c r="G328" s="111" t="n"/>
      <c r="H328" s="111" t="n"/>
      <c r="I328" s="113">
        <f>IF($A328="","",MONTH($A328))</f>
        <v/>
      </c>
      <c r="J328" s="113">
        <f>IF($A328="","",YEAR($A328))</f>
        <v/>
      </c>
      <c r="K328" s="113">
        <f>IFERROR(INDEX(Setup!$I$7:$I$22,MATCH($C328,Setup!$D$7:$D$22,0)),"")</f>
        <v/>
      </c>
      <c r="L328" s="88" t="n"/>
      <c r="M328" s="88" t="n"/>
      <c r="N328" s="88" t="n"/>
      <c r="O328" s="88" t="n"/>
      <c r="P328" s="88" t="n"/>
      <c r="Q328" s="88" t="n"/>
      <c r="R328" s="88" t="n"/>
      <c r="S328" s="88" t="n"/>
      <c r="T328" s="88" t="n"/>
      <c r="U328" s="88" t="n"/>
      <c r="V328" s="88" t="n"/>
      <c r="W328" s="88" t="n"/>
      <c r="X328" s="88" t="n"/>
      <c r="Y328" s="88" t="n"/>
      <c r="Z328" s="88" t="n"/>
    </row>
    <row r="329" ht="15" customHeight="1" s="86">
      <c r="A329" s="107" t="n"/>
      <c r="B329" s="95" t="n"/>
      <c r="C329" s="102" t="n"/>
      <c r="D329" s="102" t="n"/>
      <c r="E329" s="97" t="n"/>
      <c r="F329" s="102" t="n"/>
      <c r="G329" s="102" t="n"/>
      <c r="H329" s="102" t="n"/>
      <c r="I329" s="113">
        <f>IF($A329="","",MONTH($A329))</f>
        <v/>
      </c>
      <c r="J329" s="113">
        <f>IF($A329="","",YEAR($A329))</f>
        <v/>
      </c>
      <c r="K329" s="113">
        <f>IFERROR(INDEX(Setup!$I$7:$I$22,MATCH($C329,Setup!$D$7:$D$22,0)),"")</f>
        <v/>
      </c>
      <c r="L329" s="88" t="n"/>
      <c r="M329" s="88" t="n"/>
      <c r="N329" s="88" t="n"/>
      <c r="O329" s="88" t="n"/>
      <c r="P329" s="88" t="n"/>
      <c r="Q329" s="88" t="n"/>
      <c r="R329" s="88" t="n"/>
      <c r="S329" s="88" t="n"/>
      <c r="T329" s="88" t="n"/>
      <c r="U329" s="88" t="n"/>
      <c r="V329" s="88" t="n"/>
      <c r="W329" s="88" t="n"/>
      <c r="X329" s="88" t="n"/>
      <c r="Y329" s="88" t="n"/>
      <c r="Z329" s="88" t="n"/>
    </row>
    <row r="330" ht="15" customHeight="1" s="86">
      <c r="A330" s="109" t="n"/>
      <c r="B330" s="110" t="n"/>
      <c r="C330" s="111" t="n"/>
      <c r="D330" s="111" t="n"/>
      <c r="E330" s="112" t="n"/>
      <c r="F330" s="111" t="n"/>
      <c r="G330" s="111" t="n"/>
      <c r="H330" s="111" t="n"/>
      <c r="I330" s="113">
        <f>IF($A330="","",MONTH($A330))</f>
        <v/>
      </c>
      <c r="J330" s="113">
        <f>IF($A330="","",YEAR($A330))</f>
        <v/>
      </c>
      <c r="K330" s="113">
        <f>IFERROR(INDEX(Setup!$I$7:$I$22,MATCH($C330,Setup!$D$7:$D$22,0)),"")</f>
        <v/>
      </c>
      <c r="L330" s="88" t="n"/>
      <c r="M330" s="88" t="n"/>
      <c r="N330" s="88" t="n"/>
      <c r="O330" s="88" t="n"/>
      <c r="P330" s="88" t="n"/>
      <c r="Q330" s="88" t="n"/>
      <c r="R330" s="88" t="n"/>
      <c r="S330" s="88" t="n"/>
      <c r="T330" s="88" t="n"/>
      <c r="U330" s="88" t="n"/>
      <c r="V330" s="88" t="n"/>
      <c r="W330" s="88" t="n"/>
      <c r="X330" s="88" t="n"/>
      <c r="Y330" s="88" t="n"/>
      <c r="Z330" s="88" t="n"/>
    </row>
    <row r="331" ht="15" customHeight="1" s="86">
      <c r="A331" s="107" t="n"/>
      <c r="B331" s="95" t="n"/>
      <c r="C331" s="102" t="n"/>
      <c r="D331" s="102" t="n"/>
      <c r="E331" s="97" t="n"/>
      <c r="F331" s="102" t="n"/>
      <c r="G331" s="102" t="n"/>
      <c r="H331" s="102" t="n"/>
      <c r="I331" s="113">
        <f>IF($A331="","",MONTH($A331))</f>
        <v/>
      </c>
      <c r="J331" s="113">
        <f>IF($A331="","",YEAR($A331))</f>
        <v/>
      </c>
      <c r="K331" s="113">
        <f>IFERROR(INDEX(Setup!$I$7:$I$22,MATCH($C331,Setup!$D$7:$D$22,0)),"")</f>
        <v/>
      </c>
      <c r="L331" s="88" t="n"/>
      <c r="M331" s="88" t="n"/>
      <c r="N331" s="88" t="n"/>
      <c r="O331" s="88" t="n"/>
      <c r="P331" s="88" t="n"/>
      <c r="Q331" s="88" t="n"/>
      <c r="R331" s="88" t="n"/>
      <c r="S331" s="88" t="n"/>
      <c r="T331" s="88" t="n"/>
      <c r="U331" s="88" t="n"/>
      <c r="V331" s="88" t="n"/>
      <c r="W331" s="88" t="n"/>
      <c r="X331" s="88" t="n"/>
      <c r="Y331" s="88" t="n"/>
      <c r="Z331" s="88" t="n"/>
    </row>
    <row r="332" ht="15" customHeight="1" s="86">
      <c r="A332" s="109" t="n"/>
      <c r="B332" s="110" t="n"/>
      <c r="C332" s="111" t="n"/>
      <c r="D332" s="111" t="n"/>
      <c r="E332" s="112" t="n"/>
      <c r="F332" s="111" t="n"/>
      <c r="G332" s="111" t="n"/>
      <c r="H332" s="111" t="n"/>
      <c r="I332" s="113">
        <f>IF($A332="","",MONTH($A332))</f>
        <v/>
      </c>
      <c r="J332" s="113">
        <f>IF($A332="","",YEAR($A332))</f>
        <v/>
      </c>
      <c r="K332" s="113">
        <f>IFERROR(INDEX(Setup!$I$7:$I$22,MATCH($C332,Setup!$D$7:$D$22,0)),"")</f>
        <v/>
      </c>
      <c r="L332" s="88" t="n"/>
      <c r="M332" s="88" t="n"/>
      <c r="N332" s="88" t="n"/>
      <c r="O332" s="88" t="n"/>
      <c r="P332" s="88" t="n"/>
      <c r="Q332" s="88" t="n"/>
      <c r="R332" s="88" t="n"/>
      <c r="S332" s="88" t="n"/>
      <c r="T332" s="88" t="n"/>
      <c r="U332" s="88" t="n"/>
      <c r="V332" s="88" t="n"/>
      <c r="W332" s="88" t="n"/>
      <c r="X332" s="88" t="n"/>
      <c r="Y332" s="88" t="n"/>
      <c r="Z332" s="88" t="n"/>
    </row>
    <row r="333" ht="15" customHeight="1" s="86">
      <c r="A333" s="107" t="n"/>
      <c r="B333" s="95" t="n"/>
      <c r="C333" s="102" t="n"/>
      <c r="D333" s="102" t="n"/>
      <c r="E333" s="97" t="n"/>
      <c r="F333" s="102" t="n"/>
      <c r="G333" s="102" t="n"/>
      <c r="H333" s="102" t="n"/>
      <c r="I333" s="113">
        <f>IF($A333="","",MONTH($A333))</f>
        <v/>
      </c>
      <c r="J333" s="113">
        <f>IF($A333="","",YEAR($A333))</f>
        <v/>
      </c>
      <c r="K333" s="113">
        <f>IFERROR(INDEX(Setup!$I$7:$I$22,MATCH($C333,Setup!$D$7:$D$22,0)),"")</f>
        <v/>
      </c>
      <c r="L333" s="88" t="n"/>
      <c r="M333" s="88" t="n"/>
      <c r="N333" s="88" t="n"/>
      <c r="O333" s="88" t="n"/>
      <c r="P333" s="88" t="n"/>
      <c r="Q333" s="88" t="n"/>
      <c r="R333" s="88" t="n"/>
      <c r="S333" s="88" t="n"/>
      <c r="T333" s="88" t="n"/>
      <c r="U333" s="88" t="n"/>
      <c r="V333" s="88" t="n"/>
      <c r="W333" s="88" t="n"/>
      <c r="X333" s="88" t="n"/>
      <c r="Y333" s="88" t="n"/>
      <c r="Z333" s="88" t="n"/>
    </row>
    <row r="334" ht="15" customHeight="1" s="86">
      <c r="A334" s="109" t="n"/>
      <c r="B334" s="110" t="n"/>
      <c r="C334" s="111" t="n"/>
      <c r="D334" s="111" t="n"/>
      <c r="E334" s="112" t="n"/>
      <c r="F334" s="111" t="n"/>
      <c r="G334" s="111" t="n"/>
      <c r="H334" s="111" t="n"/>
      <c r="I334" s="113">
        <f>IF($A334="","",MONTH($A334))</f>
        <v/>
      </c>
      <c r="J334" s="113">
        <f>IF($A334="","",YEAR($A334))</f>
        <v/>
      </c>
      <c r="K334" s="113">
        <f>IFERROR(INDEX(Setup!$I$7:$I$22,MATCH($C334,Setup!$D$7:$D$22,0)),"")</f>
        <v/>
      </c>
      <c r="L334" s="88" t="n"/>
      <c r="M334" s="88" t="n"/>
      <c r="N334" s="88" t="n"/>
      <c r="O334" s="88" t="n"/>
      <c r="P334" s="88" t="n"/>
      <c r="Q334" s="88" t="n"/>
      <c r="R334" s="88" t="n"/>
      <c r="S334" s="88" t="n"/>
      <c r="T334" s="88" t="n"/>
      <c r="U334" s="88" t="n"/>
      <c r="V334" s="88" t="n"/>
      <c r="W334" s="88" t="n"/>
      <c r="X334" s="88" t="n"/>
      <c r="Y334" s="88" t="n"/>
      <c r="Z334" s="88" t="n"/>
    </row>
    <row r="335" ht="15" customHeight="1" s="86">
      <c r="A335" s="107" t="n"/>
      <c r="B335" s="95" t="n"/>
      <c r="C335" s="102" t="n"/>
      <c r="D335" s="102" t="n"/>
      <c r="E335" s="97" t="n"/>
      <c r="F335" s="102" t="n"/>
      <c r="G335" s="102" t="n"/>
      <c r="H335" s="102" t="n"/>
      <c r="I335" s="113">
        <f>IF($A335="","",MONTH($A335))</f>
        <v/>
      </c>
      <c r="J335" s="113">
        <f>IF($A335="","",YEAR($A335))</f>
        <v/>
      </c>
      <c r="K335" s="113">
        <f>IFERROR(INDEX(Setup!$I$7:$I$22,MATCH($C335,Setup!$D$7:$D$22,0)),"")</f>
        <v/>
      </c>
      <c r="L335" s="88" t="n"/>
      <c r="M335" s="88" t="n"/>
      <c r="N335" s="88" t="n"/>
      <c r="O335" s="88" t="n"/>
      <c r="P335" s="88" t="n"/>
      <c r="Q335" s="88" t="n"/>
      <c r="R335" s="88" t="n"/>
      <c r="S335" s="88" t="n"/>
      <c r="T335" s="88" t="n"/>
      <c r="U335" s="88" t="n"/>
      <c r="V335" s="88" t="n"/>
      <c r="W335" s="88" t="n"/>
      <c r="X335" s="88" t="n"/>
      <c r="Y335" s="88" t="n"/>
      <c r="Z335" s="88" t="n"/>
    </row>
    <row r="336" ht="15" customHeight="1" s="86">
      <c r="A336" s="109" t="n"/>
      <c r="B336" s="110" t="n"/>
      <c r="C336" s="111" t="n"/>
      <c r="D336" s="111" t="n"/>
      <c r="E336" s="112" t="n"/>
      <c r="F336" s="111" t="n"/>
      <c r="G336" s="111" t="n"/>
      <c r="H336" s="111" t="n"/>
      <c r="I336" s="113">
        <f>IF($A336="","",MONTH($A336))</f>
        <v/>
      </c>
      <c r="J336" s="113">
        <f>IF($A336="","",YEAR($A336))</f>
        <v/>
      </c>
      <c r="K336" s="113">
        <f>IFERROR(INDEX(Setup!$I$7:$I$22,MATCH($C336,Setup!$D$7:$D$22,0)),"")</f>
        <v/>
      </c>
      <c r="L336" s="88" t="n"/>
      <c r="M336" s="88" t="n"/>
      <c r="N336" s="88" t="n"/>
      <c r="O336" s="88" t="n"/>
      <c r="P336" s="88" t="n"/>
      <c r="Q336" s="88" t="n"/>
      <c r="R336" s="88" t="n"/>
      <c r="S336" s="88" t="n"/>
      <c r="T336" s="88" t="n"/>
      <c r="U336" s="88" t="n"/>
      <c r="V336" s="88" t="n"/>
      <c r="W336" s="88" t="n"/>
      <c r="X336" s="88" t="n"/>
      <c r="Y336" s="88" t="n"/>
      <c r="Z336" s="88" t="n"/>
    </row>
    <row r="337" ht="15" customHeight="1" s="86">
      <c r="A337" s="107" t="n"/>
      <c r="B337" s="95" t="n"/>
      <c r="C337" s="102" t="n"/>
      <c r="D337" s="102" t="n"/>
      <c r="E337" s="97" t="n"/>
      <c r="F337" s="102" t="n"/>
      <c r="G337" s="102" t="n"/>
      <c r="H337" s="102" t="n"/>
      <c r="I337" s="113">
        <f>IF($A337="","",MONTH($A337))</f>
        <v/>
      </c>
      <c r="J337" s="113">
        <f>IF($A337="","",YEAR($A337))</f>
        <v/>
      </c>
      <c r="K337" s="113">
        <f>IFERROR(INDEX(Setup!$I$7:$I$22,MATCH($C337,Setup!$D$7:$D$22,0)),"")</f>
        <v/>
      </c>
      <c r="L337" s="88" t="n"/>
      <c r="M337" s="88" t="n"/>
      <c r="N337" s="88" t="n"/>
      <c r="O337" s="88" t="n"/>
      <c r="P337" s="88" t="n"/>
      <c r="Q337" s="88" t="n"/>
      <c r="R337" s="88" t="n"/>
      <c r="S337" s="88" t="n"/>
      <c r="T337" s="88" t="n"/>
      <c r="U337" s="88" t="n"/>
      <c r="V337" s="88" t="n"/>
      <c r="W337" s="88" t="n"/>
      <c r="X337" s="88" t="n"/>
      <c r="Y337" s="88" t="n"/>
      <c r="Z337" s="88" t="n"/>
    </row>
    <row r="338" ht="15" customHeight="1" s="86">
      <c r="A338" s="109" t="n"/>
      <c r="B338" s="110" t="n"/>
      <c r="C338" s="111" t="n"/>
      <c r="D338" s="111" t="n"/>
      <c r="E338" s="112" t="n"/>
      <c r="F338" s="111" t="n"/>
      <c r="G338" s="111" t="n"/>
      <c r="H338" s="111" t="n"/>
      <c r="I338" s="113">
        <f>IF($A338="","",MONTH($A338))</f>
        <v/>
      </c>
      <c r="J338" s="113">
        <f>IF($A338="","",YEAR($A338))</f>
        <v/>
      </c>
      <c r="K338" s="113">
        <f>IFERROR(INDEX(Setup!$I$7:$I$22,MATCH($C338,Setup!$D$7:$D$22,0)),"")</f>
        <v/>
      </c>
      <c r="L338" s="88" t="n"/>
      <c r="M338" s="88" t="n"/>
      <c r="N338" s="88" t="n"/>
      <c r="O338" s="88" t="n"/>
      <c r="P338" s="88" t="n"/>
      <c r="Q338" s="88" t="n"/>
      <c r="R338" s="88" t="n"/>
      <c r="S338" s="88" t="n"/>
      <c r="T338" s="88" t="n"/>
      <c r="U338" s="88" t="n"/>
      <c r="V338" s="88" t="n"/>
      <c r="W338" s="88" t="n"/>
      <c r="X338" s="88" t="n"/>
      <c r="Y338" s="88" t="n"/>
      <c r="Z338" s="88" t="n"/>
    </row>
    <row r="339" ht="15" customHeight="1" s="86">
      <c r="A339" s="107" t="n"/>
      <c r="B339" s="95" t="n"/>
      <c r="C339" s="102" t="n"/>
      <c r="D339" s="102" t="n"/>
      <c r="E339" s="97" t="n"/>
      <c r="F339" s="102" t="n"/>
      <c r="G339" s="102" t="n"/>
      <c r="H339" s="102" t="n"/>
      <c r="I339" s="113">
        <f>IF($A339="","",MONTH($A339))</f>
        <v/>
      </c>
      <c r="J339" s="113">
        <f>IF($A339="","",YEAR($A339))</f>
        <v/>
      </c>
      <c r="K339" s="113">
        <f>IFERROR(INDEX(Setup!$I$7:$I$22,MATCH($C339,Setup!$D$7:$D$22,0)),"")</f>
        <v/>
      </c>
      <c r="L339" s="88" t="n"/>
      <c r="M339" s="88" t="n"/>
      <c r="N339" s="88" t="n"/>
      <c r="O339" s="88" t="n"/>
      <c r="P339" s="88" t="n"/>
      <c r="Q339" s="88" t="n"/>
      <c r="R339" s="88" t="n"/>
      <c r="S339" s="88" t="n"/>
      <c r="T339" s="88" t="n"/>
      <c r="U339" s="88" t="n"/>
      <c r="V339" s="88" t="n"/>
      <c r="W339" s="88" t="n"/>
      <c r="X339" s="88" t="n"/>
      <c r="Y339" s="88" t="n"/>
      <c r="Z339" s="88" t="n"/>
    </row>
    <row r="340" ht="15" customHeight="1" s="86">
      <c r="A340" s="109" t="n"/>
      <c r="B340" s="110" t="n"/>
      <c r="C340" s="111" t="n"/>
      <c r="D340" s="111" t="n"/>
      <c r="E340" s="112" t="n"/>
      <c r="F340" s="111" t="n"/>
      <c r="G340" s="111" t="n"/>
      <c r="H340" s="111" t="n"/>
      <c r="I340" s="113">
        <f>IF($A340="","",MONTH($A340))</f>
        <v/>
      </c>
      <c r="J340" s="113">
        <f>IF($A340="","",YEAR($A340))</f>
        <v/>
      </c>
      <c r="K340" s="113">
        <f>IFERROR(INDEX(Setup!$I$7:$I$22,MATCH($C340,Setup!$D$7:$D$22,0)),"")</f>
        <v/>
      </c>
      <c r="L340" s="88" t="n"/>
      <c r="M340" s="88" t="n"/>
      <c r="N340" s="88" t="n"/>
      <c r="O340" s="88" t="n"/>
      <c r="P340" s="88" t="n"/>
      <c r="Q340" s="88" t="n"/>
      <c r="R340" s="88" t="n"/>
      <c r="S340" s="88" t="n"/>
      <c r="T340" s="88" t="n"/>
      <c r="U340" s="88" t="n"/>
      <c r="V340" s="88" t="n"/>
      <c r="W340" s="88" t="n"/>
      <c r="X340" s="88" t="n"/>
      <c r="Y340" s="88" t="n"/>
      <c r="Z340" s="88" t="n"/>
    </row>
    <row r="341" ht="15" customHeight="1" s="86">
      <c r="A341" s="107" t="n"/>
      <c r="B341" s="95" t="n"/>
      <c r="C341" s="102" t="n"/>
      <c r="D341" s="102" t="n"/>
      <c r="E341" s="97" t="n"/>
      <c r="F341" s="102" t="n"/>
      <c r="G341" s="102" t="n"/>
      <c r="H341" s="102" t="n"/>
      <c r="I341" s="113">
        <f>IF($A341="","",MONTH($A341))</f>
        <v/>
      </c>
      <c r="J341" s="113">
        <f>IF($A341="","",YEAR($A341))</f>
        <v/>
      </c>
      <c r="K341" s="113">
        <f>IFERROR(INDEX(Setup!$I$7:$I$22,MATCH($C341,Setup!$D$7:$D$22,0)),"")</f>
        <v/>
      </c>
      <c r="L341" s="88" t="n"/>
      <c r="M341" s="88" t="n"/>
      <c r="N341" s="88" t="n"/>
      <c r="O341" s="88" t="n"/>
      <c r="P341" s="88" t="n"/>
      <c r="Q341" s="88" t="n"/>
      <c r="R341" s="88" t="n"/>
      <c r="S341" s="88" t="n"/>
      <c r="T341" s="88" t="n"/>
      <c r="U341" s="88" t="n"/>
      <c r="V341" s="88" t="n"/>
      <c r="W341" s="88" t="n"/>
      <c r="X341" s="88" t="n"/>
      <c r="Y341" s="88" t="n"/>
      <c r="Z341" s="88" t="n"/>
    </row>
    <row r="342" ht="15" customHeight="1" s="86">
      <c r="A342" s="109" t="n"/>
      <c r="B342" s="110" t="n"/>
      <c r="C342" s="111" t="n"/>
      <c r="D342" s="111" t="n"/>
      <c r="E342" s="112" t="n"/>
      <c r="F342" s="111" t="n"/>
      <c r="G342" s="111" t="n"/>
      <c r="H342" s="111" t="n"/>
      <c r="I342" s="113">
        <f>IF($A342="","",MONTH($A342))</f>
        <v/>
      </c>
      <c r="J342" s="113">
        <f>IF($A342="","",YEAR($A342))</f>
        <v/>
      </c>
      <c r="K342" s="113">
        <f>IFERROR(INDEX(Setup!$I$7:$I$22,MATCH($C342,Setup!$D$7:$D$22,0)),"")</f>
        <v/>
      </c>
      <c r="L342" s="88" t="n"/>
      <c r="M342" s="88" t="n"/>
      <c r="N342" s="88" t="n"/>
      <c r="O342" s="88" t="n"/>
      <c r="P342" s="88" t="n"/>
      <c r="Q342" s="88" t="n"/>
      <c r="R342" s="88" t="n"/>
      <c r="S342" s="88" t="n"/>
      <c r="T342" s="88" t="n"/>
      <c r="U342" s="88" t="n"/>
      <c r="V342" s="88" t="n"/>
      <c r="W342" s="88" t="n"/>
      <c r="X342" s="88" t="n"/>
      <c r="Y342" s="88" t="n"/>
      <c r="Z342" s="88" t="n"/>
    </row>
    <row r="343" ht="15" customHeight="1" s="86">
      <c r="A343" s="107" t="n"/>
      <c r="B343" s="95" t="n"/>
      <c r="C343" s="102" t="n"/>
      <c r="D343" s="102" t="n"/>
      <c r="E343" s="97" t="n"/>
      <c r="F343" s="102" t="n"/>
      <c r="G343" s="102" t="n"/>
      <c r="H343" s="102" t="n"/>
      <c r="I343" s="113">
        <f>IF($A343="","",MONTH($A343))</f>
        <v/>
      </c>
      <c r="J343" s="113">
        <f>IF($A343="","",YEAR($A343))</f>
        <v/>
      </c>
      <c r="K343" s="113">
        <f>IFERROR(INDEX(Setup!$I$7:$I$22,MATCH($C343,Setup!$D$7:$D$22,0)),"")</f>
        <v/>
      </c>
      <c r="L343" s="88" t="n"/>
      <c r="M343" s="88" t="n"/>
      <c r="N343" s="88" t="n"/>
      <c r="O343" s="88" t="n"/>
      <c r="P343" s="88" t="n"/>
      <c r="Q343" s="88" t="n"/>
      <c r="R343" s="88" t="n"/>
      <c r="S343" s="88" t="n"/>
      <c r="T343" s="88" t="n"/>
      <c r="U343" s="88" t="n"/>
      <c r="V343" s="88" t="n"/>
      <c r="W343" s="88" t="n"/>
      <c r="X343" s="88" t="n"/>
      <c r="Y343" s="88" t="n"/>
      <c r="Z343" s="88" t="n"/>
    </row>
    <row r="344" ht="15" customHeight="1" s="86">
      <c r="A344" s="109" t="n"/>
      <c r="B344" s="110" t="n"/>
      <c r="C344" s="111" t="n"/>
      <c r="D344" s="111" t="n"/>
      <c r="E344" s="112" t="n"/>
      <c r="F344" s="111" t="n"/>
      <c r="G344" s="111" t="n"/>
      <c r="H344" s="111" t="n"/>
      <c r="I344" s="113">
        <f>IF($A344="","",MONTH($A344))</f>
        <v/>
      </c>
      <c r="J344" s="113">
        <f>IF($A344="","",YEAR($A344))</f>
        <v/>
      </c>
      <c r="K344" s="113">
        <f>IFERROR(INDEX(Setup!$I$7:$I$22,MATCH($C344,Setup!$D$7:$D$22,0)),"")</f>
        <v/>
      </c>
      <c r="L344" s="88" t="n"/>
      <c r="M344" s="88" t="n"/>
      <c r="N344" s="88" t="n"/>
      <c r="O344" s="88" t="n"/>
      <c r="P344" s="88" t="n"/>
      <c r="Q344" s="88" t="n"/>
      <c r="R344" s="88" t="n"/>
      <c r="S344" s="88" t="n"/>
      <c r="T344" s="88" t="n"/>
      <c r="U344" s="88" t="n"/>
      <c r="V344" s="88" t="n"/>
      <c r="W344" s="88" t="n"/>
      <c r="X344" s="88" t="n"/>
      <c r="Y344" s="88" t="n"/>
      <c r="Z344" s="88" t="n"/>
    </row>
    <row r="345" ht="15" customHeight="1" s="86">
      <c r="A345" s="107" t="n"/>
      <c r="B345" s="95" t="n"/>
      <c r="C345" s="102" t="n"/>
      <c r="D345" s="102" t="n"/>
      <c r="E345" s="97" t="n"/>
      <c r="F345" s="102" t="n"/>
      <c r="G345" s="102" t="n"/>
      <c r="H345" s="102" t="n"/>
      <c r="I345" s="113">
        <f>IF($A345="","",MONTH($A345))</f>
        <v/>
      </c>
      <c r="J345" s="113">
        <f>IF($A345="","",YEAR($A345))</f>
        <v/>
      </c>
      <c r="K345" s="113">
        <f>IFERROR(INDEX(Setup!$I$7:$I$22,MATCH($C345,Setup!$D$7:$D$22,0)),"")</f>
        <v/>
      </c>
      <c r="L345" s="88" t="n"/>
      <c r="M345" s="88" t="n"/>
      <c r="N345" s="88" t="n"/>
      <c r="O345" s="88" t="n"/>
      <c r="P345" s="88" t="n"/>
      <c r="Q345" s="88" t="n"/>
      <c r="R345" s="88" t="n"/>
      <c r="S345" s="88" t="n"/>
      <c r="T345" s="88" t="n"/>
      <c r="U345" s="88" t="n"/>
      <c r="V345" s="88" t="n"/>
      <c r="W345" s="88" t="n"/>
      <c r="X345" s="88" t="n"/>
      <c r="Y345" s="88" t="n"/>
      <c r="Z345" s="88" t="n"/>
    </row>
    <row r="346" ht="15" customHeight="1" s="86">
      <c r="A346" s="109" t="n"/>
      <c r="B346" s="110" t="n"/>
      <c r="C346" s="111" t="n"/>
      <c r="D346" s="111" t="n"/>
      <c r="E346" s="112" t="n"/>
      <c r="F346" s="111" t="n"/>
      <c r="G346" s="111" t="n"/>
      <c r="H346" s="111" t="n"/>
      <c r="I346" s="113">
        <f>IF($A346="","",MONTH($A346))</f>
        <v/>
      </c>
      <c r="J346" s="113">
        <f>IF($A346="","",YEAR($A346))</f>
        <v/>
      </c>
      <c r="K346" s="113">
        <f>IFERROR(INDEX(Setup!$I$7:$I$22,MATCH($C346,Setup!$D$7:$D$22,0)),"")</f>
        <v/>
      </c>
      <c r="L346" s="88" t="n"/>
      <c r="M346" s="88" t="n"/>
      <c r="N346" s="88" t="n"/>
      <c r="O346" s="88" t="n"/>
      <c r="P346" s="88" t="n"/>
      <c r="Q346" s="88" t="n"/>
      <c r="R346" s="88" t="n"/>
      <c r="S346" s="88" t="n"/>
      <c r="T346" s="88" t="n"/>
      <c r="U346" s="88" t="n"/>
      <c r="V346" s="88" t="n"/>
      <c r="W346" s="88" t="n"/>
      <c r="X346" s="88" t="n"/>
      <c r="Y346" s="88" t="n"/>
      <c r="Z346" s="88" t="n"/>
    </row>
    <row r="347" ht="15" customHeight="1" s="86">
      <c r="A347" s="107" t="n"/>
      <c r="B347" s="95" t="n"/>
      <c r="C347" s="102" t="n"/>
      <c r="D347" s="102" t="n"/>
      <c r="E347" s="97" t="n"/>
      <c r="F347" s="102" t="n"/>
      <c r="G347" s="102" t="n"/>
      <c r="H347" s="102" t="n"/>
      <c r="I347" s="113">
        <f>IF($A347="","",MONTH($A347))</f>
        <v/>
      </c>
      <c r="J347" s="113">
        <f>IF($A347="","",YEAR($A347))</f>
        <v/>
      </c>
      <c r="K347" s="113">
        <f>IFERROR(INDEX(Setup!$I$7:$I$22,MATCH($C347,Setup!$D$7:$D$22,0)),"")</f>
        <v/>
      </c>
      <c r="L347" s="88" t="n"/>
      <c r="M347" s="88" t="n"/>
      <c r="N347" s="88" t="n"/>
      <c r="O347" s="88" t="n"/>
      <c r="P347" s="88" t="n"/>
      <c r="Q347" s="88" t="n"/>
      <c r="R347" s="88" t="n"/>
      <c r="S347" s="88" t="n"/>
      <c r="T347" s="88" t="n"/>
      <c r="U347" s="88" t="n"/>
      <c r="V347" s="88" t="n"/>
      <c r="W347" s="88" t="n"/>
      <c r="X347" s="88" t="n"/>
      <c r="Y347" s="88" t="n"/>
      <c r="Z347" s="88" t="n"/>
    </row>
    <row r="348" ht="15" customHeight="1" s="86">
      <c r="A348" s="109" t="n"/>
      <c r="B348" s="110" t="n"/>
      <c r="C348" s="111" t="n"/>
      <c r="D348" s="111" t="n"/>
      <c r="E348" s="112" t="n"/>
      <c r="F348" s="111" t="n"/>
      <c r="G348" s="111" t="n"/>
      <c r="H348" s="111" t="n"/>
      <c r="I348" s="113">
        <f>IF($A348="","",MONTH($A348))</f>
        <v/>
      </c>
      <c r="J348" s="113">
        <f>IF($A348="","",YEAR($A348))</f>
        <v/>
      </c>
      <c r="K348" s="113">
        <f>IFERROR(INDEX(Setup!$I$7:$I$22,MATCH($C348,Setup!$D$7:$D$22,0)),"")</f>
        <v/>
      </c>
      <c r="L348" s="88" t="n"/>
      <c r="M348" s="88" t="n"/>
      <c r="N348" s="88" t="n"/>
      <c r="O348" s="88" t="n"/>
      <c r="P348" s="88" t="n"/>
      <c r="Q348" s="88" t="n"/>
      <c r="R348" s="88" t="n"/>
      <c r="S348" s="88" t="n"/>
      <c r="T348" s="88" t="n"/>
      <c r="U348" s="88" t="n"/>
      <c r="V348" s="88" t="n"/>
      <c r="W348" s="88" t="n"/>
      <c r="X348" s="88" t="n"/>
      <c r="Y348" s="88" t="n"/>
      <c r="Z348" s="88" t="n"/>
    </row>
    <row r="349" ht="15" customHeight="1" s="86">
      <c r="A349" s="107" t="n"/>
      <c r="B349" s="95" t="n"/>
      <c r="C349" s="102" t="n"/>
      <c r="D349" s="102" t="n"/>
      <c r="E349" s="97" t="n"/>
      <c r="F349" s="102" t="n"/>
      <c r="G349" s="102" t="n"/>
      <c r="H349" s="102" t="n"/>
      <c r="I349" s="113">
        <f>IF($A349="","",MONTH($A349))</f>
        <v/>
      </c>
      <c r="J349" s="113">
        <f>IF($A349="","",YEAR($A349))</f>
        <v/>
      </c>
      <c r="K349" s="113">
        <f>IFERROR(INDEX(Setup!$I$7:$I$22,MATCH($C349,Setup!$D$7:$D$22,0)),"")</f>
        <v/>
      </c>
      <c r="L349" s="88" t="n"/>
      <c r="M349" s="88" t="n"/>
      <c r="N349" s="88" t="n"/>
      <c r="O349" s="88" t="n"/>
      <c r="P349" s="88" t="n"/>
      <c r="Q349" s="88" t="n"/>
      <c r="R349" s="88" t="n"/>
      <c r="S349" s="88" t="n"/>
      <c r="T349" s="88" t="n"/>
      <c r="U349" s="88" t="n"/>
      <c r="V349" s="88" t="n"/>
      <c r="W349" s="88" t="n"/>
      <c r="X349" s="88" t="n"/>
      <c r="Y349" s="88" t="n"/>
      <c r="Z349" s="88" t="n"/>
    </row>
    <row r="350" ht="15" customHeight="1" s="86">
      <c r="A350" s="109" t="n"/>
      <c r="B350" s="110" t="n"/>
      <c r="C350" s="111" t="n"/>
      <c r="D350" s="111" t="n"/>
      <c r="E350" s="112" t="n"/>
      <c r="F350" s="111" t="n"/>
      <c r="G350" s="111" t="n"/>
      <c r="H350" s="111" t="n"/>
      <c r="I350" s="113">
        <f>IF($A350="","",MONTH($A350))</f>
        <v/>
      </c>
      <c r="J350" s="113">
        <f>IF($A350="","",YEAR($A350))</f>
        <v/>
      </c>
      <c r="K350" s="113">
        <f>IFERROR(INDEX(Setup!$I$7:$I$22,MATCH($C350,Setup!$D$7:$D$22,0)),"")</f>
        <v/>
      </c>
      <c r="L350" s="88" t="n"/>
      <c r="M350" s="88" t="n"/>
      <c r="N350" s="88" t="n"/>
      <c r="O350" s="88" t="n"/>
      <c r="P350" s="88" t="n"/>
      <c r="Q350" s="88" t="n"/>
      <c r="R350" s="88" t="n"/>
      <c r="S350" s="88" t="n"/>
      <c r="T350" s="88" t="n"/>
      <c r="U350" s="88" t="n"/>
      <c r="V350" s="88" t="n"/>
      <c r="W350" s="88" t="n"/>
      <c r="X350" s="88" t="n"/>
      <c r="Y350" s="88" t="n"/>
      <c r="Z350" s="88" t="n"/>
    </row>
    <row r="351" ht="15" customHeight="1" s="86">
      <c r="A351" s="107" t="n"/>
      <c r="B351" s="95" t="n"/>
      <c r="C351" s="102" t="n"/>
      <c r="D351" s="102" t="n"/>
      <c r="E351" s="97" t="n"/>
      <c r="F351" s="102" t="n"/>
      <c r="G351" s="102" t="n"/>
      <c r="H351" s="102" t="n"/>
      <c r="I351" s="113">
        <f>IF($A351="","",MONTH($A351))</f>
        <v/>
      </c>
      <c r="J351" s="113">
        <f>IF($A351="","",YEAR($A351))</f>
        <v/>
      </c>
      <c r="K351" s="113">
        <f>IFERROR(INDEX(Setup!$I$7:$I$22,MATCH($C351,Setup!$D$7:$D$22,0)),"")</f>
        <v/>
      </c>
      <c r="L351" s="88" t="n"/>
      <c r="M351" s="88" t="n"/>
      <c r="N351" s="88" t="n"/>
      <c r="O351" s="88" t="n"/>
      <c r="P351" s="88" t="n"/>
      <c r="Q351" s="88" t="n"/>
      <c r="R351" s="88" t="n"/>
      <c r="S351" s="88" t="n"/>
      <c r="T351" s="88" t="n"/>
      <c r="U351" s="88" t="n"/>
      <c r="V351" s="88" t="n"/>
      <c r="W351" s="88" t="n"/>
      <c r="X351" s="88" t="n"/>
      <c r="Y351" s="88" t="n"/>
      <c r="Z351" s="88" t="n"/>
    </row>
    <row r="352" ht="15" customHeight="1" s="86">
      <c r="A352" s="109" t="n"/>
      <c r="B352" s="110" t="n"/>
      <c r="C352" s="111" t="n"/>
      <c r="D352" s="111" t="n"/>
      <c r="E352" s="112" t="n"/>
      <c r="F352" s="111" t="n"/>
      <c r="G352" s="111" t="n"/>
      <c r="H352" s="111" t="n"/>
      <c r="I352" s="113">
        <f>IF($A352="","",MONTH($A352))</f>
        <v/>
      </c>
      <c r="J352" s="113">
        <f>IF($A352="","",YEAR($A352))</f>
        <v/>
      </c>
      <c r="K352" s="113">
        <f>IFERROR(INDEX(Setup!$I$7:$I$22,MATCH($C352,Setup!$D$7:$D$22,0)),"")</f>
        <v/>
      </c>
      <c r="L352" s="88" t="n"/>
      <c r="M352" s="88" t="n"/>
      <c r="N352" s="88" t="n"/>
      <c r="O352" s="88" t="n"/>
      <c r="P352" s="88" t="n"/>
      <c r="Q352" s="88" t="n"/>
      <c r="R352" s="88" t="n"/>
      <c r="S352" s="88" t="n"/>
      <c r="T352" s="88" t="n"/>
      <c r="U352" s="88" t="n"/>
      <c r="V352" s="88" t="n"/>
      <c r="W352" s="88" t="n"/>
      <c r="X352" s="88" t="n"/>
      <c r="Y352" s="88" t="n"/>
      <c r="Z352" s="88" t="n"/>
    </row>
    <row r="353" ht="15" customHeight="1" s="86">
      <c r="A353" s="107" t="n"/>
      <c r="B353" s="95" t="n"/>
      <c r="C353" s="102" t="n"/>
      <c r="D353" s="102" t="n"/>
      <c r="E353" s="97" t="n"/>
      <c r="F353" s="102" t="n"/>
      <c r="G353" s="102" t="n"/>
      <c r="H353" s="102" t="n"/>
      <c r="I353" s="113">
        <f>IF($A353="","",MONTH($A353))</f>
        <v/>
      </c>
      <c r="J353" s="113">
        <f>IF($A353="","",YEAR($A353))</f>
        <v/>
      </c>
      <c r="K353" s="113">
        <f>IFERROR(INDEX(Setup!$I$7:$I$22,MATCH($C353,Setup!$D$7:$D$22,0)),"")</f>
        <v/>
      </c>
      <c r="L353" s="88" t="n"/>
      <c r="M353" s="88" t="n"/>
      <c r="N353" s="88" t="n"/>
      <c r="O353" s="88" t="n"/>
      <c r="P353" s="88" t="n"/>
      <c r="Q353" s="88" t="n"/>
      <c r="R353" s="88" t="n"/>
      <c r="S353" s="88" t="n"/>
      <c r="T353" s="88" t="n"/>
      <c r="U353" s="88" t="n"/>
      <c r="V353" s="88" t="n"/>
      <c r="W353" s="88" t="n"/>
      <c r="X353" s="88" t="n"/>
      <c r="Y353" s="88" t="n"/>
      <c r="Z353" s="88" t="n"/>
    </row>
    <row r="354" ht="15" customHeight="1" s="86">
      <c r="A354" s="109" t="n"/>
      <c r="B354" s="110" t="n"/>
      <c r="C354" s="111" t="n"/>
      <c r="D354" s="111" t="n"/>
      <c r="E354" s="112" t="n"/>
      <c r="F354" s="111" t="n"/>
      <c r="G354" s="111" t="n"/>
      <c r="H354" s="111" t="n"/>
      <c r="I354" s="113">
        <f>IF($A354="","",MONTH($A354))</f>
        <v/>
      </c>
      <c r="J354" s="113">
        <f>IF($A354="","",YEAR($A354))</f>
        <v/>
      </c>
      <c r="K354" s="113">
        <f>IFERROR(INDEX(Setup!$I$7:$I$22,MATCH($C354,Setup!$D$7:$D$22,0)),"")</f>
        <v/>
      </c>
      <c r="L354" s="88" t="n"/>
      <c r="M354" s="88" t="n"/>
      <c r="N354" s="88" t="n"/>
      <c r="O354" s="88" t="n"/>
      <c r="P354" s="88" t="n"/>
      <c r="Q354" s="88" t="n"/>
      <c r="R354" s="88" t="n"/>
      <c r="S354" s="88" t="n"/>
      <c r="T354" s="88" t="n"/>
      <c r="U354" s="88" t="n"/>
      <c r="V354" s="88" t="n"/>
      <c r="W354" s="88" t="n"/>
      <c r="X354" s="88" t="n"/>
      <c r="Y354" s="88" t="n"/>
      <c r="Z354" s="88" t="n"/>
    </row>
    <row r="355" ht="15" customHeight="1" s="86">
      <c r="A355" s="107" t="n"/>
      <c r="B355" s="95" t="n"/>
      <c r="C355" s="102" t="n"/>
      <c r="D355" s="102" t="n"/>
      <c r="E355" s="97" t="n"/>
      <c r="F355" s="102" t="n"/>
      <c r="G355" s="102" t="n"/>
      <c r="H355" s="102" t="n"/>
      <c r="I355" s="113">
        <f>IF($A355="","",MONTH($A355))</f>
        <v/>
      </c>
      <c r="J355" s="113">
        <f>IF($A355="","",YEAR($A355))</f>
        <v/>
      </c>
      <c r="K355" s="113">
        <f>IFERROR(INDEX(Setup!$I$7:$I$22,MATCH($C355,Setup!$D$7:$D$22,0)),"")</f>
        <v/>
      </c>
      <c r="L355" s="88" t="n"/>
      <c r="M355" s="88" t="n"/>
      <c r="N355" s="88" t="n"/>
      <c r="O355" s="88" t="n"/>
      <c r="P355" s="88" t="n"/>
      <c r="Q355" s="88" t="n"/>
      <c r="R355" s="88" t="n"/>
      <c r="S355" s="88" t="n"/>
      <c r="T355" s="88" t="n"/>
      <c r="U355" s="88" t="n"/>
      <c r="V355" s="88" t="n"/>
      <c r="W355" s="88" t="n"/>
      <c r="X355" s="88" t="n"/>
      <c r="Y355" s="88" t="n"/>
      <c r="Z355" s="88" t="n"/>
    </row>
    <row r="356" ht="15" customHeight="1" s="86">
      <c r="A356" s="109" t="n"/>
      <c r="B356" s="110" t="n"/>
      <c r="C356" s="111" t="n"/>
      <c r="D356" s="111" t="n"/>
      <c r="E356" s="112" t="n"/>
      <c r="F356" s="111" t="n"/>
      <c r="G356" s="111" t="n"/>
      <c r="H356" s="111" t="n"/>
      <c r="I356" s="113">
        <f>IF($A356="","",MONTH($A356))</f>
        <v/>
      </c>
      <c r="J356" s="113">
        <f>IF($A356="","",YEAR($A356))</f>
        <v/>
      </c>
      <c r="K356" s="113">
        <f>IFERROR(INDEX(Setup!$I$7:$I$22,MATCH($C356,Setup!$D$7:$D$22,0)),"")</f>
        <v/>
      </c>
      <c r="L356" s="88" t="n"/>
      <c r="M356" s="88" t="n"/>
      <c r="N356" s="88" t="n"/>
      <c r="O356" s="88" t="n"/>
      <c r="P356" s="88" t="n"/>
      <c r="Q356" s="88" t="n"/>
      <c r="R356" s="88" t="n"/>
      <c r="S356" s="88" t="n"/>
      <c r="T356" s="88" t="n"/>
      <c r="U356" s="88" t="n"/>
      <c r="V356" s="88" t="n"/>
      <c r="W356" s="88" t="n"/>
      <c r="X356" s="88" t="n"/>
      <c r="Y356" s="88" t="n"/>
      <c r="Z356" s="88" t="n"/>
    </row>
    <row r="357" ht="15" customHeight="1" s="86">
      <c r="A357" s="107" t="n"/>
      <c r="B357" s="95" t="n"/>
      <c r="C357" s="102" t="n"/>
      <c r="D357" s="102" t="n"/>
      <c r="E357" s="97" t="n"/>
      <c r="F357" s="102" t="n"/>
      <c r="G357" s="102" t="n"/>
      <c r="H357" s="102" t="n"/>
      <c r="I357" s="113">
        <f>IF($A357="","",MONTH($A357))</f>
        <v/>
      </c>
      <c r="J357" s="113">
        <f>IF($A357="","",YEAR($A357))</f>
        <v/>
      </c>
      <c r="K357" s="113">
        <f>IFERROR(INDEX(Setup!$I$7:$I$22,MATCH($C357,Setup!$D$7:$D$22,0)),"")</f>
        <v/>
      </c>
      <c r="L357" s="88" t="n"/>
      <c r="M357" s="88" t="n"/>
      <c r="N357" s="88" t="n"/>
      <c r="O357" s="88" t="n"/>
      <c r="P357" s="88" t="n"/>
      <c r="Q357" s="88" t="n"/>
      <c r="R357" s="88" t="n"/>
      <c r="S357" s="88" t="n"/>
      <c r="T357" s="88" t="n"/>
      <c r="U357" s="88" t="n"/>
      <c r="V357" s="88" t="n"/>
      <c r="W357" s="88" t="n"/>
      <c r="X357" s="88" t="n"/>
      <c r="Y357" s="88" t="n"/>
      <c r="Z357" s="88" t="n"/>
    </row>
    <row r="358" ht="15" customHeight="1" s="86">
      <c r="A358" s="109" t="n"/>
      <c r="B358" s="110" t="n"/>
      <c r="C358" s="111" t="n"/>
      <c r="D358" s="111" t="n"/>
      <c r="E358" s="112" t="n"/>
      <c r="F358" s="111" t="n"/>
      <c r="G358" s="111" t="n"/>
      <c r="H358" s="111" t="n"/>
      <c r="I358" s="113">
        <f>IF($A358="","",MONTH($A358))</f>
        <v/>
      </c>
      <c r="J358" s="113">
        <f>IF($A358="","",YEAR($A358))</f>
        <v/>
      </c>
      <c r="K358" s="113">
        <f>IFERROR(INDEX(Setup!$I$7:$I$22,MATCH($C358,Setup!$D$7:$D$22,0)),"")</f>
        <v/>
      </c>
      <c r="L358" s="88" t="n"/>
      <c r="M358" s="88" t="n"/>
      <c r="N358" s="88" t="n"/>
      <c r="O358" s="88" t="n"/>
      <c r="P358" s="88" t="n"/>
      <c r="Q358" s="88" t="n"/>
      <c r="R358" s="88" t="n"/>
      <c r="S358" s="88" t="n"/>
      <c r="T358" s="88" t="n"/>
      <c r="U358" s="88" t="n"/>
      <c r="V358" s="88" t="n"/>
      <c r="W358" s="88" t="n"/>
      <c r="X358" s="88" t="n"/>
      <c r="Y358" s="88" t="n"/>
      <c r="Z358" s="88" t="n"/>
    </row>
    <row r="359" ht="15" customHeight="1" s="86">
      <c r="A359" s="107" t="n"/>
      <c r="B359" s="95" t="n"/>
      <c r="C359" s="102" t="n"/>
      <c r="D359" s="102" t="n"/>
      <c r="E359" s="97" t="n"/>
      <c r="F359" s="102" t="n"/>
      <c r="G359" s="102" t="n"/>
      <c r="H359" s="102" t="n"/>
      <c r="I359" s="113">
        <f>IF($A359="","",MONTH($A359))</f>
        <v/>
      </c>
      <c r="J359" s="113">
        <f>IF($A359="","",YEAR($A359))</f>
        <v/>
      </c>
      <c r="K359" s="113">
        <f>IFERROR(INDEX(Setup!$I$7:$I$22,MATCH($C359,Setup!$D$7:$D$22,0)),"")</f>
        <v/>
      </c>
      <c r="L359" s="88" t="n"/>
      <c r="M359" s="88" t="n"/>
      <c r="N359" s="88" t="n"/>
      <c r="O359" s="88" t="n"/>
      <c r="P359" s="88" t="n"/>
      <c r="Q359" s="88" t="n"/>
      <c r="R359" s="88" t="n"/>
      <c r="S359" s="88" t="n"/>
      <c r="T359" s="88" t="n"/>
      <c r="U359" s="88" t="n"/>
      <c r="V359" s="88" t="n"/>
      <c r="W359" s="88" t="n"/>
      <c r="X359" s="88" t="n"/>
      <c r="Y359" s="88" t="n"/>
      <c r="Z359" s="88" t="n"/>
    </row>
    <row r="360" ht="15" customHeight="1" s="86">
      <c r="A360" s="109" t="n"/>
      <c r="B360" s="110" t="n"/>
      <c r="C360" s="111" t="n"/>
      <c r="D360" s="111" t="n"/>
      <c r="E360" s="112" t="n"/>
      <c r="F360" s="111" t="n"/>
      <c r="G360" s="111" t="n"/>
      <c r="H360" s="111" t="n"/>
      <c r="I360" s="113">
        <f>IF($A360="","",MONTH($A360))</f>
        <v/>
      </c>
      <c r="J360" s="113">
        <f>IF($A360="","",YEAR($A360))</f>
        <v/>
      </c>
      <c r="K360" s="113">
        <f>IFERROR(INDEX(Setup!$I$7:$I$22,MATCH($C360,Setup!$D$7:$D$22,0)),"")</f>
        <v/>
      </c>
      <c r="L360" s="88" t="n"/>
      <c r="M360" s="88" t="n"/>
      <c r="N360" s="88" t="n"/>
      <c r="O360" s="88" t="n"/>
      <c r="P360" s="88" t="n"/>
      <c r="Q360" s="88" t="n"/>
      <c r="R360" s="88" t="n"/>
      <c r="S360" s="88" t="n"/>
      <c r="T360" s="88" t="n"/>
      <c r="U360" s="88" t="n"/>
      <c r="V360" s="88" t="n"/>
      <c r="W360" s="88" t="n"/>
      <c r="X360" s="88" t="n"/>
      <c r="Y360" s="88" t="n"/>
      <c r="Z360" s="88" t="n"/>
    </row>
    <row r="361" ht="15" customHeight="1" s="86">
      <c r="A361" s="107" t="n"/>
      <c r="B361" s="95" t="n"/>
      <c r="C361" s="102" t="n"/>
      <c r="D361" s="102" t="n"/>
      <c r="E361" s="97" t="n"/>
      <c r="F361" s="102" t="n"/>
      <c r="G361" s="102" t="n"/>
      <c r="H361" s="102" t="n"/>
      <c r="I361" s="113">
        <f>IF($A361="","",MONTH($A361))</f>
        <v/>
      </c>
      <c r="J361" s="113">
        <f>IF($A361="","",YEAR($A361))</f>
        <v/>
      </c>
      <c r="K361" s="113">
        <f>IFERROR(INDEX(Setup!$I$7:$I$22,MATCH($C361,Setup!$D$7:$D$22,0)),"")</f>
        <v/>
      </c>
      <c r="L361" s="88" t="n"/>
      <c r="M361" s="88" t="n"/>
      <c r="N361" s="88" t="n"/>
      <c r="O361" s="88" t="n"/>
      <c r="P361" s="88" t="n"/>
      <c r="Q361" s="88" t="n"/>
      <c r="R361" s="88" t="n"/>
      <c r="S361" s="88" t="n"/>
      <c r="T361" s="88" t="n"/>
      <c r="U361" s="88" t="n"/>
      <c r="V361" s="88" t="n"/>
      <c r="W361" s="88" t="n"/>
      <c r="X361" s="88" t="n"/>
      <c r="Y361" s="88" t="n"/>
      <c r="Z361" s="88" t="n"/>
    </row>
    <row r="362" ht="15" customHeight="1" s="86">
      <c r="A362" s="109" t="n"/>
      <c r="B362" s="110" t="n"/>
      <c r="C362" s="111" t="n"/>
      <c r="D362" s="111" t="n"/>
      <c r="E362" s="112" t="n"/>
      <c r="F362" s="111" t="n"/>
      <c r="G362" s="111" t="n"/>
      <c r="H362" s="111" t="n"/>
      <c r="I362" s="113">
        <f>IF($A362="","",MONTH($A362))</f>
        <v/>
      </c>
      <c r="J362" s="113">
        <f>IF($A362="","",YEAR($A362))</f>
        <v/>
      </c>
      <c r="K362" s="113">
        <f>IFERROR(INDEX(Setup!$I$7:$I$22,MATCH($C362,Setup!$D$7:$D$22,0)),"")</f>
        <v/>
      </c>
      <c r="L362" s="88" t="n"/>
      <c r="M362" s="88" t="n"/>
      <c r="N362" s="88" t="n"/>
      <c r="O362" s="88" t="n"/>
      <c r="P362" s="88" t="n"/>
      <c r="Q362" s="88" t="n"/>
      <c r="R362" s="88" t="n"/>
      <c r="S362" s="88" t="n"/>
      <c r="T362" s="88" t="n"/>
      <c r="U362" s="88" t="n"/>
      <c r="V362" s="88" t="n"/>
      <c r="W362" s="88" t="n"/>
      <c r="X362" s="88" t="n"/>
      <c r="Y362" s="88" t="n"/>
      <c r="Z362" s="88" t="n"/>
    </row>
    <row r="363" ht="15" customHeight="1" s="86">
      <c r="A363" s="107" t="n"/>
      <c r="B363" s="95" t="n"/>
      <c r="C363" s="102" t="n"/>
      <c r="D363" s="102" t="n"/>
      <c r="E363" s="97" t="n"/>
      <c r="F363" s="102" t="n"/>
      <c r="G363" s="102" t="n"/>
      <c r="H363" s="102" t="n"/>
      <c r="I363" s="113">
        <f>IF($A363="","",MONTH($A363))</f>
        <v/>
      </c>
      <c r="J363" s="113">
        <f>IF($A363="","",YEAR($A363))</f>
        <v/>
      </c>
      <c r="K363" s="113">
        <f>IFERROR(INDEX(Setup!$I$7:$I$22,MATCH($C363,Setup!$D$7:$D$22,0)),"")</f>
        <v/>
      </c>
      <c r="L363" s="88" t="n"/>
      <c r="M363" s="88" t="n"/>
      <c r="N363" s="88" t="n"/>
      <c r="O363" s="88" t="n"/>
      <c r="P363" s="88" t="n"/>
      <c r="Q363" s="88" t="n"/>
      <c r="R363" s="88" t="n"/>
      <c r="S363" s="88" t="n"/>
      <c r="T363" s="88" t="n"/>
      <c r="U363" s="88" t="n"/>
      <c r="V363" s="88" t="n"/>
      <c r="W363" s="88" t="n"/>
      <c r="X363" s="88" t="n"/>
      <c r="Y363" s="88" t="n"/>
      <c r="Z363" s="88" t="n"/>
    </row>
    <row r="364" ht="15" customHeight="1" s="86">
      <c r="A364" s="109" t="n"/>
      <c r="B364" s="110" t="n"/>
      <c r="C364" s="111" t="n"/>
      <c r="D364" s="111" t="n"/>
      <c r="E364" s="112" t="n"/>
      <c r="F364" s="111" t="n"/>
      <c r="G364" s="111" t="n"/>
      <c r="H364" s="111" t="n"/>
      <c r="I364" s="113">
        <f>IF($A364="","",MONTH($A364))</f>
        <v/>
      </c>
      <c r="J364" s="113">
        <f>IF($A364="","",YEAR($A364))</f>
        <v/>
      </c>
      <c r="K364" s="113">
        <f>IFERROR(INDEX(Setup!$I$7:$I$22,MATCH($C364,Setup!$D$7:$D$22,0)),"")</f>
        <v/>
      </c>
      <c r="L364" s="88" t="n"/>
      <c r="M364" s="88" t="n"/>
      <c r="N364" s="88" t="n"/>
      <c r="O364" s="88" t="n"/>
      <c r="P364" s="88" t="n"/>
      <c r="Q364" s="88" t="n"/>
      <c r="R364" s="88" t="n"/>
      <c r="S364" s="88" t="n"/>
      <c r="T364" s="88" t="n"/>
      <c r="U364" s="88" t="n"/>
      <c r="V364" s="88" t="n"/>
      <c r="W364" s="88" t="n"/>
      <c r="X364" s="88" t="n"/>
      <c r="Y364" s="88" t="n"/>
      <c r="Z364" s="88" t="n"/>
    </row>
    <row r="365" ht="15" customHeight="1" s="86">
      <c r="A365" s="107" t="n"/>
      <c r="B365" s="95" t="n"/>
      <c r="C365" s="102" t="n"/>
      <c r="D365" s="102" t="n"/>
      <c r="E365" s="97" t="n"/>
      <c r="F365" s="102" t="n"/>
      <c r="G365" s="102" t="n"/>
      <c r="H365" s="102" t="n"/>
      <c r="I365" s="113">
        <f>IF($A365="","",MONTH($A365))</f>
        <v/>
      </c>
      <c r="J365" s="113">
        <f>IF($A365="","",YEAR($A365))</f>
        <v/>
      </c>
      <c r="K365" s="113">
        <f>IFERROR(INDEX(Setup!$I$7:$I$22,MATCH($C365,Setup!$D$7:$D$22,0)),"")</f>
        <v/>
      </c>
      <c r="L365" s="88" t="n"/>
      <c r="M365" s="88" t="n"/>
      <c r="N365" s="88" t="n"/>
      <c r="O365" s="88" t="n"/>
      <c r="P365" s="88" t="n"/>
      <c r="Q365" s="88" t="n"/>
      <c r="R365" s="88" t="n"/>
      <c r="S365" s="88" t="n"/>
      <c r="T365" s="88" t="n"/>
      <c r="U365" s="88" t="n"/>
      <c r="V365" s="88" t="n"/>
      <c r="W365" s="88" t="n"/>
      <c r="X365" s="88" t="n"/>
      <c r="Y365" s="88" t="n"/>
      <c r="Z365" s="88" t="n"/>
    </row>
    <row r="366" ht="15" customHeight="1" s="86">
      <c r="A366" s="109" t="n"/>
      <c r="B366" s="110" t="n"/>
      <c r="C366" s="111" t="n"/>
      <c r="D366" s="111" t="n"/>
      <c r="E366" s="112" t="n"/>
      <c r="F366" s="111" t="n"/>
      <c r="G366" s="111" t="n"/>
      <c r="H366" s="111" t="n"/>
      <c r="I366" s="113">
        <f>IF($A366="","",MONTH($A366))</f>
        <v/>
      </c>
      <c r="J366" s="113">
        <f>IF($A366="","",YEAR($A366))</f>
        <v/>
      </c>
      <c r="K366" s="113">
        <f>IFERROR(INDEX(Setup!$I$7:$I$22,MATCH($C366,Setup!$D$7:$D$22,0)),"")</f>
        <v/>
      </c>
      <c r="L366" s="88" t="n"/>
      <c r="M366" s="88" t="n"/>
      <c r="N366" s="88" t="n"/>
      <c r="O366" s="88" t="n"/>
      <c r="P366" s="88" t="n"/>
      <c r="Q366" s="88" t="n"/>
      <c r="R366" s="88" t="n"/>
      <c r="S366" s="88" t="n"/>
      <c r="T366" s="88" t="n"/>
      <c r="U366" s="88" t="n"/>
      <c r="V366" s="88" t="n"/>
      <c r="W366" s="88" t="n"/>
      <c r="X366" s="88" t="n"/>
      <c r="Y366" s="88" t="n"/>
      <c r="Z366" s="88" t="n"/>
    </row>
    <row r="367" ht="15" customHeight="1" s="86">
      <c r="A367" s="107" t="n"/>
      <c r="B367" s="95" t="n"/>
      <c r="C367" s="102" t="n"/>
      <c r="D367" s="102" t="n"/>
      <c r="E367" s="97" t="n"/>
      <c r="F367" s="102" t="n"/>
      <c r="G367" s="102" t="n"/>
      <c r="H367" s="102" t="n"/>
      <c r="I367" s="113">
        <f>IF($A367="","",MONTH($A367))</f>
        <v/>
      </c>
      <c r="J367" s="113">
        <f>IF($A367="","",YEAR($A367))</f>
        <v/>
      </c>
      <c r="K367" s="113">
        <f>IFERROR(INDEX(Setup!$I$7:$I$22,MATCH($C367,Setup!$D$7:$D$22,0)),"")</f>
        <v/>
      </c>
      <c r="L367" s="88" t="n"/>
      <c r="M367" s="88" t="n"/>
      <c r="N367" s="88" t="n"/>
      <c r="O367" s="88" t="n"/>
      <c r="P367" s="88" t="n"/>
      <c r="Q367" s="88" t="n"/>
      <c r="R367" s="88" t="n"/>
      <c r="S367" s="88" t="n"/>
      <c r="T367" s="88" t="n"/>
      <c r="U367" s="88" t="n"/>
      <c r="V367" s="88" t="n"/>
      <c r="W367" s="88" t="n"/>
      <c r="X367" s="88" t="n"/>
      <c r="Y367" s="88" t="n"/>
      <c r="Z367" s="88" t="n"/>
    </row>
    <row r="368" ht="15" customHeight="1" s="86">
      <c r="A368" s="109" t="n"/>
      <c r="B368" s="110" t="n"/>
      <c r="C368" s="111" t="n"/>
      <c r="D368" s="111" t="n"/>
      <c r="E368" s="112" t="n"/>
      <c r="F368" s="111" t="n"/>
      <c r="G368" s="111" t="n"/>
      <c r="H368" s="111" t="n"/>
      <c r="I368" s="113">
        <f>IF($A368="","",MONTH($A368))</f>
        <v/>
      </c>
      <c r="J368" s="113">
        <f>IF($A368="","",YEAR($A368))</f>
        <v/>
      </c>
      <c r="K368" s="113">
        <f>IFERROR(INDEX(Setup!$I$7:$I$22,MATCH($C368,Setup!$D$7:$D$22,0)),"")</f>
        <v/>
      </c>
      <c r="L368" s="88" t="n"/>
      <c r="M368" s="88" t="n"/>
      <c r="N368" s="88" t="n"/>
      <c r="O368" s="88" t="n"/>
      <c r="P368" s="88" t="n"/>
      <c r="Q368" s="88" t="n"/>
      <c r="R368" s="88" t="n"/>
      <c r="S368" s="88" t="n"/>
      <c r="T368" s="88" t="n"/>
      <c r="U368" s="88" t="n"/>
      <c r="V368" s="88" t="n"/>
      <c r="W368" s="88" t="n"/>
      <c r="X368" s="88" t="n"/>
      <c r="Y368" s="88" t="n"/>
      <c r="Z368" s="88" t="n"/>
    </row>
    <row r="369" ht="15" customHeight="1" s="86">
      <c r="A369" s="107" t="n"/>
      <c r="B369" s="95" t="n"/>
      <c r="C369" s="102" t="n"/>
      <c r="D369" s="102" t="n"/>
      <c r="E369" s="97" t="n"/>
      <c r="F369" s="102" t="n"/>
      <c r="G369" s="102" t="n"/>
      <c r="H369" s="102" t="n"/>
      <c r="I369" s="113">
        <f>IF($A369="","",MONTH($A369))</f>
        <v/>
      </c>
      <c r="J369" s="113">
        <f>IF($A369="","",YEAR($A369))</f>
        <v/>
      </c>
      <c r="K369" s="113">
        <f>IFERROR(INDEX(Setup!$I$7:$I$22,MATCH($C369,Setup!$D$7:$D$22,0)),"")</f>
        <v/>
      </c>
      <c r="L369" s="88" t="n"/>
      <c r="M369" s="88" t="n"/>
      <c r="N369" s="88" t="n"/>
      <c r="O369" s="88" t="n"/>
      <c r="P369" s="88" t="n"/>
      <c r="Q369" s="88" t="n"/>
      <c r="R369" s="88" t="n"/>
      <c r="S369" s="88" t="n"/>
      <c r="T369" s="88" t="n"/>
      <c r="U369" s="88" t="n"/>
      <c r="V369" s="88" t="n"/>
      <c r="W369" s="88" t="n"/>
      <c r="X369" s="88" t="n"/>
      <c r="Y369" s="88" t="n"/>
      <c r="Z369" s="88" t="n"/>
    </row>
    <row r="370" ht="15" customHeight="1" s="86">
      <c r="A370" s="109" t="n"/>
      <c r="B370" s="110" t="n"/>
      <c r="C370" s="111" t="n"/>
      <c r="D370" s="111" t="n"/>
      <c r="E370" s="112" t="n"/>
      <c r="F370" s="111" t="n"/>
      <c r="G370" s="111" t="n"/>
      <c r="H370" s="111" t="n"/>
      <c r="I370" s="113">
        <f>IF($A370="","",MONTH($A370))</f>
        <v/>
      </c>
      <c r="J370" s="113">
        <f>IF($A370="","",YEAR($A370))</f>
        <v/>
      </c>
      <c r="K370" s="113">
        <f>IFERROR(INDEX(Setup!$I$7:$I$22,MATCH($C370,Setup!$D$7:$D$22,0)),"")</f>
        <v/>
      </c>
      <c r="L370" s="88" t="n"/>
      <c r="M370" s="88" t="n"/>
      <c r="N370" s="88" t="n"/>
      <c r="O370" s="88" t="n"/>
      <c r="P370" s="88" t="n"/>
      <c r="Q370" s="88" t="n"/>
      <c r="R370" s="88" t="n"/>
      <c r="S370" s="88" t="n"/>
      <c r="T370" s="88" t="n"/>
      <c r="U370" s="88" t="n"/>
      <c r="V370" s="88" t="n"/>
      <c r="W370" s="88" t="n"/>
      <c r="X370" s="88" t="n"/>
      <c r="Y370" s="88" t="n"/>
      <c r="Z370" s="88" t="n"/>
    </row>
    <row r="371" ht="15" customHeight="1" s="86">
      <c r="A371" s="107" t="n"/>
      <c r="B371" s="95" t="n"/>
      <c r="C371" s="102" t="n"/>
      <c r="D371" s="102" t="n"/>
      <c r="E371" s="97" t="n"/>
      <c r="F371" s="102" t="n"/>
      <c r="G371" s="102" t="n"/>
      <c r="H371" s="102" t="n"/>
      <c r="I371" s="113">
        <f>IF($A371="","",MONTH($A371))</f>
        <v/>
      </c>
      <c r="J371" s="113">
        <f>IF($A371="","",YEAR($A371))</f>
        <v/>
      </c>
      <c r="K371" s="113">
        <f>IFERROR(INDEX(Setup!$I$7:$I$22,MATCH($C371,Setup!$D$7:$D$22,0)),"")</f>
        <v/>
      </c>
      <c r="L371" s="88" t="n"/>
      <c r="M371" s="88" t="n"/>
      <c r="N371" s="88" t="n"/>
      <c r="O371" s="88" t="n"/>
      <c r="P371" s="88" t="n"/>
      <c r="Q371" s="88" t="n"/>
      <c r="R371" s="88" t="n"/>
      <c r="S371" s="88" t="n"/>
      <c r="T371" s="88" t="n"/>
      <c r="U371" s="88" t="n"/>
      <c r="V371" s="88" t="n"/>
      <c r="W371" s="88" t="n"/>
      <c r="X371" s="88" t="n"/>
      <c r="Y371" s="88" t="n"/>
      <c r="Z371" s="88" t="n"/>
    </row>
    <row r="372" ht="15" customHeight="1" s="86">
      <c r="A372" s="109" t="n"/>
      <c r="B372" s="110" t="n"/>
      <c r="C372" s="111" t="n"/>
      <c r="D372" s="111" t="n"/>
      <c r="E372" s="112" t="n"/>
      <c r="F372" s="111" t="n"/>
      <c r="G372" s="111" t="n"/>
      <c r="H372" s="111" t="n"/>
      <c r="I372" s="113">
        <f>IF($A372="","",MONTH($A372))</f>
        <v/>
      </c>
      <c r="J372" s="113">
        <f>IF($A372="","",YEAR($A372))</f>
        <v/>
      </c>
      <c r="K372" s="113">
        <f>IFERROR(INDEX(Setup!$I$7:$I$22,MATCH($C372,Setup!$D$7:$D$22,0)),"")</f>
        <v/>
      </c>
      <c r="L372" s="88" t="n"/>
      <c r="M372" s="88" t="n"/>
      <c r="N372" s="88" t="n"/>
      <c r="O372" s="88" t="n"/>
      <c r="P372" s="88" t="n"/>
      <c r="Q372" s="88" t="n"/>
      <c r="R372" s="88" t="n"/>
      <c r="S372" s="88" t="n"/>
      <c r="T372" s="88" t="n"/>
      <c r="U372" s="88" t="n"/>
      <c r="V372" s="88" t="n"/>
      <c r="W372" s="88" t="n"/>
      <c r="X372" s="88" t="n"/>
      <c r="Y372" s="88" t="n"/>
      <c r="Z372" s="88" t="n"/>
    </row>
    <row r="373" ht="15" customHeight="1" s="86">
      <c r="A373" s="107" t="n"/>
      <c r="B373" s="95" t="n"/>
      <c r="C373" s="102" t="n"/>
      <c r="D373" s="102" t="n"/>
      <c r="E373" s="97" t="n"/>
      <c r="F373" s="102" t="n"/>
      <c r="G373" s="102" t="n"/>
      <c r="H373" s="102" t="n"/>
      <c r="I373" s="113">
        <f>IF($A373="","",MONTH($A373))</f>
        <v/>
      </c>
      <c r="J373" s="113">
        <f>IF($A373="","",YEAR($A373))</f>
        <v/>
      </c>
      <c r="K373" s="113">
        <f>IFERROR(INDEX(Setup!$I$7:$I$22,MATCH($C373,Setup!$D$7:$D$22,0)),"")</f>
        <v/>
      </c>
      <c r="L373" s="88" t="n"/>
      <c r="M373" s="88" t="n"/>
      <c r="N373" s="88" t="n"/>
      <c r="O373" s="88" t="n"/>
      <c r="P373" s="88" t="n"/>
      <c r="Q373" s="88" t="n"/>
      <c r="R373" s="88" t="n"/>
      <c r="S373" s="88" t="n"/>
      <c r="T373" s="88" t="n"/>
      <c r="U373" s="88" t="n"/>
      <c r="V373" s="88" t="n"/>
      <c r="W373" s="88" t="n"/>
      <c r="X373" s="88" t="n"/>
      <c r="Y373" s="88" t="n"/>
      <c r="Z373" s="88" t="n"/>
    </row>
    <row r="374" ht="15" customHeight="1" s="86">
      <c r="A374" s="109" t="n"/>
      <c r="B374" s="110" t="n"/>
      <c r="C374" s="111" t="n"/>
      <c r="D374" s="111" t="n"/>
      <c r="E374" s="112" t="n"/>
      <c r="F374" s="111" t="n"/>
      <c r="G374" s="111" t="n"/>
      <c r="H374" s="111" t="n"/>
      <c r="I374" s="113">
        <f>IF($A374="","",MONTH($A374))</f>
        <v/>
      </c>
      <c r="J374" s="113">
        <f>IF($A374="","",YEAR($A374))</f>
        <v/>
      </c>
      <c r="K374" s="113">
        <f>IFERROR(INDEX(Setup!$I$7:$I$22,MATCH($C374,Setup!$D$7:$D$22,0)),"")</f>
        <v/>
      </c>
      <c r="L374" s="88" t="n"/>
      <c r="M374" s="88" t="n"/>
      <c r="N374" s="88" t="n"/>
      <c r="O374" s="88" t="n"/>
      <c r="P374" s="88" t="n"/>
      <c r="Q374" s="88" t="n"/>
      <c r="R374" s="88" t="n"/>
      <c r="S374" s="88" t="n"/>
      <c r="T374" s="88" t="n"/>
      <c r="U374" s="88" t="n"/>
      <c r="V374" s="88" t="n"/>
      <c r="W374" s="88" t="n"/>
      <c r="X374" s="88" t="n"/>
      <c r="Y374" s="88" t="n"/>
      <c r="Z374" s="88" t="n"/>
    </row>
    <row r="375" ht="15" customHeight="1" s="86">
      <c r="A375" s="107" t="n"/>
      <c r="B375" s="95" t="n"/>
      <c r="C375" s="102" t="n"/>
      <c r="D375" s="102" t="n"/>
      <c r="E375" s="97" t="n"/>
      <c r="F375" s="102" t="n"/>
      <c r="G375" s="102" t="n"/>
      <c r="H375" s="102" t="n"/>
      <c r="I375" s="113">
        <f>IF($A375="","",MONTH($A375))</f>
        <v/>
      </c>
      <c r="J375" s="113">
        <f>IF($A375="","",YEAR($A375))</f>
        <v/>
      </c>
      <c r="K375" s="113">
        <f>IFERROR(INDEX(Setup!$I$7:$I$22,MATCH($C375,Setup!$D$7:$D$22,0)),"")</f>
        <v/>
      </c>
      <c r="L375" s="88" t="n"/>
      <c r="M375" s="88" t="n"/>
      <c r="N375" s="88" t="n"/>
      <c r="O375" s="88" t="n"/>
      <c r="P375" s="88" t="n"/>
      <c r="Q375" s="88" t="n"/>
      <c r="R375" s="88" t="n"/>
      <c r="S375" s="88" t="n"/>
      <c r="T375" s="88" t="n"/>
      <c r="U375" s="88" t="n"/>
      <c r="V375" s="88" t="n"/>
      <c r="W375" s="88" t="n"/>
      <c r="X375" s="88" t="n"/>
      <c r="Y375" s="88" t="n"/>
      <c r="Z375" s="88" t="n"/>
    </row>
    <row r="376" ht="15" customHeight="1" s="86">
      <c r="A376" s="109" t="n"/>
      <c r="B376" s="110" t="n"/>
      <c r="C376" s="111" t="n"/>
      <c r="D376" s="111" t="n"/>
      <c r="E376" s="112" t="n"/>
      <c r="F376" s="111" t="n"/>
      <c r="G376" s="111" t="n"/>
      <c r="H376" s="111" t="n"/>
      <c r="I376" s="113">
        <f>IF($A376="","",MONTH($A376))</f>
        <v/>
      </c>
      <c r="J376" s="113">
        <f>IF($A376="","",YEAR($A376))</f>
        <v/>
      </c>
      <c r="K376" s="113">
        <f>IFERROR(INDEX(Setup!$I$7:$I$22,MATCH($C376,Setup!$D$7:$D$22,0)),"")</f>
        <v/>
      </c>
      <c r="L376" s="88" t="n"/>
      <c r="M376" s="88" t="n"/>
      <c r="N376" s="88" t="n"/>
      <c r="O376" s="88" t="n"/>
      <c r="P376" s="88" t="n"/>
      <c r="Q376" s="88" t="n"/>
      <c r="R376" s="88" t="n"/>
      <c r="S376" s="88" t="n"/>
      <c r="T376" s="88" t="n"/>
      <c r="U376" s="88" t="n"/>
      <c r="V376" s="88" t="n"/>
      <c r="W376" s="88" t="n"/>
      <c r="X376" s="88" t="n"/>
      <c r="Y376" s="88" t="n"/>
      <c r="Z376" s="88" t="n"/>
    </row>
    <row r="377" ht="15" customHeight="1" s="86">
      <c r="A377" s="107" t="n"/>
      <c r="B377" s="95" t="n"/>
      <c r="C377" s="102" t="n"/>
      <c r="D377" s="102" t="n"/>
      <c r="E377" s="97" t="n"/>
      <c r="F377" s="102" t="n"/>
      <c r="G377" s="102" t="n"/>
      <c r="H377" s="102" t="n"/>
      <c r="I377" s="113">
        <f>IF($A377="","",MONTH($A377))</f>
        <v/>
      </c>
      <c r="J377" s="113">
        <f>IF($A377="","",YEAR($A377))</f>
        <v/>
      </c>
      <c r="K377" s="113">
        <f>IFERROR(INDEX(Setup!$I$7:$I$22,MATCH($C377,Setup!$D$7:$D$22,0)),"")</f>
        <v/>
      </c>
      <c r="L377" s="88" t="n"/>
      <c r="M377" s="88" t="n"/>
      <c r="N377" s="88" t="n"/>
      <c r="O377" s="88" t="n"/>
      <c r="P377" s="88" t="n"/>
      <c r="Q377" s="88" t="n"/>
      <c r="R377" s="88" t="n"/>
      <c r="S377" s="88" t="n"/>
      <c r="T377" s="88" t="n"/>
      <c r="U377" s="88" t="n"/>
      <c r="V377" s="88" t="n"/>
      <c r="W377" s="88" t="n"/>
      <c r="X377" s="88" t="n"/>
      <c r="Y377" s="88" t="n"/>
      <c r="Z377" s="88" t="n"/>
    </row>
    <row r="378" ht="15" customHeight="1" s="86">
      <c r="A378" s="109" t="n"/>
      <c r="B378" s="110" t="n"/>
      <c r="C378" s="111" t="n"/>
      <c r="D378" s="111" t="n"/>
      <c r="E378" s="112" t="n"/>
      <c r="F378" s="111" t="n"/>
      <c r="G378" s="111" t="n"/>
      <c r="H378" s="111" t="n"/>
      <c r="I378" s="113">
        <f>IF($A378="","",MONTH($A378))</f>
        <v/>
      </c>
      <c r="J378" s="113">
        <f>IF($A378="","",YEAR($A378))</f>
        <v/>
      </c>
      <c r="K378" s="113">
        <f>IFERROR(INDEX(Setup!$I$7:$I$22,MATCH($C378,Setup!$D$7:$D$22,0)),"")</f>
        <v/>
      </c>
      <c r="L378" s="88" t="n"/>
      <c r="M378" s="88" t="n"/>
      <c r="N378" s="88" t="n"/>
      <c r="O378" s="88" t="n"/>
      <c r="P378" s="88" t="n"/>
      <c r="Q378" s="88" t="n"/>
      <c r="R378" s="88" t="n"/>
      <c r="S378" s="88" t="n"/>
      <c r="T378" s="88" t="n"/>
      <c r="U378" s="88" t="n"/>
      <c r="V378" s="88" t="n"/>
      <c r="W378" s="88" t="n"/>
      <c r="X378" s="88" t="n"/>
      <c r="Y378" s="88" t="n"/>
      <c r="Z378" s="88" t="n"/>
    </row>
    <row r="379" ht="15" customHeight="1" s="86">
      <c r="A379" s="107" t="n"/>
      <c r="B379" s="95" t="n"/>
      <c r="C379" s="102" t="n"/>
      <c r="D379" s="102" t="n"/>
      <c r="E379" s="97" t="n"/>
      <c r="F379" s="102" t="n"/>
      <c r="G379" s="102" t="n"/>
      <c r="H379" s="102" t="n"/>
      <c r="I379" s="113">
        <f>IF($A379="","",MONTH($A379))</f>
        <v/>
      </c>
      <c r="J379" s="113">
        <f>IF($A379="","",YEAR($A379))</f>
        <v/>
      </c>
      <c r="K379" s="113">
        <f>IFERROR(INDEX(Setup!$I$7:$I$22,MATCH($C379,Setup!$D$7:$D$22,0)),"")</f>
        <v/>
      </c>
      <c r="L379" s="88" t="n"/>
      <c r="M379" s="88" t="n"/>
      <c r="N379" s="88" t="n"/>
      <c r="O379" s="88" t="n"/>
      <c r="P379" s="88" t="n"/>
      <c r="Q379" s="88" t="n"/>
      <c r="R379" s="88" t="n"/>
      <c r="S379" s="88" t="n"/>
      <c r="T379" s="88" t="n"/>
      <c r="U379" s="88" t="n"/>
      <c r="V379" s="88" t="n"/>
      <c r="W379" s="88" t="n"/>
      <c r="X379" s="88" t="n"/>
      <c r="Y379" s="88" t="n"/>
      <c r="Z379" s="88" t="n"/>
    </row>
    <row r="380" ht="15" customHeight="1" s="86">
      <c r="A380" s="109" t="n"/>
      <c r="B380" s="110" t="n"/>
      <c r="C380" s="111" t="n"/>
      <c r="D380" s="111" t="n"/>
      <c r="E380" s="112" t="n"/>
      <c r="F380" s="111" t="n"/>
      <c r="G380" s="111" t="n"/>
      <c r="H380" s="111" t="n"/>
      <c r="I380" s="113">
        <f>IF($A380="","",MONTH($A380))</f>
        <v/>
      </c>
      <c r="J380" s="113">
        <f>IF($A380="","",YEAR($A380))</f>
        <v/>
      </c>
      <c r="K380" s="113">
        <f>IFERROR(INDEX(Setup!$I$7:$I$22,MATCH($C380,Setup!$D$7:$D$22,0)),"")</f>
        <v/>
      </c>
      <c r="L380" s="88" t="n"/>
      <c r="M380" s="88" t="n"/>
      <c r="N380" s="88" t="n"/>
      <c r="O380" s="88" t="n"/>
      <c r="P380" s="88" t="n"/>
      <c r="Q380" s="88" t="n"/>
      <c r="R380" s="88" t="n"/>
      <c r="S380" s="88" t="n"/>
      <c r="T380" s="88" t="n"/>
      <c r="U380" s="88" t="n"/>
      <c r="V380" s="88" t="n"/>
      <c r="W380" s="88" t="n"/>
      <c r="X380" s="88" t="n"/>
      <c r="Y380" s="88" t="n"/>
      <c r="Z380" s="88" t="n"/>
    </row>
    <row r="381" ht="15" customHeight="1" s="86">
      <c r="A381" s="107" t="n"/>
      <c r="B381" s="95" t="n"/>
      <c r="C381" s="102" t="n"/>
      <c r="D381" s="102" t="n"/>
      <c r="E381" s="97" t="n"/>
      <c r="F381" s="102" t="n"/>
      <c r="G381" s="102" t="n"/>
      <c r="H381" s="102" t="n"/>
      <c r="I381" s="113">
        <f>IF($A381="","",MONTH($A381))</f>
        <v/>
      </c>
      <c r="J381" s="113">
        <f>IF($A381="","",YEAR($A381))</f>
        <v/>
      </c>
      <c r="K381" s="113">
        <f>IFERROR(INDEX(Setup!$I$7:$I$22,MATCH($C381,Setup!$D$7:$D$22,0)),"")</f>
        <v/>
      </c>
      <c r="L381" s="88" t="n"/>
      <c r="M381" s="88" t="n"/>
      <c r="N381" s="88" t="n"/>
      <c r="O381" s="88" t="n"/>
      <c r="P381" s="88" t="n"/>
      <c r="Q381" s="88" t="n"/>
      <c r="R381" s="88" t="n"/>
      <c r="S381" s="88" t="n"/>
      <c r="T381" s="88" t="n"/>
      <c r="U381" s="88" t="n"/>
      <c r="V381" s="88" t="n"/>
      <c r="W381" s="88" t="n"/>
      <c r="X381" s="88" t="n"/>
      <c r="Y381" s="88" t="n"/>
      <c r="Z381" s="88" t="n"/>
    </row>
    <row r="382" ht="15" customHeight="1" s="86">
      <c r="A382" s="109" t="n"/>
      <c r="B382" s="110" t="n"/>
      <c r="C382" s="111" t="n"/>
      <c r="D382" s="111" t="n"/>
      <c r="E382" s="112" t="n"/>
      <c r="F382" s="111" t="n"/>
      <c r="G382" s="111" t="n"/>
      <c r="H382" s="111" t="n"/>
      <c r="I382" s="113">
        <f>IF($A382="","",MONTH($A382))</f>
        <v/>
      </c>
      <c r="J382" s="113">
        <f>IF($A382="","",YEAR($A382))</f>
        <v/>
      </c>
      <c r="K382" s="113">
        <f>IFERROR(INDEX(Setup!$I$7:$I$22,MATCH($C382,Setup!$D$7:$D$22,0)),"")</f>
        <v/>
      </c>
      <c r="L382" s="88" t="n"/>
      <c r="M382" s="88" t="n"/>
      <c r="N382" s="88" t="n"/>
      <c r="O382" s="88" t="n"/>
      <c r="P382" s="88" t="n"/>
      <c r="Q382" s="88" t="n"/>
      <c r="R382" s="88" t="n"/>
      <c r="S382" s="88" t="n"/>
      <c r="T382" s="88" t="n"/>
      <c r="U382" s="88" t="n"/>
      <c r="V382" s="88" t="n"/>
      <c r="W382" s="88" t="n"/>
      <c r="X382" s="88" t="n"/>
      <c r="Y382" s="88" t="n"/>
      <c r="Z382" s="88" t="n"/>
    </row>
    <row r="383" ht="15" customHeight="1" s="86">
      <c r="A383" s="107" t="n"/>
      <c r="B383" s="95" t="n"/>
      <c r="C383" s="102" t="n"/>
      <c r="D383" s="102" t="n"/>
      <c r="E383" s="97" t="n"/>
      <c r="F383" s="102" t="n"/>
      <c r="G383" s="102" t="n"/>
      <c r="H383" s="102" t="n"/>
      <c r="I383" s="113">
        <f>IF($A383="","",MONTH($A383))</f>
        <v/>
      </c>
      <c r="J383" s="113">
        <f>IF($A383="","",YEAR($A383))</f>
        <v/>
      </c>
      <c r="K383" s="113">
        <f>IFERROR(INDEX(Setup!$I$7:$I$22,MATCH($C383,Setup!$D$7:$D$22,0)),"")</f>
        <v/>
      </c>
      <c r="L383" s="88" t="n"/>
      <c r="M383" s="88" t="n"/>
      <c r="N383" s="88" t="n"/>
      <c r="O383" s="88" t="n"/>
      <c r="P383" s="88" t="n"/>
      <c r="Q383" s="88" t="n"/>
      <c r="R383" s="88" t="n"/>
      <c r="S383" s="88" t="n"/>
      <c r="T383" s="88" t="n"/>
      <c r="U383" s="88" t="n"/>
      <c r="V383" s="88" t="n"/>
      <c r="W383" s="88" t="n"/>
      <c r="X383" s="88" t="n"/>
      <c r="Y383" s="88" t="n"/>
      <c r="Z383" s="88" t="n"/>
    </row>
    <row r="384" ht="15" customHeight="1" s="86">
      <c r="A384" s="109" t="n"/>
      <c r="B384" s="110" t="n"/>
      <c r="C384" s="111" t="n"/>
      <c r="D384" s="111" t="n"/>
      <c r="E384" s="112" t="n"/>
      <c r="F384" s="111" t="n"/>
      <c r="G384" s="111" t="n"/>
      <c r="H384" s="111" t="n"/>
      <c r="I384" s="113">
        <f>IF($A384="","",MONTH($A384))</f>
        <v/>
      </c>
      <c r="J384" s="113">
        <f>IF($A384="","",YEAR($A384))</f>
        <v/>
      </c>
      <c r="K384" s="113">
        <f>IFERROR(INDEX(Setup!$I$7:$I$22,MATCH($C384,Setup!$D$7:$D$22,0)),"")</f>
        <v/>
      </c>
      <c r="L384" s="88" t="n"/>
      <c r="M384" s="88" t="n"/>
      <c r="N384" s="88" t="n"/>
      <c r="O384" s="88" t="n"/>
      <c r="P384" s="88" t="n"/>
      <c r="Q384" s="88" t="n"/>
      <c r="R384" s="88" t="n"/>
      <c r="S384" s="88" t="n"/>
      <c r="T384" s="88" t="n"/>
      <c r="U384" s="88" t="n"/>
      <c r="V384" s="88" t="n"/>
      <c r="W384" s="88" t="n"/>
      <c r="X384" s="88" t="n"/>
      <c r="Y384" s="88" t="n"/>
      <c r="Z384" s="88" t="n"/>
    </row>
    <row r="385" ht="15" customHeight="1" s="86">
      <c r="A385" s="107" t="n"/>
      <c r="B385" s="95" t="n"/>
      <c r="C385" s="102" t="n"/>
      <c r="D385" s="102" t="n"/>
      <c r="E385" s="97" t="n"/>
      <c r="F385" s="102" t="n"/>
      <c r="G385" s="102" t="n"/>
      <c r="H385" s="102" t="n"/>
      <c r="I385" s="113">
        <f>IF($A385="","",MONTH($A385))</f>
        <v/>
      </c>
      <c r="J385" s="113">
        <f>IF($A385="","",YEAR($A385))</f>
        <v/>
      </c>
      <c r="K385" s="113">
        <f>IFERROR(INDEX(Setup!$I$7:$I$22,MATCH($C385,Setup!$D$7:$D$22,0)),"")</f>
        <v/>
      </c>
      <c r="L385" s="88" t="n"/>
      <c r="M385" s="88" t="n"/>
      <c r="N385" s="88" t="n"/>
      <c r="O385" s="88" t="n"/>
      <c r="P385" s="88" t="n"/>
      <c r="Q385" s="88" t="n"/>
      <c r="R385" s="88" t="n"/>
      <c r="S385" s="88" t="n"/>
      <c r="T385" s="88" t="n"/>
      <c r="U385" s="88" t="n"/>
      <c r="V385" s="88" t="n"/>
      <c r="W385" s="88" t="n"/>
      <c r="X385" s="88" t="n"/>
      <c r="Y385" s="88" t="n"/>
      <c r="Z385" s="88" t="n"/>
    </row>
    <row r="386" ht="15" customHeight="1" s="86">
      <c r="A386" s="109" t="n"/>
      <c r="B386" s="110" t="n"/>
      <c r="C386" s="111" t="n"/>
      <c r="D386" s="111" t="n"/>
      <c r="E386" s="112" t="n"/>
      <c r="F386" s="111" t="n"/>
      <c r="G386" s="111" t="n"/>
      <c r="H386" s="111" t="n"/>
      <c r="I386" s="113">
        <f>IF($A386="","",MONTH($A386))</f>
        <v/>
      </c>
      <c r="J386" s="113">
        <f>IF($A386="","",YEAR($A386))</f>
        <v/>
      </c>
      <c r="K386" s="113">
        <f>IFERROR(INDEX(Setup!$I$7:$I$22,MATCH($C386,Setup!$D$7:$D$22,0)),"")</f>
        <v/>
      </c>
      <c r="L386" s="88" t="n"/>
      <c r="M386" s="88" t="n"/>
      <c r="N386" s="88" t="n"/>
      <c r="O386" s="88" t="n"/>
      <c r="P386" s="88" t="n"/>
      <c r="Q386" s="88" t="n"/>
      <c r="R386" s="88" t="n"/>
      <c r="S386" s="88" t="n"/>
      <c r="T386" s="88" t="n"/>
      <c r="U386" s="88" t="n"/>
      <c r="V386" s="88" t="n"/>
      <c r="W386" s="88" t="n"/>
      <c r="X386" s="88" t="n"/>
      <c r="Y386" s="88" t="n"/>
      <c r="Z386" s="88" t="n"/>
    </row>
    <row r="387" ht="15" customHeight="1" s="86">
      <c r="A387" s="107" t="n"/>
      <c r="B387" s="95" t="n"/>
      <c r="C387" s="102" t="n"/>
      <c r="D387" s="102" t="n"/>
      <c r="E387" s="97" t="n"/>
      <c r="F387" s="102" t="n"/>
      <c r="G387" s="102" t="n"/>
      <c r="H387" s="102" t="n"/>
      <c r="I387" s="113">
        <f>IF($A387="","",MONTH($A387))</f>
        <v/>
      </c>
      <c r="J387" s="113">
        <f>IF($A387="","",YEAR($A387))</f>
        <v/>
      </c>
      <c r="K387" s="113">
        <f>IFERROR(INDEX(Setup!$I$7:$I$22,MATCH($C387,Setup!$D$7:$D$22,0)),"")</f>
        <v/>
      </c>
      <c r="L387" s="88" t="n"/>
      <c r="M387" s="88" t="n"/>
      <c r="N387" s="88" t="n"/>
      <c r="O387" s="88" t="n"/>
      <c r="P387" s="88" t="n"/>
      <c r="Q387" s="88" t="n"/>
      <c r="R387" s="88" t="n"/>
      <c r="S387" s="88" t="n"/>
      <c r="T387" s="88" t="n"/>
      <c r="U387" s="88" t="n"/>
      <c r="V387" s="88" t="n"/>
      <c r="W387" s="88" t="n"/>
      <c r="X387" s="88" t="n"/>
      <c r="Y387" s="88" t="n"/>
      <c r="Z387" s="88" t="n"/>
    </row>
    <row r="388" ht="15" customHeight="1" s="86">
      <c r="A388" s="109" t="n"/>
      <c r="B388" s="110" t="n"/>
      <c r="C388" s="111" t="n"/>
      <c r="D388" s="111" t="n"/>
      <c r="E388" s="112" t="n"/>
      <c r="F388" s="111" t="n"/>
      <c r="G388" s="111" t="n"/>
      <c r="H388" s="111" t="n"/>
      <c r="I388" s="113">
        <f>IF($A388="","",MONTH($A388))</f>
        <v/>
      </c>
      <c r="J388" s="113">
        <f>IF($A388="","",YEAR($A388))</f>
        <v/>
      </c>
      <c r="K388" s="113">
        <f>IFERROR(INDEX(Setup!$I$7:$I$22,MATCH($C388,Setup!$D$7:$D$22,0)),"")</f>
        <v/>
      </c>
      <c r="L388" s="88" t="n"/>
      <c r="M388" s="88" t="n"/>
      <c r="N388" s="88" t="n"/>
      <c r="O388" s="88" t="n"/>
      <c r="P388" s="88" t="n"/>
      <c r="Q388" s="88" t="n"/>
      <c r="R388" s="88" t="n"/>
      <c r="S388" s="88" t="n"/>
      <c r="T388" s="88" t="n"/>
      <c r="U388" s="88" t="n"/>
      <c r="V388" s="88" t="n"/>
      <c r="W388" s="88" t="n"/>
      <c r="X388" s="88" t="n"/>
      <c r="Y388" s="88" t="n"/>
      <c r="Z388" s="88" t="n"/>
    </row>
    <row r="389" ht="15" customHeight="1" s="86">
      <c r="A389" s="107" t="n"/>
      <c r="B389" s="95" t="n"/>
      <c r="C389" s="102" t="n"/>
      <c r="D389" s="102" t="n"/>
      <c r="E389" s="97" t="n"/>
      <c r="F389" s="102" t="n"/>
      <c r="G389" s="102" t="n"/>
      <c r="H389" s="102" t="n"/>
      <c r="I389" s="113">
        <f>IF($A389="","",MONTH($A389))</f>
        <v/>
      </c>
      <c r="J389" s="113">
        <f>IF($A389="","",YEAR($A389))</f>
        <v/>
      </c>
      <c r="K389" s="113">
        <f>IFERROR(INDEX(Setup!$I$7:$I$22,MATCH($C389,Setup!$D$7:$D$22,0)),"")</f>
        <v/>
      </c>
      <c r="L389" s="88" t="n"/>
      <c r="M389" s="88" t="n"/>
      <c r="N389" s="88" t="n"/>
      <c r="O389" s="88" t="n"/>
      <c r="P389" s="88" t="n"/>
      <c r="Q389" s="88" t="n"/>
      <c r="R389" s="88" t="n"/>
      <c r="S389" s="88" t="n"/>
      <c r="T389" s="88" t="n"/>
      <c r="U389" s="88" t="n"/>
      <c r="V389" s="88" t="n"/>
      <c r="W389" s="88" t="n"/>
      <c r="X389" s="88" t="n"/>
      <c r="Y389" s="88" t="n"/>
      <c r="Z389" s="88" t="n"/>
    </row>
    <row r="390" ht="15" customHeight="1" s="86">
      <c r="A390" s="109" t="n"/>
      <c r="B390" s="110" t="n"/>
      <c r="C390" s="111" t="n"/>
      <c r="D390" s="111" t="n"/>
      <c r="E390" s="112" t="n"/>
      <c r="F390" s="111" t="n"/>
      <c r="G390" s="111" t="n"/>
      <c r="H390" s="111" t="n"/>
      <c r="I390" s="113">
        <f>IF($A390="","",MONTH($A390))</f>
        <v/>
      </c>
      <c r="J390" s="113">
        <f>IF($A390="","",YEAR($A390))</f>
        <v/>
      </c>
      <c r="K390" s="113">
        <f>IFERROR(INDEX(Setup!$I$7:$I$22,MATCH($C390,Setup!$D$7:$D$22,0)),"")</f>
        <v/>
      </c>
      <c r="L390" s="88" t="n"/>
      <c r="M390" s="88" t="n"/>
      <c r="N390" s="88" t="n"/>
      <c r="O390" s="88" t="n"/>
      <c r="P390" s="88" t="n"/>
      <c r="Q390" s="88" t="n"/>
      <c r="R390" s="88" t="n"/>
      <c r="S390" s="88" t="n"/>
      <c r="T390" s="88" t="n"/>
      <c r="U390" s="88" t="n"/>
      <c r="V390" s="88" t="n"/>
      <c r="W390" s="88" t="n"/>
      <c r="X390" s="88" t="n"/>
      <c r="Y390" s="88" t="n"/>
      <c r="Z390" s="88" t="n"/>
    </row>
    <row r="391" ht="15" customHeight="1" s="86">
      <c r="A391" s="107" t="n"/>
      <c r="B391" s="95" t="n"/>
      <c r="C391" s="102" t="n"/>
      <c r="D391" s="102" t="n"/>
      <c r="E391" s="97" t="n"/>
      <c r="F391" s="102" t="n"/>
      <c r="G391" s="102" t="n"/>
      <c r="H391" s="102" t="n"/>
      <c r="I391" s="113">
        <f>IF($A391="","",MONTH($A391))</f>
        <v/>
      </c>
      <c r="J391" s="113">
        <f>IF($A391="","",YEAR($A391))</f>
        <v/>
      </c>
      <c r="K391" s="113">
        <f>IFERROR(INDEX(Setup!$I$7:$I$22,MATCH($C391,Setup!$D$7:$D$22,0)),"")</f>
        <v/>
      </c>
      <c r="L391" s="88" t="n"/>
      <c r="M391" s="88" t="n"/>
      <c r="N391" s="88" t="n"/>
      <c r="O391" s="88" t="n"/>
      <c r="P391" s="88" t="n"/>
      <c r="Q391" s="88" t="n"/>
      <c r="R391" s="88" t="n"/>
      <c r="S391" s="88" t="n"/>
      <c r="T391" s="88" t="n"/>
      <c r="U391" s="88" t="n"/>
      <c r="V391" s="88" t="n"/>
      <c r="W391" s="88" t="n"/>
      <c r="X391" s="88" t="n"/>
      <c r="Y391" s="88" t="n"/>
      <c r="Z391" s="88" t="n"/>
    </row>
    <row r="392" ht="15" customHeight="1" s="86">
      <c r="A392" s="109" t="n"/>
      <c r="B392" s="110" t="n"/>
      <c r="C392" s="111" t="n"/>
      <c r="D392" s="111" t="n"/>
      <c r="E392" s="112" t="n"/>
      <c r="F392" s="111" t="n"/>
      <c r="G392" s="111" t="n"/>
      <c r="H392" s="111" t="n"/>
      <c r="I392" s="113">
        <f>IF($A392="","",MONTH($A392))</f>
        <v/>
      </c>
      <c r="J392" s="113">
        <f>IF($A392="","",YEAR($A392))</f>
        <v/>
      </c>
      <c r="K392" s="113">
        <f>IFERROR(INDEX(Setup!$I$7:$I$22,MATCH($C392,Setup!$D$7:$D$22,0)),"")</f>
        <v/>
      </c>
      <c r="L392" s="88" t="n"/>
      <c r="M392" s="88" t="n"/>
      <c r="N392" s="88" t="n"/>
      <c r="O392" s="88" t="n"/>
      <c r="P392" s="88" t="n"/>
      <c r="Q392" s="88" t="n"/>
      <c r="R392" s="88" t="n"/>
      <c r="S392" s="88" t="n"/>
      <c r="T392" s="88" t="n"/>
      <c r="U392" s="88" t="n"/>
      <c r="V392" s="88" t="n"/>
      <c r="W392" s="88" t="n"/>
      <c r="X392" s="88" t="n"/>
      <c r="Y392" s="88" t="n"/>
      <c r="Z392" s="88" t="n"/>
    </row>
    <row r="393" ht="15" customHeight="1" s="86">
      <c r="A393" s="107" t="n"/>
      <c r="B393" s="95" t="n"/>
      <c r="C393" s="102" t="n"/>
      <c r="D393" s="102" t="n"/>
      <c r="E393" s="97" t="n"/>
      <c r="F393" s="102" t="n"/>
      <c r="G393" s="102" t="n"/>
      <c r="H393" s="102" t="n"/>
      <c r="I393" s="113">
        <f>IF($A393="","",MONTH($A393))</f>
        <v/>
      </c>
      <c r="J393" s="113">
        <f>IF($A393="","",YEAR($A393))</f>
        <v/>
      </c>
      <c r="K393" s="113">
        <f>IFERROR(INDEX(Setup!$I$7:$I$22,MATCH($C393,Setup!$D$7:$D$22,0)),"")</f>
        <v/>
      </c>
      <c r="L393" s="88" t="n"/>
      <c r="M393" s="88" t="n"/>
      <c r="N393" s="88" t="n"/>
      <c r="O393" s="88" t="n"/>
      <c r="P393" s="88" t="n"/>
      <c r="Q393" s="88" t="n"/>
      <c r="R393" s="88" t="n"/>
      <c r="S393" s="88" t="n"/>
      <c r="T393" s="88" t="n"/>
      <c r="U393" s="88" t="n"/>
      <c r="V393" s="88" t="n"/>
      <c r="W393" s="88" t="n"/>
      <c r="X393" s="88" t="n"/>
      <c r="Y393" s="88" t="n"/>
      <c r="Z393" s="88" t="n"/>
    </row>
    <row r="394" ht="15" customHeight="1" s="86">
      <c r="A394" s="109" t="n"/>
      <c r="B394" s="110" t="n"/>
      <c r="C394" s="111" t="n"/>
      <c r="D394" s="111" t="n"/>
      <c r="E394" s="112" t="n"/>
      <c r="F394" s="111" t="n"/>
      <c r="G394" s="111" t="n"/>
      <c r="H394" s="111" t="n"/>
      <c r="I394" s="113">
        <f>IF($A394="","",MONTH($A394))</f>
        <v/>
      </c>
      <c r="J394" s="113">
        <f>IF($A394="","",YEAR($A394))</f>
        <v/>
      </c>
      <c r="K394" s="113">
        <f>IFERROR(INDEX(Setup!$I$7:$I$22,MATCH($C394,Setup!$D$7:$D$22,0)),"")</f>
        <v/>
      </c>
      <c r="L394" s="88" t="n"/>
      <c r="M394" s="88" t="n"/>
      <c r="N394" s="88" t="n"/>
      <c r="O394" s="88" t="n"/>
      <c r="P394" s="88" t="n"/>
      <c r="Q394" s="88" t="n"/>
      <c r="R394" s="88" t="n"/>
      <c r="S394" s="88" t="n"/>
      <c r="T394" s="88" t="n"/>
      <c r="U394" s="88" t="n"/>
      <c r="V394" s="88" t="n"/>
      <c r="W394" s="88" t="n"/>
      <c r="X394" s="88" t="n"/>
      <c r="Y394" s="88" t="n"/>
      <c r="Z394" s="88" t="n"/>
    </row>
    <row r="395" ht="15" customHeight="1" s="86">
      <c r="A395" s="107" t="n"/>
      <c r="B395" s="95" t="n"/>
      <c r="C395" s="102" t="n"/>
      <c r="D395" s="102" t="n"/>
      <c r="E395" s="97" t="n"/>
      <c r="F395" s="102" t="n"/>
      <c r="G395" s="102" t="n"/>
      <c r="H395" s="102" t="n"/>
      <c r="I395" s="113">
        <f>IF($A395="","",MONTH($A395))</f>
        <v/>
      </c>
      <c r="J395" s="113">
        <f>IF($A395="","",YEAR($A395))</f>
        <v/>
      </c>
      <c r="K395" s="113">
        <f>IFERROR(INDEX(Setup!$I$7:$I$22,MATCH($C395,Setup!$D$7:$D$22,0)),"")</f>
        <v/>
      </c>
      <c r="L395" s="88" t="n"/>
      <c r="M395" s="88" t="n"/>
      <c r="N395" s="88" t="n"/>
      <c r="O395" s="88" t="n"/>
      <c r="P395" s="88" t="n"/>
      <c r="Q395" s="88" t="n"/>
      <c r="R395" s="88" t="n"/>
      <c r="S395" s="88" t="n"/>
      <c r="T395" s="88" t="n"/>
      <c r="U395" s="88" t="n"/>
      <c r="V395" s="88" t="n"/>
      <c r="W395" s="88" t="n"/>
      <c r="X395" s="88" t="n"/>
      <c r="Y395" s="88" t="n"/>
      <c r="Z395" s="88" t="n"/>
    </row>
    <row r="396" ht="15" customHeight="1" s="86">
      <c r="A396" s="109" t="n"/>
      <c r="B396" s="110" t="n"/>
      <c r="C396" s="111" t="n"/>
      <c r="D396" s="111" t="n"/>
      <c r="E396" s="112" t="n"/>
      <c r="F396" s="111" t="n"/>
      <c r="G396" s="111" t="n"/>
      <c r="H396" s="111" t="n"/>
      <c r="I396" s="113">
        <f>IF($A396="","",MONTH($A396))</f>
        <v/>
      </c>
      <c r="J396" s="113">
        <f>IF($A396="","",YEAR($A396))</f>
        <v/>
      </c>
      <c r="K396" s="113">
        <f>IFERROR(INDEX(Setup!$I$7:$I$22,MATCH($C396,Setup!$D$7:$D$22,0)),"")</f>
        <v/>
      </c>
      <c r="L396" s="88" t="n"/>
      <c r="M396" s="88" t="n"/>
      <c r="N396" s="88" t="n"/>
      <c r="O396" s="88" t="n"/>
      <c r="P396" s="88" t="n"/>
      <c r="Q396" s="88" t="n"/>
      <c r="R396" s="88" t="n"/>
      <c r="S396" s="88" t="n"/>
      <c r="T396" s="88" t="n"/>
      <c r="U396" s="88" t="n"/>
      <c r="V396" s="88" t="n"/>
      <c r="W396" s="88" t="n"/>
      <c r="X396" s="88" t="n"/>
      <c r="Y396" s="88" t="n"/>
      <c r="Z396" s="88" t="n"/>
    </row>
    <row r="397" ht="15" customHeight="1" s="86">
      <c r="A397" s="107" t="n"/>
      <c r="B397" s="95" t="n"/>
      <c r="C397" s="102" t="n"/>
      <c r="D397" s="102" t="n"/>
      <c r="E397" s="97" t="n"/>
      <c r="F397" s="102" t="n"/>
      <c r="G397" s="102" t="n"/>
      <c r="H397" s="102" t="n"/>
      <c r="I397" s="113">
        <f>IF($A397="","",MONTH($A397))</f>
        <v/>
      </c>
      <c r="J397" s="113">
        <f>IF($A397="","",YEAR($A397))</f>
        <v/>
      </c>
      <c r="K397" s="113">
        <f>IFERROR(INDEX(Setup!$I$7:$I$22,MATCH($C397,Setup!$D$7:$D$22,0)),"")</f>
        <v/>
      </c>
      <c r="L397" s="88" t="n"/>
      <c r="M397" s="88" t="n"/>
      <c r="N397" s="88" t="n"/>
      <c r="O397" s="88" t="n"/>
      <c r="P397" s="88" t="n"/>
      <c r="Q397" s="88" t="n"/>
      <c r="R397" s="88" t="n"/>
      <c r="S397" s="88" t="n"/>
      <c r="T397" s="88" t="n"/>
      <c r="U397" s="88" t="n"/>
      <c r="V397" s="88" t="n"/>
      <c r="W397" s="88" t="n"/>
      <c r="X397" s="88" t="n"/>
      <c r="Y397" s="88" t="n"/>
      <c r="Z397" s="88" t="n"/>
    </row>
    <row r="398" ht="15" customHeight="1" s="86">
      <c r="A398" s="109" t="n"/>
      <c r="B398" s="110" t="n"/>
      <c r="C398" s="111" t="n"/>
      <c r="D398" s="111" t="n"/>
      <c r="E398" s="112" t="n"/>
      <c r="F398" s="111" t="n"/>
      <c r="G398" s="111" t="n"/>
      <c r="H398" s="111" t="n"/>
      <c r="I398" s="113">
        <f>IF($A398="","",MONTH($A398))</f>
        <v/>
      </c>
      <c r="J398" s="113">
        <f>IF($A398="","",YEAR($A398))</f>
        <v/>
      </c>
      <c r="K398" s="113">
        <f>IFERROR(INDEX(Setup!$I$7:$I$22,MATCH($C398,Setup!$D$7:$D$22,0)),"")</f>
        <v/>
      </c>
      <c r="L398" s="88" t="n"/>
      <c r="M398" s="88" t="n"/>
      <c r="N398" s="88" t="n"/>
      <c r="O398" s="88" t="n"/>
      <c r="P398" s="88" t="n"/>
      <c r="Q398" s="88" t="n"/>
      <c r="R398" s="88" t="n"/>
      <c r="S398" s="88" t="n"/>
      <c r="T398" s="88" t="n"/>
      <c r="U398" s="88" t="n"/>
      <c r="V398" s="88" t="n"/>
      <c r="W398" s="88" t="n"/>
      <c r="X398" s="88" t="n"/>
      <c r="Y398" s="88" t="n"/>
      <c r="Z398" s="88" t="n"/>
    </row>
    <row r="399" ht="15" customHeight="1" s="86">
      <c r="A399" s="107" t="n"/>
      <c r="B399" s="95" t="n"/>
      <c r="C399" s="102" t="n"/>
      <c r="D399" s="102" t="n"/>
      <c r="E399" s="97" t="n"/>
      <c r="F399" s="102" t="n"/>
      <c r="G399" s="102" t="n"/>
      <c r="H399" s="102" t="n"/>
      <c r="I399" s="113">
        <f>IF($A399="","",MONTH($A399))</f>
        <v/>
      </c>
      <c r="J399" s="113">
        <f>IF($A399="","",YEAR($A399))</f>
        <v/>
      </c>
      <c r="K399" s="113">
        <f>IFERROR(INDEX(Setup!$I$7:$I$22,MATCH($C399,Setup!$D$7:$D$22,0)),"")</f>
        <v/>
      </c>
      <c r="L399" s="88" t="n"/>
      <c r="M399" s="88" t="n"/>
      <c r="N399" s="88" t="n"/>
      <c r="O399" s="88" t="n"/>
      <c r="P399" s="88" t="n"/>
      <c r="Q399" s="88" t="n"/>
      <c r="R399" s="88" t="n"/>
      <c r="S399" s="88" t="n"/>
      <c r="T399" s="88" t="n"/>
      <c r="U399" s="88" t="n"/>
      <c r="V399" s="88" t="n"/>
      <c r="W399" s="88" t="n"/>
      <c r="X399" s="88" t="n"/>
      <c r="Y399" s="88" t="n"/>
      <c r="Z399" s="88" t="n"/>
    </row>
    <row r="400" ht="15" customHeight="1" s="86">
      <c r="A400" s="109" t="n"/>
      <c r="B400" s="110" t="n"/>
      <c r="C400" s="111" t="n"/>
      <c r="D400" s="111" t="n"/>
      <c r="E400" s="112" t="n"/>
      <c r="F400" s="111" t="n"/>
      <c r="G400" s="111" t="n"/>
      <c r="H400" s="111" t="n"/>
      <c r="I400" s="113">
        <f>IF($A400="","",MONTH($A400))</f>
        <v/>
      </c>
      <c r="J400" s="113">
        <f>IF($A400="","",YEAR($A400))</f>
        <v/>
      </c>
      <c r="K400" s="113">
        <f>IFERROR(INDEX(Setup!$I$7:$I$22,MATCH($C400,Setup!$D$7:$D$22,0)),"")</f>
        <v/>
      </c>
      <c r="L400" s="88" t="n"/>
      <c r="M400" s="88" t="n"/>
      <c r="N400" s="88" t="n"/>
      <c r="O400" s="88" t="n"/>
      <c r="P400" s="88" t="n"/>
      <c r="Q400" s="88" t="n"/>
      <c r="R400" s="88" t="n"/>
      <c r="S400" s="88" t="n"/>
      <c r="T400" s="88" t="n"/>
      <c r="U400" s="88" t="n"/>
      <c r="V400" s="88" t="n"/>
      <c r="W400" s="88" t="n"/>
      <c r="X400" s="88" t="n"/>
      <c r="Y400" s="88" t="n"/>
      <c r="Z400" s="88" t="n"/>
    </row>
    <row r="401" ht="15" customHeight="1" s="86">
      <c r="A401" s="107" t="n"/>
      <c r="B401" s="95" t="n"/>
      <c r="C401" s="102" t="n"/>
      <c r="D401" s="102" t="n"/>
      <c r="E401" s="97" t="n"/>
      <c r="F401" s="102" t="n"/>
      <c r="G401" s="102" t="n"/>
      <c r="H401" s="102" t="n"/>
      <c r="I401" s="113">
        <f>IF($A401="","",MONTH($A401))</f>
        <v/>
      </c>
      <c r="J401" s="113">
        <f>IF($A401="","",YEAR($A401))</f>
        <v/>
      </c>
      <c r="K401" s="113">
        <f>IFERROR(INDEX(Setup!$I$7:$I$22,MATCH($C401,Setup!$D$7:$D$22,0)),"")</f>
        <v/>
      </c>
      <c r="L401" s="88" t="n"/>
      <c r="M401" s="88" t="n"/>
      <c r="N401" s="88" t="n"/>
      <c r="O401" s="88" t="n"/>
      <c r="P401" s="88" t="n"/>
      <c r="Q401" s="88" t="n"/>
      <c r="R401" s="88" t="n"/>
      <c r="S401" s="88" t="n"/>
      <c r="T401" s="88" t="n"/>
      <c r="U401" s="88" t="n"/>
      <c r="V401" s="88" t="n"/>
      <c r="W401" s="88" t="n"/>
      <c r="X401" s="88" t="n"/>
      <c r="Y401" s="88" t="n"/>
      <c r="Z401" s="88" t="n"/>
    </row>
    <row r="402" ht="15" customHeight="1" s="86">
      <c r="A402" s="109" t="n"/>
      <c r="B402" s="110" t="n"/>
      <c r="C402" s="111" t="n"/>
      <c r="D402" s="111" t="n"/>
      <c r="E402" s="112" t="n"/>
      <c r="F402" s="111" t="n"/>
      <c r="G402" s="111" t="n"/>
      <c r="H402" s="111" t="n"/>
      <c r="I402" s="113">
        <f>IF($A402="","",MONTH($A402))</f>
        <v/>
      </c>
      <c r="J402" s="113">
        <f>IF($A402="","",YEAR($A402))</f>
        <v/>
      </c>
      <c r="K402" s="113">
        <f>IFERROR(INDEX(Setup!$I$7:$I$22,MATCH($C402,Setup!$D$7:$D$22,0)),"")</f>
        <v/>
      </c>
      <c r="L402" s="88" t="n"/>
      <c r="M402" s="88" t="n"/>
      <c r="N402" s="88" t="n"/>
      <c r="O402" s="88" t="n"/>
      <c r="P402" s="88" t="n"/>
      <c r="Q402" s="88" t="n"/>
      <c r="R402" s="88" t="n"/>
      <c r="S402" s="88" t="n"/>
      <c r="T402" s="88" t="n"/>
      <c r="U402" s="88" t="n"/>
      <c r="V402" s="88" t="n"/>
      <c r="W402" s="88" t="n"/>
      <c r="X402" s="88" t="n"/>
      <c r="Y402" s="88" t="n"/>
      <c r="Z402" s="88" t="n"/>
    </row>
    <row r="403" ht="15" customHeight="1" s="86">
      <c r="A403" s="107" t="n"/>
      <c r="B403" s="95" t="n"/>
      <c r="C403" s="102" t="n"/>
      <c r="D403" s="102" t="n"/>
      <c r="E403" s="97" t="n"/>
      <c r="F403" s="102" t="n"/>
      <c r="G403" s="102" t="n"/>
      <c r="H403" s="102" t="n"/>
      <c r="I403" s="113">
        <f>IF($A403="","",MONTH($A403))</f>
        <v/>
      </c>
      <c r="J403" s="113">
        <f>IF($A403="","",YEAR($A403))</f>
        <v/>
      </c>
      <c r="K403" s="113">
        <f>IFERROR(INDEX(Setup!$I$7:$I$22,MATCH($C403,Setup!$D$7:$D$22,0)),"")</f>
        <v/>
      </c>
      <c r="L403" s="88" t="n"/>
      <c r="M403" s="88" t="n"/>
      <c r="N403" s="88" t="n"/>
      <c r="O403" s="88" t="n"/>
      <c r="P403" s="88" t="n"/>
      <c r="Q403" s="88" t="n"/>
      <c r="R403" s="88" t="n"/>
      <c r="S403" s="88" t="n"/>
      <c r="T403" s="88" t="n"/>
      <c r="U403" s="88" t="n"/>
      <c r="V403" s="88" t="n"/>
      <c r="W403" s="88" t="n"/>
      <c r="X403" s="88" t="n"/>
      <c r="Y403" s="88" t="n"/>
      <c r="Z403" s="88" t="n"/>
    </row>
    <row r="404" ht="15" customHeight="1" s="86">
      <c r="A404" s="109" t="n"/>
      <c r="B404" s="110" t="n"/>
      <c r="C404" s="111" t="n"/>
      <c r="D404" s="111" t="n"/>
      <c r="E404" s="112" t="n"/>
      <c r="F404" s="111" t="n"/>
      <c r="G404" s="111" t="n"/>
      <c r="H404" s="111" t="n"/>
      <c r="I404" s="113">
        <f>IF($A404="","",MONTH($A404))</f>
        <v/>
      </c>
      <c r="J404" s="113">
        <f>IF($A404="","",YEAR($A404))</f>
        <v/>
      </c>
      <c r="K404" s="113">
        <f>IFERROR(INDEX(Setup!$I$7:$I$22,MATCH($C404,Setup!$D$7:$D$22,0)),"")</f>
        <v/>
      </c>
      <c r="L404" s="88" t="n"/>
      <c r="M404" s="88" t="n"/>
      <c r="N404" s="88" t="n"/>
      <c r="O404" s="88" t="n"/>
      <c r="P404" s="88" t="n"/>
      <c r="Q404" s="88" t="n"/>
      <c r="R404" s="88" t="n"/>
      <c r="S404" s="88" t="n"/>
      <c r="T404" s="88" t="n"/>
      <c r="U404" s="88" t="n"/>
      <c r="V404" s="88" t="n"/>
      <c r="W404" s="88" t="n"/>
      <c r="X404" s="88" t="n"/>
      <c r="Y404" s="88" t="n"/>
      <c r="Z404" s="88" t="n"/>
    </row>
    <row r="405" ht="15" customHeight="1" s="86">
      <c r="A405" s="107" t="n"/>
      <c r="B405" s="95" t="n"/>
      <c r="C405" s="102" t="n"/>
      <c r="D405" s="102" t="n"/>
      <c r="E405" s="97" t="n"/>
      <c r="F405" s="102" t="n"/>
      <c r="G405" s="102" t="n"/>
      <c r="H405" s="102" t="n"/>
      <c r="I405" s="113">
        <f>IF($A405="","",MONTH($A405))</f>
        <v/>
      </c>
      <c r="J405" s="113">
        <f>IF($A405="","",YEAR($A405))</f>
        <v/>
      </c>
      <c r="K405" s="113">
        <f>IFERROR(INDEX(Setup!$I$7:$I$22,MATCH($C405,Setup!$D$7:$D$22,0)),"")</f>
        <v/>
      </c>
      <c r="L405" s="88" t="n"/>
      <c r="M405" s="88" t="n"/>
      <c r="N405" s="88" t="n"/>
      <c r="O405" s="88" t="n"/>
      <c r="P405" s="88" t="n"/>
      <c r="Q405" s="88" t="n"/>
      <c r="R405" s="88" t="n"/>
      <c r="S405" s="88" t="n"/>
      <c r="T405" s="88" t="n"/>
      <c r="U405" s="88" t="n"/>
      <c r="V405" s="88" t="n"/>
      <c r="W405" s="88" t="n"/>
      <c r="X405" s="88" t="n"/>
      <c r="Y405" s="88" t="n"/>
      <c r="Z405" s="88" t="n"/>
    </row>
    <row r="406" ht="15" customHeight="1" s="86">
      <c r="A406" s="109" t="n"/>
      <c r="B406" s="110" t="n"/>
      <c r="C406" s="111" t="n"/>
      <c r="D406" s="111" t="n"/>
      <c r="E406" s="112" t="n"/>
      <c r="F406" s="111" t="n"/>
      <c r="G406" s="111" t="n"/>
      <c r="H406" s="111" t="n"/>
      <c r="I406" s="113">
        <f>IF($A406="","",MONTH($A406))</f>
        <v/>
      </c>
      <c r="J406" s="113">
        <f>IF($A406="","",YEAR($A406))</f>
        <v/>
      </c>
      <c r="K406" s="113">
        <f>IFERROR(INDEX(Setup!$I$7:$I$22,MATCH($C406,Setup!$D$7:$D$22,0)),"")</f>
        <v/>
      </c>
      <c r="L406" s="88" t="n"/>
      <c r="M406" s="88" t="n"/>
      <c r="N406" s="88" t="n"/>
      <c r="O406" s="88" t="n"/>
      <c r="P406" s="88" t="n"/>
      <c r="Q406" s="88" t="n"/>
      <c r="R406" s="88" t="n"/>
      <c r="S406" s="88" t="n"/>
      <c r="T406" s="88" t="n"/>
      <c r="U406" s="88" t="n"/>
      <c r="V406" s="88" t="n"/>
      <c r="W406" s="88" t="n"/>
      <c r="X406" s="88" t="n"/>
      <c r="Y406" s="88" t="n"/>
      <c r="Z406" s="88" t="n"/>
    </row>
    <row r="407" ht="15" customHeight="1" s="86">
      <c r="A407" s="107" t="n"/>
      <c r="B407" s="95" t="n"/>
      <c r="C407" s="102" t="n"/>
      <c r="D407" s="102" t="n"/>
      <c r="E407" s="97" t="n"/>
      <c r="F407" s="102" t="n"/>
      <c r="G407" s="102" t="n"/>
      <c r="H407" s="102" t="n"/>
      <c r="I407" s="113">
        <f>IF($A407="","",MONTH($A407))</f>
        <v/>
      </c>
      <c r="J407" s="113">
        <f>IF($A407="","",YEAR($A407))</f>
        <v/>
      </c>
      <c r="K407" s="113">
        <f>IFERROR(INDEX(Setup!$I$7:$I$22,MATCH($C407,Setup!$D$7:$D$22,0)),"")</f>
        <v/>
      </c>
      <c r="L407" s="88" t="n"/>
      <c r="M407" s="88" t="n"/>
      <c r="N407" s="88" t="n"/>
      <c r="O407" s="88" t="n"/>
      <c r="P407" s="88" t="n"/>
      <c r="Q407" s="88" t="n"/>
      <c r="R407" s="88" t="n"/>
      <c r="S407" s="88" t="n"/>
      <c r="T407" s="88" t="n"/>
      <c r="U407" s="88" t="n"/>
      <c r="V407" s="88" t="n"/>
      <c r="W407" s="88" t="n"/>
      <c r="X407" s="88" t="n"/>
      <c r="Y407" s="88" t="n"/>
      <c r="Z407" s="88" t="n"/>
    </row>
    <row r="408" ht="15" customHeight="1" s="86">
      <c r="A408" s="109" t="n"/>
      <c r="B408" s="110" t="n"/>
      <c r="C408" s="111" t="n"/>
      <c r="D408" s="111" t="n"/>
      <c r="E408" s="112" t="n"/>
      <c r="F408" s="111" t="n"/>
      <c r="G408" s="111" t="n"/>
      <c r="H408" s="111" t="n"/>
      <c r="I408" s="113">
        <f>IF($A408="","",MONTH($A408))</f>
        <v/>
      </c>
      <c r="J408" s="113">
        <f>IF($A408="","",YEAR($A408))</f>
        <v/>
      </c>
      <c r="K408" s="113">
        <f>IFERROR(INDEX(Setup!$I$7:$I$22,MATCH($C408,Setup!$D$7:$D$22,0)),"")</f>
        <v/>
      </c>
      <c r="L408" s="88" t="n"/>
      <c r="M408" s="88" t="n"/>
      <c r="N408" s="88" t="n"/>
      <c r="O408" s="88" t="n"/>
      <c r="P408" s="88" t="n"/>
      <c r="Q408" s="88" t="n"/>
      <c r="R408" s="88" t="n"/>
      <c r="S408" s="88" t="n"/>
      <c r="T408" s="88" t="n"/>
      <c r="U408" s="88" t="n"/>
      <c r="V408" s="88" t="n"/>
      <c r="W408" s="88" t="n"/>
      <c r="X408" s="88" t="n"/>
      <c r="Y408" s="88" t="n"/>
      <c r="Z408" s="88" t="n"/>
    </row>
    <row r="409" ht="15" customHeight="1" s="86">
      <c r="A409" s="107" t="n"/>
      <c r="B409" s="95" t="n"/>
      <c r="C409" s="102" t="n"/>
      <c r="D409" s="102" t="n"/>
      <c r="E409" s="97" t="n"/>
      <c r="F409" s="102" t="n"/>
      <c r="G409" s="102" t="n"/>
      <c r="H409" s="102" t="n"/>
      <c r="I409" s="113">
        <f>IF($A409="","",MONTH($A409))</f>
        <v/>
      </c>
      <c r="J409" s="113">
        <f>IF($A409="","",YEAR($A409))</f>
        <v/>
      </c>
      <c r="K409" s="113">
        <f>IFERROR(INDEX(Setup!$I$7:$I$22,MATCH($C409,Setup!$D$7:$D$22,0)),"")</f>
        <v/>
      </c>
      <c r="L409" s="88" t="n"/>
      <c r="M409" s="88" t="n"/>
      <c r="N409" s="88" t="n"/>
      <c r="O409" s="88" t="n"/>
      <c r="P409" s="88" t="n"/>
      <c r="Q409" s="88" t="n"/>
      <c r="R409" s="88" t="n"/>
      <c r="S409" s="88" t="n"/>
      <c r="T409" s="88" t="n"/>
      <c r="U409" s="88" t="n"/>
      <c r="V409" s="88" t="n"/>
      <c r="W409" s="88" t="n"/>
      <c r="X409" s="88" t="n"/>
      <c r="Y409" s="88" t="n"/>
      <c r="Z409" s="88" t="n"/>
    </row>
    <row r="410" ht="15" customHeight="1" s="86">
      <c r="A410" s="109" t="n"/>
      <c r="B410" s="110" t="n"/>
      <c r="C410" s="111" t="n"/>
      <c r="D410" s="111" t="n"/>
      <c r="E410" s="112" t="n"/>
      <c r="F410" s="111" t="n"/>
      <c r="G410" s="111" t="n"/>
      <c r="H410" s="111" t="n"/>
      <c r="I410" s="113">
        <f>IF($A410="","",MONTH($A410))</f>
        <v/>
      </c>
      <c r="J410" s="113">
        <f>IF($A410="","",YEAR($A410))</f>
        <v/>
      </c>
      <c r="K410" s="113">
        <f>IFERROR(INDEX(Setup!$I$7:$I$22,MATCH($C410,Setup!$D$7:$D$22,0)),"")</f>
        <v/>
      </c>
      <c r="L410" s="88" t="n"/>
      <c r="M410" s="88" t="n"/>
      <c r="N410" s="88" t="n"/>
      <c r="O410" s="88" t="n"/>
      <c r="P410" s="88" t="n"/>
      <c r="Q410" s="88" t="n"/>
      <c r="R410" s="88" t="n"/>
      <c r="S410" s="88" t="n"/>
      <c r="T410" s="88" t="n"/>
      <c r="U410" s="88" t="n"/>
      <c r="V410" s="88" t="n"/>
      <c r="W410" s="88" t="n"/>
      <c r="X410" s="88" t="n"/>
      <c r="Y410" s="88" t="n"/>
      <c r="Z410" s="88" t="n"/>
    </row>
    <row r="411" ht="15" customHeight="1" s="86">
      <c r="A411" s="107" t="n"/>
      <c r="B411" s="95" t="n"/>
      <c r="C411" s="102" t="n"/>
      <c r="D411" s="102" t="n"/>
      <c r="E411" s="97" t="n"/>
      <c r="F411" s="102" t="n"/>
      <c r="G411" s="102" t="n"/>
      <c r="H411" s="102" t="n"/>
      <c r="I411" s="113">
        <f>IF($A411="","",MONTH($A411))</f>
        <v/>
      </c>
      <c r="J411" s="113">
        <f>IF($A411="","",YEAR($A411))</f>
        <v/>
      </c>
      <c r="K411" s="113">
        <f>IFERROR(INDEX(Setup!$I$7:$I$22,MATCH($C411,Setup!$D$7:$D$22,0)),"")</f>
        <v/>
      </c>
      <c r="L411" s="88" t="n"/>
      <c r="M411" s="88" t="n"/>
      <c r="N411" s="88" t="n"/>
      <c r="O411" s="88" t="n"/>
      <c r="P411" s="88" t="n"/>
      <c r="Q411" s="88" t="n"/>
      <c r="R411" s="88" t="n"/>
      <c r="S411" s="88" t="n"/>
      <c r="T411" s="88" t="n"/>
      <c r="U411" s="88" t="n"/>
      <c r="V411" s="88" t="n"/>
      <c r="W411" s="88" t="n"/>
      <c r="X411" s="88" t="n"/>
      <c r="Y411" s="88" t="n"/>
      <c r="Z411" s="88" t="n"/>
    </row>
    <row r="412" ht="15" customHeight="1" s="86">
      <c r="A412" s="109" t="n"/>
      <c r="B412" s="110" t="n"/>
      <c r="C412" s="111" t="n"/>
      <c r="D412" s="111" t="n"/>
      <c r="E412" s="112" t="n"/>
      <c r="F412" s="111" t="n"/>
      <c r="G412" s="111" t="n"/>
      <c r="H412" s="111" t="n"/>
      <c r="I412" s="113">
        <f>IF($A412="","",MONTH($A412))</f>
        <v/>
      </c>
      <c r="J412" s="113">
        <f>IF($A412="","",YEAR($A412))</f>
        <v/>
      </c>
      <c r="K412" s="113">
        <f>IFERROR(INDEX(Setup!$I$7:$I$22,MATCH($C412,Setup!$D$7:$D$22,0)),"")</f>
        <v/>
      </c>
      <c r="L412" s="88" t="n"/>
      <c r="M412" s="88" t="n"/>
      <c r="N412" s="88" t="n"/>
      <c r="O412" s="88" t="n"/>
      <c r="P412" s="88" t="n"/>
      <c r="Q412" s="88" t="n"/>
      <c r="R412" s="88" t="n"/>
      <c r="S412" s="88" t="n"/>
      <c r="T412" s="88" t="n"/>
      <c r="U412" s="88" t="n"/>
      <c r="V412" s="88" t="n"/>
      <c r="W412" s="88" t="n"/>
      <c r="X412" s="88" t="n"/>
      <c r="Y412" s="88" t="n"/>
      <c r="Z412" s="88" t="n"/>
    </row>
    <row r="413" ht="15" customHeight="1" s="86">
      <c r="A413" s="107" t="n"/>
      <c r="B413" s="95" t="n"/>
      <c r="C413" s="102" t="n"/>
      <c r="D413" s="102" t="n"/>
      <c r="E413" s="97" t="n"/>
      <c r="F413" s="102" t="n"/>
      <c r="G413" s="102" t="n"/>
      <c r="H413" s="102" t="n"/>
      <c r="I413" s="113">
        <f>IF($A413="","",MONTH($A413))</f>
        <v/>
      </c>
      <c r="J413" s="113">
        <f>IF($A413="","",YEAR($A413))</f>
        <v/>
      </c>
      <c r="K413" s="113">
        <f>IFERROR(INDEX(Setup!$I$7:$I$22,MATCH($C413,Setup!$D$7:$D$22,0)),"")</f>
        <v/>
      </c>
      <c r="L413" s="88" t="n"/>
      <c r="M413" s="88" t="n"/>
      <c r="N413" s="88" t="n"/>
      <c r="O413" s="88" t="n"/>
      <c r="P413" s="88" t="n"/>
      <c r="Q413" s="88" t="n"/>
      <c r="R413" s="88" t="n"/>
      <c r="S413" s="88" t="n"/>
      <c r="T413" s="88" t="n"/>
      <c r="U413" s="88" t="n"/>
      <c r="V413" s="88" t="n"/>
      <c r="W413" s="88" t="n"/>
      <c r="X413" s="88" t="n"/>
      <c r="Y413" s="88" t="n"/>
      <c r="Z413" s="88" t="n"/>
    </row>
    <row r="414" ht="15" customHeight="1" s="86">
      <c r="A414" s="109" t="n"/>
      <c r="B414" s="110" t="n"/>
      <c r="C414" s="111" t="n"/>
      <c r="D414" s="111" t="n"/>
      <c r="E414" s="112" t="n"/>
      <c r="F414" s="111" t="n"/>
      <c r="G414" s="111" t="n"/>
      <c r="H414" s="111" t="n"/>
      <c r="I414" s="113">
        <f>IF($A414="","",MONTH($A414))</f>
        <v/>
      </c>
      <c r="J414" s="113">
        <f>IF($A414="","",YEAR($A414))</f>
        <v/>
      </c>
      <c r="K414" s="113">
        <f>IFERROR(INDEX(Setup!$I$7:$I$22,MATCH($C414,Setup!$D$7:$D$22,0)),"")</f>
        <v/>
      </c>
      <c r="L414" s="88" t="n"/>
      <c r="M414" s="88" t="n"/>
      <c r="N414" s="88" t="n"/>
      <c r="O414" s="88" t="n"/>
      <c r="P414" s="88" t="n"/>
      <c r="Q414" s="88" t="n"/>
      <c r="R414" s="88" t="n"/>
      <c r="S414" s="88" t="n"/>
      <c r="T414" s="88" t="n"/>
      <c r="U414" s="88" t="n"/>
      <c r="V414" s="88" t="n"/>
      <c r="W414" s="88" t="n"/>
      <c r="X414" s="88" t="n"/>
      <c r="Y414" s="88" t="n"/>
      <c r="Z414" s="88" t="n"/>
    </row>
    <row r="415" ht="15" customHeight="1" s="86">
      <c r="A415" s="107" t="n"/>
      <c r="B415" s="95" t="n"/>
      <c r="C415" s="102" t="n"/>
      <c r="D415" s="102" t="n"/>
      <c r="E415" s="97" t="n"/>
      <c r="F415" s="102" t="n"/>
      <c r="G415" s="102" t="n"/>
      <c r="H415" s="102" t="n"/>
      <c r="I415" s="113">
        <f>IF($A415="","",MONTH($A415))</f>
        <v/>
      </c>
      <c r="J415" s="113">
        <f>IF($A415="","",YEAR($A415))</f>
        <v/>
      </c>
      <c r="K415" s="113">
        <f>IFERROR(INDEX(Setup!$I$7:$I$22,MATCH($C415,Setup!$D$7:$D$22,0)),"")</f>
        <v/>
      </c>
      <c r="L415" s="88" t="n"/>
      <c r="M415" s="88" t="n"/>
      <c r="N415" s="88" t="n"/>
      <c r="O415" s="88" t="n"/>
      <c r="P415" s="88" t="n"/>
      <c r="Q415" s="88" t="n"/>
      <c r="R415" s="88" t="n"/>
      <c r="S415" s="88" t="n"/>
      <c r="T415" s="88" t="n"/>
      <c r="U415" s="88" t="n"/>
      <c r="V415" s="88" t="n"/>
      <c r="W415" s="88" t="n"/>
      <c r="X415" s="88" t="n"/>
      <c r="Y415" s="88" t="n"/>
      <c r="Z415" s="88" t="n"/>
    </row>
    <row r="416" ht="15" customHeight="1" s="86">
      <c r="A416" s="109" t="n"/>
      <c r="B416" s="110" t="n"/>
      <c r="C416" s="111" t="n"/>
      <c r="D416" s="111" t="n"/>
      <c r="E416" s="112" t="n"/>
      <c r="F416" s="111" t="n"/>
      <c r="G416" s="111" t="n"/>
      <c r="H416" s="111" t="n"/>
      <c r="I416" s="113">
        <f>IF($A416="","",MONTH($A416))</f>
        <v/>
      </c>
      <c r="J416" s="113">
        <f>IF($A416="","",YEAR($A416))</f>
        <v/>
      </c>
      <c r="K416" s="113">
        <f>IFERROR(INDEX(Setup!$I$7:$I$22,MATCH($C416,Setup!$D$7:$D$22,0)),"")</f>
        <v/>
      </c>
      <c r="L416" s="88" t="n"/>
      <c r="M416" s="88" t="n"/>
      <c r="N416" s="88" t="n"/>
      <c r="O416" s="88" t="n"/>
      <c r="P416" s="88" t="n"/>
      <c r="Q416" s="88" t="n"/>
      <c r="R416" s="88" t="n"/>
      <c r="S416" s="88" t="n"/>
      <c r="T416" s="88" t="n"/>
      <c r="U416" s="88" t="n"/>
      <c r="V416" s="88" t="n"/>
      <c r="W416" s="88" t="n"/>
      <c r="X416" s="88" t="n"/>
      <c r="Y416" s="88" t="n"/>
      <c r="Z416" s="88" t="n"/>
    </row>
    <row r="417" ht="15" customHeight="1" s="86">
      <c r="A417" s="107" t="n"/>
      <c r="B417" s="95" t="n"/>
      <c r="C417" s="102" t="n"/>
      <c r="D417" s="102" t="n"/>
      <c r="E417" s="97" t="n"/>
      <c r="F417" s="102" t="n"/>
      <c r="G417" s="102" t="n"/>
      <c r="H417" s="102" t="n"/>
      <c r="I417" s="113">
        <f>IF($A417="","",MONTH($A417))</f>
        <v/>
      </c>
      <c r="J417" s="113">
        <f>IF($A417="","",YEAR($A417))</f>
        <v/>
      </c>
      <c r="K417" s="113">
        <f>IFERROR(INDEX(Setup!$I$7:$I$22,MATCH($C417,Setup!$D$7:$D$22,0)),"")</f>
        <v/>
      </c>
      <c r="L417" s="88" t="n"/>
      <c r="M417" s="88" t="n"/>
      <c r="N417" s="88" t="n"/>
      <c r="O417" s="88" t="n"/>
      <c r="P417" s="88" t="n"/>
      <c r="Q417" s="88" t="n"/>
      <c r="R417" s="88" t="n"/>
      <c r="S417" s="88" t="n"/>
      <c r="T417" s="88" t="n"/>
      <c r="U417" s="88" t="n"/>
      <c r="V417" s="88" t="n"/>
      <c r="W417" s="88" t="n"/>
      <c r="X417" s="88" t="n"/>
      <c r="Y417" s="88" t="n"/>
      <c r="Z417" s="88" t="n"/>
    </row>
    <row r="418" ht="15" customHeight="1" s="86">
      <c r="A418" s="109" t="n"/>
      <c r="B418" s="110" t="n"/>
      <c r="C418" s="111" t="n"/>
      <c r="D418" s="111" t="n"/>
      <c r="E418" s="112" t="n"/>
      <c r="F418" s="111" t="n"/>
      <c r="G418" s="111" t="n"/>
      <c r="H418" s="111" t="n"/>
      <c r="I418" s="113">
        <f>IF($A418="","",MONTH($A418))</f>
        <v/>
      </c>
      <c r="J418" s="113">
        <f>IF($A418="","",YEAR($A418))</f>
        <v/>
      </c>
      <c r="K418" s="113">
        <f>IFERROR(INDEX(Setup!$I$7:$I$22,MATCH($C418,Setup!$D$7:$D$22,0)),"")</f>
        <v/>
      </c>
      <c r="L418" s="88" t="n"/>
      <c r="M418" s="88" t="n"/>
      <c r="N418" s="88" t="n"/>
      <c r="O418" s="88" t="n"/>
      <c r="P418" s="88" t="n"/>
      <c r="Q418" s="88" t="n"/>
      <c r="R418" s="88" t="n"/>
      <c r="S418" s="88" t="n"/>
      <c r="T418" s="88" t="n"/>
      <c r="U418" s="88" t="n"/>
      <c r="V418" s="88" t="n"/>
      <c r="W418" s="88" t="n"/>
      <c r="X418" s="88" t="n"/>
      <c r="Y418" s="88" t="n"/>
      <c r="Z418" s="88" t="n"/>
    </row>
    <row r="419" ht="15" customHeight="1" s="86">
      <c r="A419" s="107" t="n"/>
      <c r="B419" s="95" t="n"/>
      <c r="C419" s="102" t="n"/>
      <c r="D419" s="102" t="n"/>
      <c r="E419" s="97" t="n"/>
      <c r="F419" s="102" t="n"/>
      <c r="G419" s="102" t="n"/>
      <c r="H419" s="102" t="n"/>
      <c r="I419" s="113">
        <f>IF($A419="","",MONTH($A419))</f>
        <v/>
      </c>
      <c r="J419" s="113">
        <f>IF($A419="","",YEAR($A419))</f>
        <v/>
      </c>
      <c r="K419" s="113">
        <f>IFERROR(INDEX(Setup!$I$7:$I$22,MATCH($C419,Setup!$D$7:$D$22,0)),"")</f>
        <v/>
      </c>
      <c r="L419" s="88" t="n"/>
      <c r="M419" s="88" t="n"/>
      <c r="N419" s="88" t="n"/>
      <c r="O419" s="88" t="n"/>
      <c r="P419" s="88" t="n"/>
      <c r="Q419" s="88" t="n"/>
      <c r="R419" s="88" t="n"/>
      <c r="S419" s="88" t="n"/>
      <c r="T419" s="88" t="n"/>
      <c r="U419" s="88" t="n"/>
      <c r="V419" s="88" t="n"/>
      <c r="W419" s="88" t="n"/>
      <c r="X419" s="88" t="n"/>
      <c r="Y419" s="88" t="n"/>
      <c r="Z419" s="88" t="n"/>
    </row>
    <row r="420" ht="15" customHeight="1" s="86">
      <c r="A420" s="109" t="n"/>
      <c r="B420" s="110" t="n"/>
      <c r="C420" s="111" t="n"/>
      <c r="D420" s="111" t="n"/>
      <c r="E420" s="112" t="n"/>
      <c r="F420" s="111" t="n"/>
      <c r="G420" s="111" t="n"/>
      <c r="H420" s="111" t="n"/>
      <c r="I420" s="113">
        <f>IF($A420="","",MONTH($A420))</f>
        <v/>
      </c>
      <c r="J420" s="113">
        <f>IF($A420="","",YEAR($A420))</f>
        <v/>
      </c>
      <c r="K420" s="113">
        <f>IFERROR(INDEX(Setup!$I$7:$I$22,MATCH($C420,Setup!$D$7:$D$22,0)),"")</f>
        <v/>
      </c>
      <c r="L420" s="88" t="n"/>
      <c r="M420" s="88" t="n"/>
      <c r="N420" s="88" t="n"/>
      <c r="O420" s="88" t="n"/>
      <c r="P420" s="88" t="n"/>
      <c r="Q420" s="88" t="n"/>
      <c r="R420" s="88" t="n"/>
      <c r="S420" s="88" t="n"/>
      <c r="T420" s="88" t="n"/>
      <c r="U420" s="88" t="n"/>
      <c r="V420" s="88" t="n"/>
      <c r="W420" s="88" t="n"/>
      <c r="X420" s="88" t="n"/>
      <c r="Y420" s="88" t="n"/>
      <c r="Z420" s="88" t="n"/>
    </row>
    <row r="421" ht="15" customHeight="1" s="86">
      <c r="A421" s="107" t="n"/>
      <c r="B421" s="95" t="n"/>
      <c r="C421" s="102" t="n"/>
      <c r="D421" s="102" t="n"/>
      <c r="E421" s="97" t="n"/>
      <c r="F421" s="102" t="n"/>
      <c r="G421" s="102" t="n"/>
      <c r="H421" s="102" t="n"/>
      <c r="I421" s="113">
        <f>IF($A421="","",MONTH($A421))</f>
        <v/>
      </c>
      <c r="J421" s="113">
        <f>IF($A421="","",YEAR($A421))</f>
        <v/>
      </c>
      <c r="K421" s="113">
        <f>IFERROR(INDEX(Setup!$I$7:$I$22,MATCH($C421,Setup!$D$7:$D$22,0)),"")</f>
        <v/>
      </c>
      <c r="L421" s="88" t="n"/>
      <c r="M421" s="88" t="n"/>
      <c r="N421" s="88" t="n"/>
      <c r="O421" s="88" t="n"/>
      <c r="P421" s="88" t="n"/>
      <c r="Q421" s="88" t="n"/>
      <c r="R421" s="88" t="n"/>
      <c r="S421" s="88" t="n"/>
      <c r="T421" s="88" t="n"/>
      <c r="U421" s="88" t="n"/>
      <c r="V421" s="88" t="n"/>
      <c r="W421" s="88" t="n"/>
      <c r="X421" s="88" t="n"/>
      <c r="Y421" s="88" t="n"/>
      <c r="Z421" s="88" t="n"/>
    </row>
    <row r="422" ht="15" customHeight="1" s="86">
      <c r="A422" s="109" t="n"/>
      <c r="B422" s="110" t="n"/>
      <c r="C422" s="111" t="n"/>
      <c r="D422" s="111" t="n"/>
      <c r="E422" s="112" t="n"/>
      <c r="F422" s="111" t="n"/>
      <c r="G422" s="111" t="n"/>
      <c r="H422" s="111" t="n"/>
      <c r="I422" s="113">
        <f>IF($A422="","",MONTH($A422))</f>
        <v/>
      </c>
      <c r="J422" s="113">
        <f>IF($A422="","",YEAR($A422))</f>
        <v/>
      </c>
      <c r="K422" s="113">
        <f>IFERROR(INDEX(Setup!$I$7:$I$22,MATCH($C422,Setup!$D$7:$D$22,0)),"")</f>
        <v/>
      </c>
      <c r="L422" s="88" t="n"/>
      <c r="M422" s="88" t="n"/>
      <c r="N422" s="88" t="n"/>
      <c r="O422" s="88" t="n"/>
      <c r="P422" s="88" t="n"/>
      <c r="Q422" s="88" t="n"/>
      <c r="R422" s="88" t="n"/>
      <c r="S422" s="88" t="n"/>
      <c r="T422" s="88" t="n"/>
      <c r="U422" s="88" t="n"/>
      <c r="V422" s="88" t="n"/>
      <c r="W422" s="88" t="n"/>
      <c r="X422" s="88" t="n"/>
      <c r="Y422" s="88" t="n"/>
      <c r="Z422" s="88" t="n"/>
    </row>
    <row r="423" ht="15" customHeight="1" s="86">
      <c r="A423" s="107" t="n"/>
      <c r="B423" s="95" t="n"/>
      <c r="C423" s="102" t="n"/>
      <c r="D423" s="102" t="n"/>
      <c r="E423" s="97" t="n"/>
      <c r="F423" s="102" t="n"/>
      <c r="G423" s="102" t="n"/>
      <c r="H423" s="102" t="n"/>
      <c r="I423" s="113">
        <f>IF($A423="","",MONTH($A423))</f>
        <v/>
      </c>
      <c r="J423" s="113">
        <f>IF($A423="","",YEAR($A423))</f>
        <v/>
      </c>
      <c r="K423" s="113">
        <f>IFERROR(INDEX(Setup!$I$7:$I$22,MATCH($C423,Setup!$D$7:$D$22,0)),"")</f>
        <v/>
      </c>
      <c r="L423" s="88" t="n"/>
      <c r="M423" s="88" t="n"/>
      <c r="N423" s="88" t="n"/>
      <c r="O423" s="88" t="n"/>
      <c r="P423" s="88" t="n"/>
      <c r="Q423" s="88" t="n"/>
      <c r="R423" s="88" t="n"/>
      <c r="S423" s="88" t="n"/>
      <c r="T423" s="88" t="n"/>
      <c r="U423" s="88" t="n"/>
      <c r="V423" s="88" t="n"/>
      <c r="W423" s="88" t="n"/>
      <c r="X423" s="88" t="n"/>
      <c r="Y423" s="88" t="n"/>
      <c r="Z423" s="88" t="n"/>
    </row>
    <row r="424" ht="15" customHeight="1" s="86">
      <c r="A424" s="109" t="n"/>
      <c r="B424" s="110" t="n"/>
      <c r="C424" s="111" t="n"/>
      <c r="D424" s="111" t="n"/>
      <c r="E424" s="112" t="n"/>
      <c r="F424" s="111" t="n"/>
      <c r="G424" s="111" t="n"/>
      <c r="H424" s="111" t="n"/>
      <c r="I424" s="113">
        <f>IF($A424="","",MONTH($A424))</f>
        <v/>
      </c>
      <c r="J424" s="113">
        <f>IF($A424="","",YEAR($A424))</f>
        <v/>
      </c>
      <c r="K424" s="113">
        <f>IFERROR(INDEX(Setup!$I$7:$I$22,MATCH($C424,Setup!$D$7:$D$22,0)),"")</f>
        <v/>
      </c>
      <c r="L424" s="88" t="n"/>
      <c r="M424" s="88" t="n"/>
      <c r="N424" s="88" t="n"/>
      <c r="O424" s="88" t="n"/>
      <c r="P424" s="88" t="n"/>
      <c r="Q424" s="88" t="n"/>
      <c r="R424" s="88" t="n"/>
      <c r="S424" s="88" t="n"/>
      <c r="T424" s="88" t="n"/>
      <c r="U424" s="88" t="n"/>
      <c r="V424" s="88" t="n"/>
      <c r="W424" s="88" t="n"/>
      <c r="X424" s="88" t="n"/>
      <c r="Y424" s="88" t="n"/>
      <c r="Z424" s="88" t="n"/>
    </row>
    <row r="425" ht="15" customHeight="1" s="86">
      <c r="A425" s="107" t="n"/>
      <c r="B425" s="95" t="n"/>
      <c r="C425" s="102" t="n"/>
      <c r="D425" s="102" t="n"/>
      <c r="E425" s="97" t="n"/>
      <c r="F425" s="102" t="n"/>
      <c r="G425" s="102" t="n"/>
      <c r="H425" s="102" t="n"/>
      <c r="I425" s="113">
        <f>IF($A425="","",MONTH($A425))</f>
        <v/>
      </c>
      <c r="J425" s="113">
        <f>IF($A425="","",YEAR($A425))</f>
        <v/>
      </c>
      <c r="K425" s="113">
        <f>IFERROR(INDEX(Setup!$I$7:$I$22,MATCH($C425,Setup!$D$7:$D$22,0)),"")</f>
        <v/>
      </c>
      <c r="L425" s="88" t="n"/>
      <c r="M425" s="88" t="n"/>
      <c r="N425" s="88" t="n"/>
      <c r="O425" s="88" t="n"/>
      <c r="P425" s="88" t="n"/>
      <c r="Q425" s="88" t="n"/>
      <c r="R425" s="88" t="n"/>
      <c r="S425" s="88" t="n"/>
      <c r="T425" s="88" t="n"/>
      <c r="U425" s="88" t="n"/>
      <c r="V425" s="88" t="n"/>
      <c r="W425" s="88" t="n"/>
      <c r="X425" s="88" t="n"/>
      <c r="Y425" s="88" t="n"/>
      <c r="Z425" s="88" t="n"/>
    </row>
    <row r="426" ht="15" customHeight="1" s="86">
      <c r="A426" s="109" t="n"/>
      <c r="B426" s="110" t="n"/>
      <c r="C426" s="111" t="n"/>
      <c r="D426" s="111" t="n"/>
      <c r="E426" s="112" t="n"/>
      <c r="F426" s="111" t="n"/>
      <c r="G426" s="111" t="n"/>
      <c r="H426" s="111" t="n"/>
      <c r="I426" s="113">
        <f>IF($A426="","",MONTH($A426))</f>
        <v/>
      </c>
      <c r="J426" s="113">
        <f>IF($A426="","",YEAR($A426))</f>
        <v/>
      </c>
      <c r="K426" s="113">
        <f>IFERROR(INDEX(Setup!$I$7:$I$22,MATCH($C426,Setup!$D$7:$D$22,0)),"")</f>
        <v/>
      </c>
      <c r="L426" s="88" t="n"/>
      <c r="M426" s="88" t="n"/>
      <c r="N426" s="88" t="n"/>
      <c r="O426" s="88" t="n"/>
      <c r="P426" s="88" t="n"/>
      <c r="Q426" s="88" t="n"/>
      <c r="R426" s="88" t="n"/>
      <c r="S426" s="88" t="n"/>
      <c r="T426" s="88" t="n"/>
      <c r="U426" s="88" t="n"/>
      <c r="V426" s="88" t="n"/>
      <c r="W426" s="88" t="n"/>
      <c r="X426" s="88" t="n"/>
      <c r="Y426" s="88" t="n"/>
      <c r="Z426" s="88" t="n"/>
    </row>
    <row r="427" ht="15" customHeight="1" s="86">
      <c r="A427" s="107" t="n"/>
      <c r="B427" s="95" t="n"/>
      <c r="C427" s="102" t="n"/>
      <c r="D427" s="102" t="n"/>
      <c r="E427" s="97" t="n"/>
      <c r="F427" s="102" t="n"/>
      <c r="G427" s="102" t="n"/>
      <c r="H427" s="102" t="n"/>
      <c r="I427" s="113">
        <f>IF($A427="","",MONTH($A427))</f>
        <v/>
      </c>
      <c r="J427" s="113">
        <f>IF($A427="","",YEAR($A427))</f>
        <v/>
      </c>
      <c r="K427" s="113">
        <f>IFERROR(INDEX(Setup!$I$7:$I$22,MATCH($C427,Setup!$D$7:$D$22,0)),"")</f>
        <v/>
      </c>
      <c r="L427" s="88" t="n"/>
      <c r="M427" s="88" t="n"/>
      <c r="N427" s="88" t="n"/>
      <c r="O427" s="88" t="n"/>
      <c r="P427" s="88" t="n"/>
      <c r="Q427" s="88" t="n"/>
      <c r="R427" s="88" t="n"/>
      <c r="S427" s="88" t="n"/>
      <c r="T427" s="88" t="n"/>
      <c r="U427" s="88" t="n"/>
      <c r="V427" s="88" t="n"/>
      <c r="W427" s="88" t="n"/>
      <c r="X427" s="88" t="n"/>
      <c r="Y427" s="88" t="n"/>
      <c r="Z427" s="88" t="n"/>
    </row>
    <row r="428" ht="15" customHeight="1" s="86">
      <c r="A428" s="109" t="n"/>
      <c r="B428" s="110" t="n"/>
      <c r="C428" s="111" t="n"/>
      <c r="D428" s="111" t="n"/>
      <c r="E428" s="112" t="n"/>
      <c r="F428" s="111" t="n"/>
      <c r="G428" s="111" t="n"/>
      <c r="H428" s="111" t="n"/>
      <c r="I428" s="113">
        <f>IF($A428="","",MONTH($A428))</f>
        <v/>
      </c>
      <c r="J428" s="113">
        <f>IF($A428="","",YEAR($A428))</f>
        <v/>
      </c>
      <c r="K428" s="113">
        <f>IFERROR(INDEX(Setup!$I$7:$I$22,MATCH($C428,Setup!$D$7:$D$22,0)),"")</f>
        <v/>
      </c>
      <c r="L428" s="88" t="n"/>
      <c r="M428" s="88" t="n"/>
      <c r="N428" s="88" t="n"/>
      <c r="O428" s="88" t="n"/>
      <c r="P428" s="88" t="n"/>
      <c r="Q428" s="88" t="n"/>
      <c r="R428" s="88" t="n"/>
      <c r="S428" s="88" t="n"/>
      <c r="T428" s="88" t="n"/>
      <c r="U428" s="88" t="n"/>
      <c r="V428" s="88" t="n"/>
      <c r="W428" s="88" t="n"/>
      <c r="X428" s="88" t="n"/>
      <c r="Y428" s="88" t="n"/>
      <c r="Z428" s="88" t="n"/>
    </row>
    <row r="429" ht="15" customHeight="1" s="86">
      <c r="A429" s="107" t="n"/>
      <c r="B429" s="95" t="n"/>
      <c r="C429" s="102" t="n"/>
      <c r="D429" s="102" t="n"/>
      <c r="E429" s="97" t="n"/>
      <c r="F429" s="102" t="n"/>
      <c r="G429" s="102" t="n"/>
      <c r="H429" s="102" t="n"/>
      <c r="I429" s="113">
        <f>IF($A429="","",MONTH($A429))</f>
        <v/>
      </c>
      <c r="J429" s="113">
        <f>IF($A429="","",YEAR($A429))</f>
        <v/>
      </c>
      <c r="K429" s="113">
        <f>IFERROR(INDEX(Setup!$I$7:$I$22,MATCH($C429,Setup!$D$7:$D$22,0)),"")</f>
        <v/>
      </c>
      <c r="L429" s="88" t="n"/>
      <c r="M429" s="88" t="n"/>
      <c r="N429" s="88" t="n"/>
      <c r="O429" s="88" t="n"/>
      <c r="P429" s="88" t="n"/>
      <c r="Q429" s="88" t="n"/>
      <c r="R429" s="88" t="n"/>
      <c r="S429" s="88" t="n"/>
      <c r="T429" s="88" t="n"/>
      <c r="U429" s="88" t="n"/>
      <c r="V429" s="88" t="n"/>
      <c r="W429" s="88" t="n"/>
      <c r="X429" s="88" t="n"/>
      <c r="Y429" s="88" t="n"/>
      <c r="Z429" s="88" t="n"/>
    </row>
    <row r="430" ht="15" customHeight="1" s="86">
      <c r="A430" s="109" t="n"/>
      <c r="B430" s="110" t="n"/>
      <c r="C430" s="111" t="n"/>
      <c r="D430" s="111" t="n"/>
      <c r="E430" s="112" t="n"/>
      <c r="F430" s="111" t="n"/>
      <c r="G430" s="111" t="n"/>
      <c r="H430" s="111" t="n"/>
      <c r="I430" s="113">
        <f>IF($A430="","",MONTH($A430))</f>
        <v/>
      </c>
      <c r="J430" s="113">
        <f>IF($A430="","",YEAR($A430))</f>
        <v/>
      </c>
      <c r="K430" s="113">
        <f>IFERROR(INDEX(Setup!$I$7:$I$22,MATCH($C430,Setup!$D$7:$D$22,0)),"")</f>
        <v/>
      </c>
      <c r="L430" s="88" t="n"/>
      <c r="M430" s="88" t="n"/>
      <c r="N430" s="88" t="n"/>
      <c r="O430" s="88" t="n"/>
      <c r="P430" s="88" t="n"/>
      <c r="Q430" s="88" t="n"/>
      <c r="R430" s="88" t="n"/>
      <c r="S430" s="88" t="n"/>
      <c r="T430" s="88" t="n"/>
      <c r="U430" s="88" t="n"/>
      <c r="V430" s="88" t="n"/>
      <c r="W430" s="88" t="n"/>
      <c r="X430" s="88" t="n"/>
      <c r="Y430" s="88" t="n"/>
      <c r="Z430" s="88" t="n"/>
    </row>
    <row r="431" ht="15" customHeight="1" s="86">
      <c r="A431" s="107" t="n"/>
      <c r="B431" s="95" t="n"/>
      <c r="C431" s="102" t="n"/>
      <c r="D431" s="102" t="n"/>
      <c r="E431" s="97" t="n"/>
      <c r="F431" s="102" t="n"/>
      <c r="G431" s="102" t="n"/>
      <c r="H431" s="102" t="n"/>
      <c r="I431" s="113">
        <f>IF($A431="","",MONTH($A431))</f>
        <v/>
      </c>
      <c r="J431" s="113">
        <f>IF($A431="","",YEAR($A431))</f>
        <v/>
      </c>
      <c r="K431" s="113">
        <f>IFERROR(INDEX(Setup!$I$7:$I$22,MATCH($C431,Setup!$D$7:$D$22,0)),"")</f>
        <v/>
      </c>
      <c r="L431" s="88" t="n"/>
      <c r="M431" s="88" t="n"/>
      <c r="N431" s="88" t="n"/>
      <c r="O431" s="88" t="n"/>
      <c r="P431" s="88" t="n"/>
      <c r="Q431" s="88" t="n"/>
      <c r="R431" s="88" t="n"/>
      <c r="S431" s="88" t="n"/>
      <c r="T431" s="88" t="n"/>
      <c r="U431" s="88" t="n"/>
      <c r="V431" s="88" t="n"/>
      <c r="W431" s="88" t="n"/>
      <c r="X431" s="88" t="n"/>
      <c r="Y431" s="88" t="n"/>
      <c r="Z431" s="88" t="n"/>
    </row>
    <row r="432" ht="15" customHeight="1" s="86">
      <c r="A432" s="109" t="n"/>
      <c r="B432" s="110" t="n"/>
      <c r="C432" s="111" t="n"/>
      <c r="D432" s="111" t="n"/>
      <c r="E432" s="112" t="n"/>
      <c r="F432" s="111" t="n"/>
      <c r="G432" s="111" t="n"/>
      <c r="H432" s="111" t="n"/>
      <c r="I432" s="113">
        <f>IF($A432="","",MONTH($A432))</f>
        <v/>
      </c>
      <c r="J432" s="113">
        <f>IF($A432="","",YEAR($A432))</f>
        <v/>
      </c>
      <c r="K432" s="113">
        <f>IFERROR(INDEX(Setup!$I$7:$I$22,MATCH($C432,Setup!$D$7:$D$22,0)),"")</f>
        <v/>
      </c>
      <c r="L432" s="88" t="n"/>
      <c r="M432" s="88" t="n"/>
      <c r="N432" s="88" t="n"/>
      <c r="O432" s="88" t="n"/>
      <c r="P432" s="88" t="n"/>
      <c r="Q432" s="88" t="n"/>
      <c r="R432" s="88" t="n"/>
      <c r="S432" s="88" t="n"/>
      <c r="T432" s="88" t="n"/>
      <c r="U432" s="88" t="n"/>
      <c r="V432" s="88" t="n"/>
      <c r="W432" s="88" t="n"/>
      <c r="X432" s="88" t="n"/>
      <c r="Y432" s="88" t="n"/>
      <c r="Z432" s="88" t="n"/>
    </row>
    <row r="433" ht="15" customHeight="1" s="86">
      <c r="A433" s="107" t="n"/>
      <c r="B433" s="95" t="n"/>
      <c r="C433" s="102" t="n"/>
      <c r="D433" s="102" t="n"/>
      <c r="E433" s="97" t="n"/>
      <c r="F433" s="102" t="n"/>
      <c r="G433" s="102" t="n"/>
      <c r="H433" s="102" t="n"/>
      <c r="I433" s="113">
        <f>IF($A433="","",MONTH($A433))</f>
        <v/>
      </c>
      <c r="J433" s="113">
        <f>IF($A433="","",YEAR($A433))</f>
        <v/>
      </c>
      <c r="K433" s="113">
        <f>IFERROR(INDEX(Setup!$I$7:$I$22,MATCH($C433,Setup!$D$7:$D$22,0)),"")</f>
        <v/>
      </c>
      <c r="L433" s="88" t="n"/>
      <c r="M433" s="88" t="n"/>
      <c r="N433" s="88" t="n"/>
      <c r="O433" s="88" t="n"/>
      <c r="P433" s="88" t="n"/>
      <c r="Q433" s="88" t="n"/>
      <c r="R433" s="88" t="n"/>
      <c r="S433" s="88" t="n"/>
      <c r="T433" s="88" t="n"/>
      <c r="U433" s="88" t="n"/>
      <c r="V433" s="88" t="n"/>
      <c r="W433" s="88" t="n"/>
      <c r="X433" s="88" t="n"/>
      <c r="Y433" s="88" t="n"/>
      <c r="Z433" s="88" t="n"/>
    </row>
    <row r="434" ht="15" customHeight="1" s="86">
      <c r="A434" s="109" t="n"/>
      <c r="B434" s="110" t="n"/>
      <c r="C434" s="111" t="n"/>
      <c r="D434" s="111" t="n"/>
      <c r="E434" s="112" t="n"/>
      <c r="F434" s="111" t="n"/>
      <c r="G434" s="111" t="n"/>
      <c r="H434" s="111" t="n"/>
      <c r="I434" s="113">
        <f>IF($A434="","",MONTH($A434))</f>
        <v/>
      </c>
      <c r="J434" s="113">
        <f>IF($A434="","",YEAR($A434))</f>
        <v/>
      </c>
      <c r="K434" s="113">
        <f>IFERROR(INDEX(Setup!$I$7:$I$22,MATCH($C434,Setup!$D$7:$D$22,0)),"")</f>
        <v/>
      </c>
      <c r="L434" s="88" t="n"/>
      <c r="M434" s="88" t="n"/>
      <c r="N434" s="88" t="n"/>
      <c r="O434" s="88" t="n"/>
      <c r="P434" s="88" t="n"/>
      <c r="Q434" s="88" t="n"/>
      <c r="R434" s="88" t="n"/>
      <c r="S434" s="88" t="n"/>
      <c r="T434" s="88" t="n"/>
      <c r="U434" s="88" t="n"/>
      <c r="V434" s="88" t="n"/>
      <c r="W434" s="88" t="n"/>
      <c r="X434" s="88" t="n"/>
      <c r="Y434" s="88" t="n"/>
      <c r="Z434" s="88" t="n"/>
    </row>
    <row r="435" ht="15" customHeight="1" s="86">
      <c r="A435" s="107" t="n"/>
      <c r="B435" s="95" t="n"/>
      <c r="C435" s="102" t="n"/>
      <c r="D435" s="102" t="n"/>
      <c r="E435" s="97" t="n"/>
      <c r="F435" s="102" t="n"/>
      <c r="G435" s="102" t="n"/>
      <c r="H435" s="102" t="n"/>
      <c r="I435" s="113">
        <f>IF($A435="","",MONTH($A435))</f>
        <v/>
      </c>
      <c r="J435" s="113">
        <f>IF($A435="","",YEAR($A435))</f>
        <v/>
      </c>
      <c r="K435" s="113">
        <f>IFERROR(INDEX(Setup!$I$7:$I$22,MATCH($C435,Setup!$D$7:$D$22,0)),"")</f>
        <v/>
      </c>
      <c r="L435" s="88" t="n"/>
      <c r="M435" s="88" t="n"/>
      <c r="N435" s="88" t="n"/>
      <c r="O435" s="88" t="n"/>
      <c r="P435" s="88" t="n"/>
      <c r="Q435" s="88" t="n"/>
      <c r="R435" s="88" t="n"/>
      <c r="S435" s="88" t="n"/>
      <c r="T435" s="88" t="n"/>
      <c r="U435" s="88" t="n"/>
      <c r="V435" s="88" t="n"/>
      <c r="W435" s="88" t="n"/>
      <c r="X435" s="88" t="n"/>
      <c r="Y435" s="88" t="n"/>
      <c r="Z435" s="88" t="n"/>
    </row>
    <row r="436" ht="15" customHeight="1" s="86">
      <c r="A436" s="109" t="n"/>
      <c r="B436" s="110" t="n"/>
      <c r="C436" s="111" t="n"/>
      <c r="D436" s="111" t="n"/>
      <c r="E436" s="112" t="n"/>
      <c r="F436" s="111" t="n"/>
      <c r="G436" s="111" t="n"/>
      <c r="H436" s="111" t="n"/>
      <c r="I436" s="113">
        <f>IF($A436="","",MONTH($A436))</f>
        <v/>
      </c>
      <c r="J436" s="113">
        <f>IF($A436="","",YEAR($A436))</f>
        <v/>
      </c>
      <c r="K436" s="113">
        <f>IFERROR(INDEX(Setup!$I$7:$I$22,MATCH($C436,Setup!$D$7:$D$22,0)),"")</f>
        <v/>
      </c>
      <c r="L436" s="88" t="n"/>
      <c r="M436" s="88" t="n"/>
      <c r="N436" s="88" t="n"/>
      <c r="O436" s="88" t="n"/>
      <c r="P436" s="88" t="n"/>
      <c r="Q436" s="88" t="n"/>
      <c r="R436" s="88" t="n"/>
      <c r="S436" s="88" t="n"/>
      <c r="T436" s="88" t="n"/>
      <c r="U436" s="88" t="n"/>
      <c r="V436" s="88" t="n"/>
      <c r="W436" s="88" t="n"/>
      <c r="X436" s="88" t="n"/>
      <c r="Y436" s="88" t="n"/>
      <c r="Z436" s="88" t="n"/>
    </row>
    <row r="437" ht="15" customHeight="1" s="86">
      <c r="A437" s="107" t="n"/>
      <c r="B437" s="95" t="n"/>
      <c r="C437" s="102" t="n"/>
      <c r="D437" s="102" t="n"/>
      <c r="E437" s="97" t="n"/>
      <c r="F437" s="102" t="n"/>
      <c r="G437" s="102" t="n"/>
      <c r="H437" s="102" t="n"/>
      <c r="I437" s="113">
        <f>IF($A437="","",MONTH($A437))</f>
        <v/>
      </c>
      <c r="J437" s="113">
        <f>IF($A437="","",YEAR($A437))</f>
        <v/>
      </c>
      <c r="K437" s="113">
        <f>IFERROR(INDEX(Setup!$I$7:$I$22,MATCH($C437,Setup!$D$7:$D$22,0)),"")</f>
        <v/>
      </c>
      <c r="L437" s="88" t="n"/>
      <c r="M437" s="88" t="n"/>
      <c r="N437" s="88" t="n"/>
      <c r="O437" s="88" t="n"/>
      <c r="P437" s="88" t="n"/>
      <c r="Q437" s="88" t="n"/>
      <c r="R437" s="88" t="n"/>
      <c r="S437" s="88" t="n"/>
      <c r="T437" s="88" t="n"/>
      <c r="U437" s="88" t="n"/>
      <c r="V437" s="88" t="n"/>
      <c r="W437" s="88" t="n"/>
      <c r="X437" s="88" t="n"/>
      <c r="Y437" s="88" t="n"/>
      <c r="Z437" s="88" t="n"/>
    </row>
    <row r="438" ht="15" customHeight="1" s="86">
      <c r="A438" s="109" t="n"/>
      <c r="B438" s="110" t="n"/>
      <c r="C438" s="111" t="n"/>
      <c r="D438" s="111" t="n"/>
      <c r="E438" s="112" t="n"/>
      <c r="F438" s="111" t="n"/>
      <c r="G438" s="111" t="n"/>
      <c r="H438" s="111" t="n"/>
      <c r="I438" s="113">
        <f>IF($A438="","",MONTH($A438))</f>
        <v/>
      </c>
      <c r="J438" s="113">
        <f>IF($A438="","",YEAR($A438))</f>
        <v/>
      </c>
      <c r="K438" s="113">
        <f>IFERROR(INDEX(Setup!$I$7:$I$22,MATCH($C438,Setup!$D$7:$D$22,0)),"")</f>
        <v/>
      </c>
      <c r="L438" s="88" t="n"/>
      <c r="M438" s="88" t="n"/>
      <c r="N438" s="88" t="n"/>
      <c r="O438" s="88" t="n"/>
      <c r="P438" s="88" t="n"/>
      <c r="Q438" s="88" t="n"/>
      <c r="R438" s="88" t="n"/>
      <c r="S438" s="88" t="n"/>
      <c r="T438" s="88" t="n"/>
      <c r="U438" s="88" t="n"/>
      <c r="V438" s="88" t="n"/>
      <c r="W438" s="88" t="n"/>
      <c r="X438" s="88" t="n"/>
      <c r="Y438" s="88" t="n"/>
      <c r="Z438" s="88" t="n"/>
    </row>
    <row r="439" ht="15" customHeight="1" s="86">
      <c r="A439" s="107" t="n"/>
      <c r="B439" s="95" t="n"/>
      <c r="C439" s="102" t="n"/>
      <c r="D439" s="102" t="n"/>
      <c r="E439" s="97" t="n"/>
      <c r="F439" s="102" t="n"/>
      <c r="G439" s="102" t="n"/>
      <c r="H439" s="102" t="n"/>
      <c r="I439" s="113">
        <f>IF($A439="","",MONTH($A439))</f>
        <v/>
      </c>
      <c r="J439" s="113">
        <f>IF($A439="","",YEAR($A439))</f>
        <v/>
      </c>
      <c r="K439" s="113">
        <f>IFERROR(INDEX(Setup!$I$7:$I$22,MATCH($C439,Setup!$D$7:$D$22,0)),"")</f>
        <v/>
      </c>
      <c r="L439" s="88" t="n"/>
      <c r="M439" s="88" t="n"/>
      <c r="N439" s="88" t="n"/>
      <c r="O439" s="88" t="n"/>
      <c r="P439" s="88" t="n"/>
      <c r="Q439" s="88" t="n"/>
      <c r="R439" s="88" t="n"/>
      <c r="S439" s="88" t="n"/>
      <c r="T439" s="88" t="n"/>
      <c r="U439" s="88" t="n"/>
      <c r="V439" s="88" t="n"/>
      <c r="W439" s="88" t="n"/>
      <c r="X439" s="88" t="n"/>
      <c r="Y439" s="88" t="n"/>
      <c r="Z439" s="88" t="n"/>
    </row>
    <row r="440" ht="15" customHeight="1" s="86">
      <c r="A440" s="109" t="n"/>
      <c r="B440" s="110" t="n"/>
      <c r="C440" s="111" t="n"/>
      <c r="D440" s="111" t="n"/>
      <c r="E440" s="112" t="n"/>
      <c r="F440" s="111" t="n"/>
      <c r="G440" s="111" t="n"/>
      <c r="H440" s="111" t="n"/>
      <c r="I440" s="113">
        <f>IF($A440="","",MONTH($A440))</f>
        <v/>
      </c>
      <c r="J440" s="113">
        <f>IF($A440="","",YEAR($A440))</f>
        <v/>
      </c>
      <c r="K440" s="113">
        <f>IFERROR(INDEX(Setup!$I$7:$I$22,MATCH($C440,Setup!$D$7:$D$22,0)),"")</f>
        <v/>
      </c>
      <c r="L440" s="88" t="n"/>
      <c r="M440" s="88" t="n"/>
      <c r="N440" s="88" t="n"/>
      <c r="O440" s="88" t="n"/>
      <c r="P440" s="88" t="n"/>
      <c r="Q440" s="88" t="n"/>
      <c r="R440" s="88" t="n"/>
      <c r="S440" s="88" t="n"/>
      <c r="T440" s="88" t="n"/>
      <c r="U440" s="88" t="n"/>
      <c r="V440" s="88" t="n"/>
      <c r="W440" s="88" t="n"/>
      <c r="X440" s="88" t="n"/>
      <c r="Y440" s="88" t="n"/>
      <c r="Z440" s="88" t="n"/>
    </row>
    <row r="441" ht="15" customHeight="1" s="86">
      <c r="A441" s="107" t="n"/>
      <c r="B441" s="95" t="n"/>
      <c r="C441" s="102" t="n"/>
      <c r="D441" s="102" t="n"/>
      <c r="E441" s="97" t="n"/>
      <c r="F441" s="102" t="n"/>
      <c r="G441" s="102" t="n"/>
      <c r="H441" s="102" t="n"/>
      <c r="I441" s="113">
        <f>IF($A441="","",MONTH($A441))</f>
        <v/>
      </c>
      <c r="J441" s="113">
        <f>IF($A441="","",YEAR($A441))</f>
        <v/>
      </c>
      <c r="K441" s="113">
        <f>IFERROR(INDEX(Setup!$I$7:$I$22,MATCH($C441,Setup!$D$7:$D$22,0)),"")</f>
        <v/>
      </c>
      <c r="L441" s="88" t="n"/>
      <c r="M441" s="88" t="n"/>
      <c r="N441" s="88" t="n"/>
      <c r="O441" s="88" t="n"/>
      <c r="P441" s="88" t="n"/>
      <c r="Q441" s="88" t="n"/>
      <c r="R441" s="88" t="n"/>
      <c r="S441" s="88" t="n"/>
      <c r="T441" s="88" t="n"/>
      <c r="U441" s="88" t="n"/>
      <c r="V441" s="88" t="n"/>
      <c r="W441" s="88" t="n"/>
      <c r="X441" s="88" t="n"/>
      <c r="Y441" s="88" t="n"/>
      <c r="Z441" s="88" t="n"/>
    </row>
    <row r="442" ht="15" customHeight="1" s="86">
      <c r="A442" s="109" t="n"/>
      <c r="B442" s="110" t="n"/>
      <c r="C442" s="111" t="n"/>
      <c r="D442" s="111" t="n"/>
      <c r="E442" s="112" t="n"/>
      <c r="F442" s="111" t="n"/>
      <c r="G442" s="111" t="n"/>
      <c r="H442" s="111" t="n"/>
      <c r="I442" s="113">
        <f>IF($A442="","",MONTH($A442))</f>
        <v/>
      </c>
      <c r="J442" s="113">
        <f>IF($A442="","",YEAR($A442))</f>
        <v/>
      </c>
      <c r="K442" s="113">
        <f>IFERROR(INDEX(Setup!$I$7:$I$22,MATCH($C442,Setup!$D$7:$D$22,0)),"")</f>
        <v/>
      </c>
      <c r="L442" s="88" t="n"/>
      <c r="M442" s="88" t="n"/>
      <c r="N442" s="88" t="n"/>
      <c r="O442" s="88" t="n"/>
      <c r="P442" s="88" t="n"/>
      <c r="Q442" s="88" t="n"/>
      <c r="R442" s="88" t="n"/>
      <c r="S442" s="88" t="n"/>
      <c r="T442" s="88" t="n"/>
      <c r="U442" s="88" t="n"/>
      <c r="V442" s="88" t="n"/>
      <c r="W442" s="88" t="n"/>
      <c r="X442" s="88" t="n"/>
      <c r="Y442" s="88" t="n"/>
      <c r="Z442" s="88" t="n"/>
    </row>
    <row r="443" ht="15" customHeight="1" s="86">
      <c r="A443" s="107" t="n"/>
      <c r="B443" s="95" t="n"/>
      <c r="C443" s="102" t="n"/>
      <c r="D443" s="102" t="n"/>
      <c r="E443" s="97" t="n"/>
      <c r="F443" s="102" t="n"/>
      <c r="G443" s="102" t="n"/>
      <c r="H443" s="102" t="n"/>
      <c r="I443" s="113">
        <f>IF($A443="","",MONTH($A443))</f>
        <v/>
      </c>
      <c r="J443" s="113">
        <f>IF($A443="","",YEAR($A443))</f>
        <v/>
      </c>
      <c r="K443" s="113">
        <f>IFERROR(INDEX(Setup!$I$7:$I$22,MATCH($C443,Setup!$D$7:$D$22,0)),"")</f>
        <v/>
      </c>
      <c r="L443" s="88" t="n"/>
      <c r="M443" s="88" t="n"/>
      <c r="N443" s="88" t="n"/>
      <c r="O443" s="88" t="n"/>
      <c r="P443" s="88" t="n"/>
      <c r="Q443" s="88" t="n"/>
      <c r="R443" s="88" t="n"/>
      <c r="S443" s="88" t="n"/>
      <c r="T443" s="88" t="n"/>
      <c r="U443" s="88" t="n"/>
      <c r="V443" s="88" t="n"/>
      <c r="W443" s="88" t="n"/>
      <c r="X443" s="88" t="n"/>
      <c r="Y443" s="88" t="n"/>
      <c r="Z443" s="88" t="n"/>
    </row>
    <row r="444" ht="15" customHeight="1" s="86">
      <c r="A444" s="109" t="n"/>
      <c r="B444" s="110" t="n"/>
      <c r="C444" s="111" t="n"/>
      <c r="D444" s="111" t="n"/>
      <c r="E444" s="112" t="n"/>
      <c r="F444" s="111" t="n"/>
      <c r="G444" s="111" t="n"/>
      <c r="H444" s="111" t="n"/>
      <c r="I444" s="113">
        <f>IF($A444="","",MONTH($A444))</f>
        <v/>
      </c>
      <c r="J444" s="113">
        <f>IF($A444="","",YEAR($A444))</f>
        <v/>
      </c>
      <c r="K444" s="113">
        <f>IFERROR(INDEX(Setup!$I$7:$I$22,MATCH($C444,Setup!$D$7:$D$22,0)),"")</f>
        <v/>
      </c>
      <c r="L444" s="88" t="n"/>
      <c r="M444" s="88" t="n"/>
      <c r="N444" s="88" t="n"/>
      <c r="O444" s="88" t="n"/>
      <c r="P444" s="88" t="n"/>
      <c r="Q444" s="88" t="n"/>
      <c r="R444" s="88" t="n"/>
      <c r="S444" s="88" t="n"/>
      <c r="T444" s="88" t="n"/>
      <c r="U444" s="88" t="n"/>
      <c r="V444" s="88" t="n"/>
      <c r="W444" s="88" t="n"/>
      <c r="X444" s="88" t="n"/>
      <c r="Y444" s="88" t="n"/>
      <c r="Z444" s="88" t="n"/>
    </row>
    <row r="445" ht="15" customHeight="1" s="86">
      <c r="A445" s="107" t="n"/>
      <c r="B445" s="95" t="n"/>
      <c r="C445" s="102" t="n"/>
      <c r="D445" s="102" t="n"/>
      <c r="E445" s="97" t="n"/>
      <c r="F445" s="102" t="n"/>
      <c r="G445" s="102" t="n"/>
      <c r="H445" s="102" t="n"/>
      <c r="I445" s="113">
        <f>IF($A445="","",MONTH($A445))</f>
        <v/>
      </c>
      <c r="J445" s="113">
        <f>IF($A445="","",YEAR($A445))</f>
        <v/>
      </c>
      <c r="K445" s="113">
        <f>IFERROR(INDEX(Setup!$I$7:$I$22,MATCH($C445,Setup!$D$7:$D$22,0)),"")</f>
        <v/>
      </c>
      <c r="L445" s="88" t="n"/>
      <c r="M445" s="88" t="n"/>
      <c r="N445" s="88" t="n"/>
      <c r="O445" s="88" t="n"/>
      <c r="P445" s="88" t="n"/>
      <c r="Q445" s="88" t="n"/>
      <c r="R445" s="88" t="n"/>
      <c r="S445" s="88" t="n"/>
      <c r="T445" s="88" t="n"/>
      <c r="U445" s="88" t="n"/>
      <c r="V445" s="88" t="n"/>
      <c r="W445" s="88" t="n"/>
      <c r="X445" s="88" t="n"/>
      <c r="Y445" s="88" t="n"/>
      <c r="Z445" s="88" t="n"/>
    </row>
    <row r="446" ht="15" customHeight="1" s="86">
      <c r="A446" s="109" t="n"/>
      <c r="B446" s="110" t="n"/>
      <c r="C446" s="111" t="n"/>
      <c r="D446" s="111" t="n"/>
      <c r="E446" s="112" t="n"/>
      <c r="F446" s="111" t="n"/>
      <c r="G446" s="111" t="n"/>
      <c r="H446" s="111" t="n"/>
      <c r="I446" s="113">
        <f>IF($A446="","",MONTH($A446))</f>
        <v/>
      </c>
      <c r="J446" s="113">
        <f>IF($A446="","",YEAR($A446))</f>
        <v/>
      </c>
      <c r="K446" s="113">
        <f>IFERROR(INDEX(Setup!$I$7:$I$22,MATCH($C446,Setup!$D$7:$D$22,0)),"")</f>
        <v/>
      </c>
      <c r="L446" s="88" t="n"/>
      <c r="M446" s="88" t="n"/>
      <c r="N446" s="88" t="n"/>
      <c r="O446" s="88" t="n"/>
      <c r="P446" s="88" t="n"/>
      <c r="Q446" s="88" t="n"/>
      <c r="R446" s="88" t="n"/>
      <c r="S446" s="88" t="n"/>
      <c r="T446" s="88" t="n"/>
      <c r="U446" s="88" t="n"/>
      <c r="V446" s="88" t="n"/>
      <c r="W446" s="88" t="n"/>
      <c r="X446" s="88" t="n"/>
      <c r="Y446" s="88" t="n"/>
      <c r="Z446" s="88" t="n"/>
    </row>
    <row r="447" ht="15" customHeight="1" s="86">
      <c r="A447" s="107" t="n"/>
      <c r="B447" s="95" t="n"/>
      <c r="C447" s="102" t="n"/>
      <c r="D447" s="102" t="n"/>
      <c r="E447" s="97" t="n"/>
      <c r="F447" s="102" t="n"/>
      <c r="G447" s="102" t="n"/>
      <c r="H447" s="102" t="n"/>
      <c r="I447" s="113">
        <f>IF($A447="","",MONTH($A447))</f>
        <v/>
      </c>
      <c r="J447" s="113">
        <f>IF($A447="","",YEAR($A447))</f>
        <v/>
      </c>
      <c r="K447" s="113">
        <f>IFERROR(INDEX(Setup!$I$7:$I$22,MATCH($C447,Setup!$D$7:$D$22,0)),"")</f>
        <v/>
      </c>
      <c r="L447" s="88" t="n"/>
      <c r="M447" s="88" t="n"/>
      <c r="N447" s="88" t="n"/>
      <c r="O447" s="88" t="n"/>
      <c r="P447" s="88" t="n"/>
      <c r="Q447" s="88" t="n"/>
      <c r="R447" s="88" t="n"/>
      <c r="S447" s="88" t="n"/>
      <c r="T447" s="88" t="n"/>
      <c r="U447" s="88" t="n"/>
      <c r="V447" s="88" t="n"/>
      <c r="W447" s="88" t="n"/>
      <c r="X447" s="88" t="n"/>
      <c r="Y447" s="88" t="n"/>
      <c r="Z447" s="88" t="n"/>
    </row>
    <row r="448" ht="15" customHeight="1" s="86">
      <c r="A448" s="109" t="n"/>
      <c r="B448" s="110" t="n"/>
      <c r="C448" s="111" t="n"/>
      <c r="D448" s="111" t="n"/>
      <c r="E448" s="112" t="n"/>
      <c r="F448" s="111" t="n"/>
      <c r="G448" s="111" t="n"/>
      <c r="H448" s="111" t="n"/>
      <c r="I448" s="113">
        <f>IF($A448="","",MONTH($A448))</f>
        <v/>
      </c>
      <c r="J448" s="113">
        <f>IF($A448="","",YEAR($A448))</f>
        <v/>
      </c>
      <c r="K448" s="113">
        <f>IFERROR(INDEX(Setup!$I$7:$I$22,MATCH($C448,Setup!$D$7:$D$22,0)),"")</f>
        <v/>
      </c>
      <c r="L448" s="88" t="n"/>
      <c r="M448" s="88" t="n"/>
      <c r="N448" s="88" t="n"/>
      <c r="O448" s="88" t="n"/>
      <c r="P448" s="88" t="n"/>
      <c r="Q448" s="88" t="n"/>
      <c r="R448" s="88" t="n"/>
      <c r="S448" s="88" t="n"/>
      <c r="T448" s="88" t="n"/>
      <c r="U448" s="88" t="n"/>
      <c r="V448" s="88" t="n"/>
      <c r="W448" s="88" t="n"/>
      <c r="X448" s="88" t="n"/>
      <c r="Y448" s="88" t="n"/>
      <c r="Z448" s="88" t="n"/>
    </row>
    <row r="449" ht="15" customHeight="1" s="86">
      <c r="A449" s="107" t="n"/>
      <c r="B449" s="95" t="n"/>
      <c r="C449" s="102" t="n"/>
      <c r="D449" s="102" t="n"/>
      <c r="E449" s="97" t="n"/>
      <c r="F449" s="102" t="n"/>
      <c r="G449" s="102" t="n"/>
      <c r="H449" s="102" t="n"/>
      <c r="I449" s="113">
        <f>IF($A449="","",MONTH($A449))</f>
        <v/>
      </c>
      <c r="J449" s="113">
        <f>IF($A449="","",YEAR($A449))</f>
        <v/>
      </c>
      <c r="K449" s="113">
        <f>IFERROR(INDEX(Setup!$I$7:$I$22,MATCH($C449,Setup!$D$7:$D$22,0)),"")</f>
        <v/>
      </c>
      <c r="L449" s="88" t="n"/>
      <c r="M449" s="88" t="n"/>
      <c r="N449" s="88" t="n"/>
      <c r="O449" s="88" t="n"/>
      <c r="P449" s="88" t="n"/>
      <c r="Q449" s="88" t="n"/>
      <c r="R449" s="88" t="n"/>
      <c r="S449" s="88" t="n"/>
      <c r="T449" s="88" t="n"/>
      <c r="U449" s="88" t="n"/>
      <c r="V449" s="88" t="n"/>
      <c r="W449" s="88" t="n"/>
      <c r="X449" s="88" t="n"/>
      <c r="Y449" s="88" t="n"/>
      <c r="Z449" s="88" t="n"/>
    </row>
    <row r="450" ht="15" customHeight="1" s="86">
      <c r="A450" s="109" t="n"/>
      <c r="B450" s="110" t="n"/>
      <c r="C450" s="111" t="n"/>
      <c r="D450" s="111" t="n"/>
      <c r="E450" s="112" t="n"/>
      <c r="F450" s="111" t="n"/>
      <c r="G450" s="111" t="n"/>
      <c r="H450" s="111" t="n"/>
      <c r="I450" s="113">
        <f>IF($A450="","",MONTH($A450))</f>
        <v/>
      </c>
      <c r="J450" s="113">
        <f>IF($A450="","",YEAR($A450))</f>
        <v/>
      </c>
      <c r="K450" s="113">
        <f>IFERROR(INDEX(Setup!$I$7:$I$22,MATCH($C450,Setup!$D$7:$D$22,0)),"")</f>
        <v/>
      </c>
      <c r="L450" s="88" t="n"/>
      <c r="M450" s="88" t="n"/>
      <c r="N450" s="88" t="n"/>
      <c r="O450" s="88" t="n"/>
      <c r="P450" s="88" t="n"/>
      <c r="Q450" s="88" t="n"/>
      <c r="R450" s="88" t="n"/>
      <c r="S450" s="88" t="n"/>
      <c r="T450" s="88" t="n"/>
      <c r="U450" s="88" t="n"/>
      <c r="V450" s="88" t="n"/>
      <c r="W450" s="88" t="n"/>
      <c r="X450" s="88" t="n"/>
      <c r="Y450" s="88" t="n"/>
      <c r="Z450" s="88" t="n"/>
    </row>
    <row r="451" ht="15" customHeight="1" s="86">
      <c r="A451" s="107" t="n"/>
      <c r="B451" s="95" t="n"/>
      <c r="C451" s="102" t="n"/>
      <c r="D451" s="102" t="n"/>
      <c r="E451" s="97" t="n"/>
      <c r="F451" s="102" t="n"/>
      <c r="G451" s="102" t="n"/>
      <c r="H451" s="102" t="n"/>
      <c r="I451" s="113">
        <f>IF($A451="","",MONTH($A451))</f>
        <v/>
      </c>
      <c r="J451" s="113">
        <f>IF($A451="","",YEAR($A451))</f>
        <v/>
      </c>
      <c r="K451" s="113">
        <f>IFERROR(INDEX(Setup!$I$7:$I$22,MATCH($C451,Setup!$D$7:$D$22,0)),"")</f>
        <v/>
      </c>
      <c r="L451" s="88" t="n"/>
      <c r="M451" s="88" t="n"/>
      <c r="N451" s="88" t="n"/>
      <c r="O451" s="88" t="n"/>
      <c r="P451" s="88" t="n"/>
      <c r="Q451" s="88" t="n"/>
      <c r="R451" s="88" t="n"/>
      <c r="S451" s="88" t="n"/>
      <c r="T451" s="88" t="n"/>
      <c r="U451" s="88" t="n"/>
      <c r="V451" s="88" t="n"/>
      <c r="W451" s="88" t="n"/>
      <c r="X451" s="88" t="n"/>
      <c r="Y451" s="88" t="n"/>
      <c r="Z451" s="88" t="n"/>
    </row>
    <row r="452" ht="15" customHeight="1" s="86">
      <c r="A452" s="109" t="n"/>
      <c r="B452" s="110" t="n"/>
      <c r="C452" s="111" t="n"/>
      <c r="D452" s="111" t="n"/>
      <c r="E452" s="112" t="n"/>
      <c r="F452" s="111" t="n"/>
      <c r="G452" s="111" t="n"/>
      <c r="H452" s="111" t="n"/>
      <c r="I452" s="113">
        <f>IF($A452="","",MONTH($A452))</f>
        <v/>
      </c>
      <c r="J452" s="113">
        <f>IF($A452="","",YEAR($A452))</f>
        <v/>
      </c>
      <c r="K452" s="113">
        <f>IFERROR(INDEX(Setup!$I$7:$I$22,MATCH($C452,Setup!$D$7:$D$22,0)),"")</f>
        <v/>
      </c>
      <c r="L452" s="88" t="n"/>
      <c r="M452" s="88" t="n"/>
      <c r="N452" s="88" t="n"/>
      <c r="O452" s="88" t="n"/>
      <c r="P452" s="88" t="n"/>
      <c r="Q452" s="88" t="n"/>
      <c r="R452" s="88" t="n"/>
      <c r="S452" s="88" t="n"/>
      <c r="T452" s="88" t="n"/>
      <c r="U452" s="88" t="n"/>
      <c r="V452" s="88" t="n"/>
      <c r="W452" s="88" t="n"/>
      <c r="X452" s="88" t="n"/>
      <c r="Y452" s="88" t="n"/>
      <c r="Z452" s="88" t="n"/>
    </row>
    <row r="453" ht="15" customHeight="1" s="86">
      <c r="A453" s="107" t="n"/>
      <c r="B453" s="95" t="n"/>
      <c r="C453" s="102" t="n"/>
      <c r="D453" s="102" t="n"/>
      <c r="E453" s="97" t="n"/>
      <c r="F453" s="102" t="n"/>
      <c r="G453" s="102" t="n"/>
      <c r="H453" s="102" t="n"/>
      <c r="I453" s="113">
        <f>IF($A453="","",MONTH($A453))</f>
        <v/>
      </c>
      <c r="J453" s="113">
        <f>IF($A453="","",YEAR($A453))</f>
        <v/>
      </c>
      <c r="K453" s="113">
        <f>IFERROR(INDEX(Setup!$I$7:$I$22,MATCH($C453,Setup!$D$7:$D$22,0)),"")</f>
        <v/>
      </c>
      <c r="L453" s="88" t="n"/>
      <c r="M453" s="88" t="n"/>
      <c r="N453" s="88" t="n"/>
      <c r="O453" s="88" t="n"/>
      <c r="P453" s="88" t="n"/>
      <c r="Q453" s="88" t="n"/>
      <c r="R453" s="88" t="n"/>
      <c r="S453" s="88" t="n"/>
      <c r="T453" s="88" t="n"/>
      <c r="U453" s="88" t="n"/>
      <c r="V453" s="88" t="n"/>
      <c r="W453" s="88" t="n"/>
      <c r="X453" s="88" t="n"/>
      <c r="Y453" s="88" t="n"/>
      <c r="Z453" s="88" t="n"/>
    </row>
    <row r="454" ht="15" customHeight="1" s="86">
      <c r="A454" s="109" t="n"/>
      <c r="B454" s="110" t="n"/>
      <c r="C454" s="111" t="n"/>
      <c r="D454" s="111" t="n"/>
      <c r="E454" s="112" t="n"/>
      <c r="F454" s="111" t="n"/>
      <c r="G454" s="111" t="n"/>
      <c r="H454" s="111" t="n"/>
      <c r="I454" s="113">
        <f>IF($A454="","",MONTH($A454))</f>
        <v/>
      </c>
      <c r="J454" s="113">
        <f>IF($A454="","",YEAR($A454))</f>
        <v/>
      </c>
      <c r="K454" s="113">
        <f>IFERROR(INDEX(Setup!$I$7:$I$22,MATCH($C454,Setup!$D$7:$D$22,0)),"")</f>
        <v/>
      </c>
      <c r="L454" s="88" t="n"/>
      <c r="M454" s="88" t="n"/>
      <c r="N454" s="88" t="n"/>
      <c r="O454" s="88" t="n"/>
      <c r="P454" s="88" t="n"/>
      <c r="Q454" s="88" t="n"/>
      <c r="R454" s="88" t="n"/>
      <c r="S454" s="88" t="n"/>
      <c r="T454" s="88" t="n"/>
      <c r="U454" s="88" t="n"/>
      <c r="V454" s="88" t="n"/>
      <c r="W454" s="88" t="n"/>
      <c r="X454" s="88" t="n"/>
      <c r="Y454" s="88" t="n"/>
      <c r="Z454" s="88" t="n"/>
    </row>
    <row r="455" ht="15" customHeight="1" s="86">
      <c r="A455" s="107" t="n"/>
      <c r="B455" s="95" t="n"/>
      <c r="C455" s="102" t="n"/>
      <c r="D455" s="102" t="n"/>
      <c r="E455" s="97" t="n"/>
      <c r="F455" s="102" t="n"/>
      <c r="G455" s="102" t="n"/>
      <c r="H455" s="102" t="n"/>
      <c r="I455" s="113">
        <f>IF($A455="","",MONTH($A455))</f>
        <v/>
      </c>
      <c r="J455" s="113">
        <f>IF($A455="","",YEAR($A455))</f>
        <v/>
      </c>
      <c r="K455" s="113">
        <f>IFERROR(INDEX(Setup!$I$7:$I$22,MATCH($C455,Setup!$D$7:$D$22,0)),"")</f>
        <v/>
      </c>
      <c r="L455" s="88" t="n"/>
      <c r="M455" s="88" t="n"/>
      <c r="N455" s="88" t="n"/>
      <c r="O455" s="88" t="n"/>
      <c r="P455" s="88" t="n"/>
      <c r="Q455" s="88" t="n"/>
      <c r="R455" s="88" t="n"/>
      <c r="S455" s="88" t="n"/>
      <c r="T455" s="88" t="n"/>
      <c r="U455" s="88" t="n"/>
      <c r="V455" s="88" t="n"/>
      <c r="W455" s="88" t="n"/>
      <c r="X455" s="88" t="n"/>
      <c r="Y455" s="88" t="n"/>
      <c r="Z455" s="88" t="n"/>
    </row>
    <row r="456" ht="15" customHeight="1" s="86">
      <c r="A456" s="109" t="n"/>
      <c r="B456" s="110" t="n"/>
      <c r="C456" s="111" t="n"/>
      <c r="D456" s="111" t="n"/>
      <c r="E456" s="112" t="n"/>
      <c r="F456" s="111" t="n"/>
      <c r="G456" s="111" t="n"/>
      <c r="H456" s="111" t="n"/>
      <c r="I456" s="113">
        <f>IF($A456="","",MONTH($A456))</f>
        <v/>
      </c>
      <c r="J456" s="113">
        <f>IF($A456="","",YEAR($A456))</f>
        <v/>
      </c>
      <c r="K456" s="113">
        <f>IFERROR(INDEX(Setup!$I$7:$I$22,MATCH($C456,Setup!$D$7:$D$22,0)),"")</f>
        <v/>
      </c>
      <c r="L456" s="88" t="n"/>
      <c r="M456" s="88" t="n"/>
      <c r="N456" s="88" t="n"/>
      <c r="O456" s="88" t="n"/>
      <c r="P456" s="88" t="n"/>
      <c r="Q456" s="88" t="n"/>
      <c r="R456" s="88" t="n"/>
      <c r="S456" s="88" t="n"/>
      <c r="T456" s="88" t="n"/>
      <c r="U456" s="88" t="n"/>
      <c r="V456" s="88" t="n"/>
      <c r="W456" s="88" t="n"/>
      <c r="X456" s="88" t="n"/>
      <c r="Y456" s="88" t="n"/>
      <c r="Z456" s="88" t="n"/>
    </row>
    <row r="457" ht="15" customHeight="1" s="86">
      <c r="A457" s="107" t="n"/>
      <c r="B457" s="95" t="n"/>
      <c r="C457" s="102" t="n"/>
      <c r="D457" s="102" t="n"/>
      <c r="E457" s="97" t="n"/>
      <c r="F457" s="102" t="n"/>
      <c r="G457" s="102" t="n"/>
      <c r="H457" s="102" t="n"/>
      <c r="I457" s="113">
        <f>IF($A457="","",MONTH($A457))</f>
        <v/>
      </c>
      <c r="J457" s="113">
        <f>IF($A457="","",YEAR($A457))</f>
        <v/>
      </c>
      <c r="K457" s="113">
        <f>IFERROR(INDEX(Setup!$I$7:$I$22,MATCH($C457,Setup!$D$7:$D$22,0)),"")</f>
        <v/>
      </c>
      <c r="L457" s="88" t="n"/>
      <c r="M457" s="88" t="n"/>
      <c r="N457" s="88" t="n"/>
      <c r="O457" s="88" t="n"/>
      <c r="P457" s="88" t="n"/>
      <c r="Q457" s="88" t="n"/>
      <c r="R457" s="88" t="n"/>
      <c r="S457" s="88" t="n"/>
      <c r="T457" s="88" t="n"/>
      <c r="U457" s="88" t="n"/>
      <c r="V457" s="88" t="n"/>
      <c r="W457" s="88" t="n"/>
      <c r="X457" s="88" t="n"/>
      <c r="Y457" s="88" t="n"/>
      <c r="Z457" s="88" t="n"/>
    </row>
    <row r="458" ht="15" customHeight="1" s="86">
      <c r="A458" s="109" t="n"/>
      <c r="B458" s="110" t="n"/>
      <c r="C458" s="111" t="n"/>
      <c r="D458" s="111" t="n"/>
      <c r="E458" s="112" t="n"/>
      <c r="F458" s="111" t="n"/>
      <c r="G458" s="111" t="n"/>
      <c r="H458" s="111" t="n"/>
      <c r="I458" s="113">
        <f>IF($A458="","",MONTH($A458))</f>
        <v/>
      </c>
      <c r="J458" s="113">
        <f>IF($A458="","",YEAR($A458))</f>
        <v/>
      </c>
      <c r="K458" s="113">
        <f>IFERROR(INDEX(Setup!$I$7:$I$22,MATCH($C458,Setup!$D$7:$D$22,0)),"")</f>
        <v/>
      </c>
      <c r="L458" s="88" t="n"/>
      <c r="M458" s="88" t="n"/>
      <c r="N458" s="88" t="n"/>
      <c r="O458" s="88" t="n"/>
      <c r="P458" s="88" t="n"/>
      <c r="Q458" s="88" t="n"/>
      <c r="R458" s="88" t="n"/>
      <c r="S458" s="88" t="n"/>
      <c r="T458" s="88" t="n"/>
      <c r="U458" s="88" t="n"/>
      <c r="V458" s="88" t="n"/>
      <c r="W458" s="88" t="n"/>
      <c r="X458" s="88" t="n"/>
      <c r="Y458" s="88" t="n"/>
      <c r="Z458" s="88" t="n"/>
    </row>
    <row r="459" ht="15" customHeight="1" s="86">
      <c r="A459" s="107" t="n"/>
      <c r="B459" s="95" t="n"/>
      <c r="C459" s="102" t="n"/>
      <c r="D459" s="102" t="n"/>
      <c r="E459" s="97" t="n"/>
      <c r="F459" s="102" t="n"/>
      <c r="G459" s="102" t="n"/>
      <c r="H459" s="102" t="n"/>
      <c r="I459" s="113">
        <f>IF($A459="","",MONTH($A459))</f>
        <v/>
      </c>
      <c r="J459" s="113">
        <f>IF($A459="","",YEAR($A459))</f>
        <v/>
      </c>
      <c r="K459" s="113">
        <f>IFERROR(INDEX(Setup!$I$7:$I$22,MATCH($C459,Setup!$D$7:$D$22,0)),"")</f>
        <v/>
      </c>
      <c r="L459" s="88" t="n"/>
      <c r="M459" s="88" t="n"/>
      <c r="N459" s="88" t="n"/>
      <c r="O459" s="88" t="n"/>
      <c r="P459" s="88" t="n"/>
      <c r="Q459" s="88" t="n"/>
      <c r="R459" s="88" t="n"/>
      <c r="S459" s="88" t="n"/>
      <c r="T459" s="88" t="n"/>
      <c r="U459" s="88" t="n"/>
      <c r="V459" s="88" t="n"/>
      <c r="W459" s="88" t="n"/>
      <c r="X459" s="88" t="n"/>
      <c r="Y459" s="88" t="n"/>
      <c r="Z459" s="88" t="n"/>
    </row>
    <row r="460" ht="15" customHeight="1" s="86">
      <c r="A460" s="109" t="n"/>
      <c r="B460" s="110" t="n"/>
      <c r="C460" s="111" t="n"/>
      <c r="D460" s="111" t="n"/>
      <c r="E460" s="112" t="n"/>
      <c r="F460" s="111" t="n"/>
      <c r="G460" s="111" t="n"/>
      <c r="H460" s="111" t="n"/>
      <c r="I460" s="113">
        <f>IF($A460="","",MONTH($A460))</f>
        <v/>
      </c>
      <c r="J460" s="113">
        <f>IF($A460="","",YEAR($A460))</f>
        <v/>
      </c>
      <c r="K460" s="113">
        <f>IFERROR(INDEX(Setup!$I$7:$I$22,MATCH($C460,Setup!$D$7:$D$22,0)),"")</f>
        <v/>
      </c>
      <c r="L460" s="88" t="n"/>
      <c r="M460" s="88" t="n"/>
      <c r="N460" s="88" t="n"/>
      <c r="O460" s="88" t="n"/>
      <c r="P460" s="88" t="n"/>
      <c r="Q460" s="88" t="n"/>
      <c r="R460" s="88" t="n"/>
      <c r="S460" s="88" t="n"/>
      <c r="T460" s="88" t="n"/>
      <c r="U460" s="88" t="n"/>
      <c r="V460" s="88" t="n"/>
      <c r="W460" s="88" t="n"/>
      <c r="X460" s="88" t="n"/>
      <c r="Y460" s="88" t="n"/>
      <c r="Z460" s="88" t="n"/>
    </row>
    <row r="461" ht="15" customHeight="1" s="86">
      <c r="A461" s="107" t="n"/>
      <c r="B461" s="95" t="n"/>
      <c r="C461" s="102" t="n"/>
      <c r="D461" s="102" t="n"/>
      <c r="E461" s="97" t="n"/>
      <c r="F461" s="102" t="n"/>
      <c r="G461" s="102" t="n"/>
      <c r="H461" s="102" t="n"/>
      <c r="I461" s="113">
        <f>IF($A461="","",MONTH($A461))</f>
        <v/>
      </c>
      <c r="J461" s="113">
        <f>IF($A461="","",YEAR($A461))</f>
        <v/>
      </c>
      <c r="K461" s="113">
        <f>IFERROR(INDEX(Setup!$I$7:$I$22,MATCH($C461,Setup!$D$7:$D$22,0)),"")</f>
        <v/>
      </c>
      <c r="L461" s="88" t="n"/>
      <c r="M461" s="88" t="n"/>
      <c r="N461" s="88" t="n"/>
      <c r="O461" s="88" t="n"/>
      <c r="P461" s="88" t="n"/>
      <c r="Q461" s="88" t="n"/>
      <c r="R461" s="88" t="n"/>
      <c r="S461" s="88" t="n"/>
      <c r="T461" s="88" t="n"/>
      <c r="U461" s="88" t="n"/>
      <c r="V461" s="88" t="n"/>
      <c r="W461" s="88" t="n"/>
      <c r="X461" s="88" t="n"/>
      <c r="Y461" s="88" t="n"/>
      <c r="Z461" s="88" t="n"/>
    </row>
    <row r="462" ht="15" customHeight="1" s="86">
      <c r="A462" s="109" t="n"/>
      <c r="B462" s="110" t="n"/>
      <c r="C462" s="111" t="n"/>
      <c r="D462" s="111" t="n"/>
      <c r="E462" s="112" t="n"/>
      <c r="F462" s="111" t="n"/>
      <c r="G462" s="111" t="n"/>
      <c r="H462" s="111" t="n"/>
      <c r="I462" s="113">
        <f>IF($A462="","",MONTH($A462))</f>
        <v/>
      </c>
      <c r="J462" s="113">
        <f>IF($A462="","",YEAR($A462))</f>
        <v/>
      </c>
      <c r="K462" s="113">
        <f>IFERROR(INDEX(Setup!$I$7:$I$22,MATCH($C462,Setup!$D$7:$D$22,0)),"")</f>
        <v/>
      </c>
      <c r="L462" s="88" t="n"/>
      <c r="M462" s="88" t="n"/>
      <c r="N462" s="88" t="n"/>
      <c r="O462" s="88" t="n"/>
      <c r="P462" s="88" t="n"/>
      <c r="Q462" s="88" t="n"/>
      <c r="R462" s="88" t="n"/>
      <c r="S462" s="88" t="n"/>
      <c r="T462" s="88" t="n"/>
      <c r="U462" s="88" t="n"/>
      <c r="V462" s="88" t="n"/>
      <c r="W462" s="88" t="n"/>
      <c r="X462" s="88" t="n"/>
      <c r="Y462" s="88" t="n"/>
      <c r="Z462" s="88" t="n"/>
    </row>
    <row r="463" ht="15" customHeight="1" s="86">
      <c r="A463" s="107" t="n"/>
      <c r="B463" s="95" t="n"/>
      <c r="C463" s="102" t="n"/>
      <c r="D463" s="102" t="n"/>
      <c r="E463" s="97" t="n"/>
      <c r="F463" s="102" t="n"/>
      <c r="G463" s="102" t="n"/>
      <c r="H463" s="102" t="n"/>
      <c r="I463" s="113">
        <f>IF($A463="","",MONTH($A463))</f>
        <v/>
      </c>
      <c r="J463" s="113">
        <f>IF($A463="","",YEAR($A463))</f>
        <v/>
      </c>
      <c r="K463" s="113">
        <f>IFERROR(INDEX(Setup!$I$7:$I$22,MATCH($C463,Setup!$D$7:$D$22,0)),"")</f>
        <v/>
      </c>
      <c r="L463" s="88" t="n"/>
      <c r="M463" s="88" t="n"/>
      <c r="N463" s="88" t="n"/>
      <c r="O463" s="88" t="n"/>
      <c r="P463" s="88" t="n"/>
      <c r="Q463" s="88" t="n"/>
      <c r="R463" s="88" t="n"/>
      <c r="S463" s="88" t="n"/>
      <c r="T463" s="88" t="n"/>
      <c r="U463" s="88" t="n"/>
      <c r="V463" s="88" t="n"/>
      <c r="W463" s="88" t="n"/>
      <c r="X463" s="88" t="n"/>
      <c r="Y463" s="88" t="n"/>
      <c r="Z463" s="88" t="n"/>
    </row>
    <row r="464" ht="15" customHeight="1" s="86">
      <c r="A464" s="109" t="n"/>
      <c r="B464" s="110" t="n"/>
      <c r="C464" s="111" t="n"/>
      <c r="D464" s="111" t="n"/>
      <c r="E464" s="112" t="n"/>
      <c r="F464" s="111" t="n"/>
      <c r="G464" s="111" t="n"/>
      <c r="H464" s="111" t="n"/>
      <c r="I464" s="113">
        <f>IF($A464="","",MONTH($A464))</f>
        <v/>
      </c>
      <c r="J464" s="113">
        <f>IF($A464="","",YEAR($A464))</f>
        <v/>
      </c>
      <c r="K464" s="113">
        <f>IFERROR(INDEX(Setup!$I$7:$I$22,MATCH($C464,Setup!$D$7:$D$22,0)),"")</f>
        <v/>
      </c>
      <c r="L464" s="88" t="n"/>
      <c r="M464" s="88" t="n"/>
      <c r="N464" s="88" t="n"/>
      <c r="O464" s="88" t="n"/>
      <c r="P464" s="88" t="n"/>
      <c r="Q464" s="88" t="n"/>
      <c r="R464" s="88" t="n"/>
      <c r="S464" s="88" t="n"/>
      <c r="T464" s="88" t="n"/>
      <c r="U464" s="88" t="n"/>
      <c r="V464" s="88" t="n"/>
      <c r="W464" s="88" t="n"/>
      <c r="X464" s="88" t="n"/>
      <c r="Y464" s="88" t="n"/>
      <c r="Z464" s="88" t="n"/>
    </row>
    <row r="465" ht="15" customHeight="1" s="86">
      <c r="A465" s="107" t="n"/>
      <c r="B465" s="95" t="n"/>
      <c r="C465" s="102" t="n"/>
      <c r="D465" s="102" t="n"/>
      <c r="E465" s="97" t="n"/>
      <c r="F465" s="102" t="n"/>
      <c r="G465" s="102" t="n"/>
      <c r="H465" s="102" t="n"/>
      <c r="I465" s="113">
        <f>IF($A465="","",MONTH($A465))</f>
        <v/>
      </c>
      <c r="J465" s="113">
        <f>IF($A465="","",YEAR($A465))</f>
        <v/>
      </c>
      <c r="K465" s="113">
        <f>IFERROR(INDEX(Setup!$I$7:$I$22,MATCH($C465,Setup!$D$7:$D$22,0)),"")</f>
        <v/>
      </c>
      <c r="L465" s="88" t="n"/>
      <c r="M465" s="88" t="n"/>
      <c r="N465" s="88" t="n"/>
      <c r="O465" s="88" t="n"/>
      <c r="P465" s="88" t="n"/>
      <c r="Q465" s="88" t="n"/>
      <c r="R465" s="88" t="n"/>
      <c r="S465" s="88" t="n"/>
      <c r="T465" s="88" t="n"/>
      <c r="U465" s="88" t="n"/>
      <c r="V465" s="88" t="n"/>
      <c r="W465" s="88" t="n"/>
      <c r="X465" s="88" t="n"/>
      <c r="Y465" s="88" t="n"/>
      <c r="Z465" s="88" t="n"/>
    </row>
    <row r="466" ht="15" customHeight="1" s="86">
      <c r="A466" s="109" t="n"/>
      <c r="B466" s="110" t="n"/>
      <c r="C466" s="111" t="n"/>
      <c r="D466" s="111" t="n"/>
      <c r="E466" s="112" t="n"/>
      <c r="F466" s="111" t="n"/>
      <c r="G466" s="111" t="n"/>
      <c r="H466" s="111" t="n"/>
      <c r="I466" s="113">
        <f>IF($A466="","",MONTH($A466))</f>
        <v/>
      </c>
      <c r="J466" s="113">
        <f>IF($A466="","",YEAR($A466))</f>
        <v/>
      </c>
      <c r="K466" s="113">
        <f>IFERROR(INDEX(Setup!$I$7:$I$22,MATCH($C466,Setup!$D$7:$D$22,0)),"")</f>
        <v/>
      </c>
      <c r="L466" s="88" t="n"/>
      <c r="M466" s="88" t="n"/>
      <c r="N466" s="88" t="n"/>
      <c r="O466" s="88" t="n"/>
      <c r="P466" s="88" t="n"/>
      <c r="Q466" s="88" t="n"/>
      <c r="R466" s="88" t="n"/>
      <c r="S466" s="88" t="n"/>
      <c r="T466" s="88" t="n"/>
      <c r="U466" s="88" t="n"/>
      <c r="V466" s="88" t="n"/>
      <c r="W466" s="88" t="n"/>
      <c r="X466" s="88" t="n"/>
      <c r="Y466" s="88" t="n"/>
      <c r="Z466" s="88" t="n"/>
    </row>
    <row r="467" ht="15" customHeight="1" s="86">
      <c r="A467" s="107" t="n"/>
      <c r="B467" s="95" t="n"/>
      <c r="C467" s="102" t="n"/>
      <c r="D467" s="102" t="n"/>
      <c r="E467" s="97" t="n"/>
      <c r="F467" s="102" t="n"/>
      <c r="G467" s="102" t="n"/>
      <c r="H467" s="102" t="n"/>
      <c r="I467" s="113">
        <f>IF($A467="","",MONTH($A467))</f>
        <v/>
      </c>
      <c r="J467" s="113">
        <f>IF($A467="","",YEAR($A467))</f>
        <v/>
      </c>
      <c r="K467" s="113">
        <f>IFERROR(INDEX(Setup!$I$7:$I$22,MATCH($C467,Setup!$D$7:$D$22,0)),"")</f>
        <v/>
      </c>
      <c r="L467" s="88" t="n"/>
      <c r="M467" s="88" t="n"/>
      <c r="N467" s="88" t="n"/>
      <c r="O467" s="88" t="n"/>
      <c r="P467" s="88" t="n"/>
      <c r="Q467" s="88" t="n"/>
      <c r="R467" s="88" t="n"/>
      <c r="S467" s="88" t="n"/>
      <c r="T467" s="88" t="n"/>
      <c r="U467" s="88" t="n"/>
      <c r="V467" s="88" t="n"/>
      <c r="W467" s="88" t="n"/>
      <c r="X467" s="88" t="n"/>
      <c r="Y467" s="88" t="n"/>
      <c r="Z467" s="88" t="n"/>
    </row>
    <row r="468" ht="15" customHeight="1" s="86">
      <c r="A468" s="109" t="n"/>
      <c r="B468" s="110" t="n"/>
      <c r="C468" s="111" t="n"/>
      <c r="D468" s="111" t="n"/>
      <c r="E468" s="112" t="n"/>
      <c r="F468" s="111" t="n"/>
      <c r="G468" s="111" t="n"/>
      <c r="H468" s="111" t="n"/>
      <c r="I468" s="113">
        <f>IF($A468="","",MONTH($A468))</f>
        <v/>
      </c>
      <c r="J468" s="113">
        <f>IF($A468="","",YEAR($A468))</f>
        <v/>
      </c>
      <c r="K468" s="113">
        <f>IFERROR(INDEX(Setup!$I$7:$I$22,MATCH($C468,Setup!$D$7:$D$22,0)),"")</f>
        <v/>
      </c>
      <c r="L468" s="88" t="n"/>
      <c r="M468" s="88" t="n"/>
      <c r="N468" s="88" t="n"/>
      <c r="O468" s="88" t="n"/>
      <c r="P468" s="88" t="n"/>
      <c r="Q468" s="88" t="n"/>
      <c r="R468" s="88" t="n"/>
      <c r="S468" s="88" t="n"/>
      <c r="T468" s="88" t="n"/>
      <c r="U468" s="88" t="n"/>
      <c r="V468" s="88" t="n"/>
      <c r="W468" s="88" t="n"/>
      <c r="X468" s="88" t="n"/>
      <c r="Y468" s="88" t="n"/>
      <c r="Z468" s="88" t="n"/>
    </row>
    <row r="469" ht="15" customHeight="1" s="86">
      <c r="A469" s="107" t="n"/>
      <c r="B469" s="95" t="n"/>
      <c r="C469" s="102" t="n"/>
      <c r="D469" s="102" t="n"/>
      <c r="E469" s="97" t="n"/>
      <c r="F469" s="102" t="n"/>
      <c r="G469" s="102" t="n"/>
      <c r="H469" s="102" t="n"/>
      <c r="I469" s="113">
        <f>IF($A469="","",MONTH($A469))</f>
        <v/>
      </c>
      <c r="J469" s="113">
        <f>IF($A469="","",YEAR($A469))</f>
        <v/>
      </c>
      <c r="K469" s="113">
        <f>IFERROR(INDEX(Setup!$I$7:$I$22,MATCH($C469,Setup!$D$7:$D$22,0)),"")</f>
        <v/>
      </c>
      <c r="L469" s="88" t="n"/>
      <c r="M469" s="88" t="n"/>
      <c r="N469" s="88" t="n"/>
      <c r="O469" s="88" t="n"/>
      <c r="P469" s="88" t="n"/>
      <c r="Q469" s="88" t="n"/>
      <c r="R469" s="88" t="n"/>
      <c r="S469" s="88" t="n"/>
      <c r="T469" s="88" t="n"/>
      <c r="U469" s="88" t="n"/>
      <c r="V469" s="88" t="n"/>
      <c r="W469" s="88" t="n"/>
      <c r="X469" s="88" t="n"/>
      <c r="Y469" s="88" t="n"/>
      <c r="Z469" s="88" t="n"/>
    </row>
    <row r="470" ht="15" customHeight="1" s="86">
      <c r="A470" s="109" t="n"/>
      <c r="B470" s="110" t="n"/>
      <c r="C470" s="111" t="n"/>
      <c r="D470" s="111" t="n"/>
      <c r="E470" s="112" t="n"/>
      <c r="F470" s="111" t="n"/>
      <c r="G470" s="111" t="n"/>
      <c r="H470" s="111" t="n"/>
      <c r="I470" s="113">
        <f>IF($A470="","",MONTH($A470))</f>
        <v/>
      </c>
      <c r="J470" s="113">
        <f>IF($A470="","",YEAR($A470))</f>
        <v/>
      </c>
      <c r="K470" s="113">
        <f>IFERROR(INDEX(Setup!$I$7:$I$22,MATCH($C470,Setup!$D$7:$D$22,0)),"")</f>
        <v/>
      </c>
      <c r="L470" s="88" t="n"/>
      <c r="M470" s="88" t="n"/>
      <c r="N470" s="88" t="n"/>
      <c r="O470" s="88" t="n"/>
      <c r="P470" s="88" t="n"/>
      <c r="Q470" s="88" t="n"/>
      <c r="R470" s="88" t="n"/>
      <c r="S470" s="88" t="n"/>
      <c r="T470" s="88" t="n"/>
      <c r="U470" s="88" t="n"/>
      <c r="V470" s="88" t="n"/>
      <c r="W470" s="88" t="n"/>
      <c r="X470" s="88" t="n"/>
      <c r="Y470" s="88" t="n"/>
      <c r="Z470" s="88" t="n"/>
    </row>
    <row r="471" ht="15" customHeight="1" s="86">
      <c r="A471" s="107" t="n"/>
      <c r="B471" s="95" t="n"/>
      <c r="C471" s="102" t="n"/>
      <c r="D471" s="102" t="n"/>
      <c r="E471" s="97" t="n"/>
      <c r="F471" s="102" t="n"/>
      <c r="G471" s="102" t="n"/>
      <c r="H471" s="102" t="n"/>
      <c r="I471" s="113">
        <f>IF($A471="","",MONTH($A471))</f>
        <v/>
      </c>
      <c r="J471" s="113">
        <f>IF($A471="","",YEAR($A471))</f>
        <v/>
      </c>
      <c r="K471" s="113">
        <f>IFERROR(INDEX(Setup!$I$7:$I$22,MATCH($C471,Setup!$D$7:$D$22,0)),"")</f>
        <v/>
      </c>
      <c r="L471" s="88" t="n"/>
      <c r="M471" s="88" t="n"/>
      <c r="N471" s="88" t="n"/>
      <c r="O471" s="88" t="n"/>
      <c r="P471" s="88" t="n"/>
      <c r="Q471" s="88" t="n"/>
      <c r="R471" s="88" t="n"/>
      <c r="S471" s="88" t="n"/>
      <c r="T471" s="88" t="n"/>
      <c r="U471" s="88" t="n"/>
      <c r="V471" s="88" t="n"/>
      <c r="W471" s="88" t="n"/>
      <c r="X471" s="88" t="n"/>
      <c r="Y471" s="88" t="n"/>
      <c r="Z471" s="88" t="n"/>
    </row>
    <row r="472" ht="15" customHeight="1" s="86">
      <c r="A472" s="109" t="n"/>
      <c r="B472" s="110" t="n"/>
      <c r="C472" s="111" t="n"/>
      <c r="D472" s="111" t="n"/>
      <c r="E472" s="112" t="n"/>
      <c r="F472" s="111" t="n"/>
      <c r="G472" s="111" t="n"/>
      <c r="H472" s="111" t="n"/>
      <c r="I472" s="113">
        <f>IF($A472="","",MONTH($A472))</f>
        <v/>
      </c>
      <c r="J472" s="113">
        <f>IF($A472="","",YEAR($A472))</f>
        <v/>
      </c>
      <c r="K472" s="113">
        <f>IFERROR(INDEX(Setup!$I$7:$I$22,MATCH($C472,Setup!$D$7:$D$22,0)),"")</f>
        <v/>
      </c>
      <c r="L472" s="88" t="n"/>
      <c r="M472" s="88" t="n"/>
      <c r="N472" s="88" t="n"/>
      <c r="O472" s="88" t="n"/>
      <c r="P472" s="88" t="n"/>
      <c r="Q472" s="88" t="n"/>
      <c r="R472" s="88" t="n"/>
      <c r="S472" s="88" t="n"/>
      <c r="T472" s="88" t="n"/>
      <c r="U472" s="88" t="n"/>
      <c r="V472" s="88" t="n"/>
      <c r="W472" s="88" t="n"/>
      <c r="X472" s="88" t="n"/>
      <c r="Y472" s="88" t="n"/>
      <c r="Z472" s="88" t="n"/>
    </row>
    <row r="473" ht="15" customHeight="1" s="86">
      <c r="A473" s="107" t="n"/>
      <c r="B473" s="95" t="n"/>
      <c r="C473" s="102" t="n"/>
      <c r="D473" s="102" t="n"/>
      <c r="E473" s="97" t="n"/>
      <c r="F473" s="102" t="n"/>
      <c r="G473" s="102" t="n"/>
      <c r="H473" s="102" t="n"/>
      <c r="I473" s="113">
        <f>IF($A473="","",MONTH($A473))</f>
        <v/>
      </c>
      <c r="J473" s="113">
        <f>IF($A473="","",YEAR($A473))</f>
        <v/>
      </c>
      <c r="K473" s="113">
        <f>IFERROR(INDEX(Setup!$I$7:$I$22,MATCH($C473,Setup!$D$7:$D$22,0)),"")</f>
        <v/>
      </c>
      <c r="L473" s="88" t="n"/>
      <c r="M473" s="88" t="n"/>
      <c r="N473" s="88" t="n"/>
      <c r="O473" s="88" t="n"/>
      <c r="P473" s="88" t="n"/>
      <c r="Q473" s="88" t="n"/>
      <c r="R473" s="88" t="n"/>
      <c r="S473" s="88" t="n"/>
      <c r="T473" s="88" t="n"/>
      <c r="U473" s="88" t="n"/>
      <c r="V473" s="88" t="n"/>
      <c r="W473" s="88" t="n"/>
      <c r="X473" s="88" t="n"/>
      <c r="Y473" s="88" t="n"/>
      <c r="Z473" s="88" t="n"/>
    </row>
    <row r="474" ht="15" customHeight="1" s="86">
      <c r="A474" s="109" t="n"/>
      <c r="B474" s="110" t="n"/>
      <c r="C474" s="111" t="n"/>
      <c r="D474" s="111" t="n"/>
      <c r="E474" s="112" t="n"/>
      <c r="F474" s="111" t="n"/>
      <c r="G474" s="111" t="n"/>
      <c r="H474" s="111" t="n"/>
      <c r="I474" s="113">
        <f>IF($A474="","",MONTH($A474))</f>
        <v/>
      </c>
      <c r="J474" s="113">
        <f>IF($A474="","",YEAR($A474))</f>
        <v/>
      </c>
      <c r="K474" s="113">
        <f>IFERROR(INDEX(Setup!$I$7:$I$22,MATCH($C474,Setup!$D$7:$D$22,0)),"")</f>
        <v/>
      </c>
      <c r="L474" s="88" t="n"/>
      <c r="M474" s="88" t="n"/>
      <c r="N474" s="88" t="n"/>
      <c r="O474" s="88" t="n"/>
      <c r="P474" s="88" t="n"/>
      <c r="Q474" s="88" t="n"/>
      <c r="R474" s="88" t="n"/>
      <c r="S474" s="88" t="n"/>
      <c r="T474" s="88" t="n"/>
      <c r="U474" s="88" t="n"/>
      <c r="V474" s="88" t="n"/>
      <c r="W474" s="88" t="n"/>
      <c r="X474" s="88" t="n"/>
      <c r="Y474" s="88" t="n"/>
      <c r="Z474" s="88" t="n"/>
    </row>
    <row r="475" ht="15" customHeight="1" s="86">
      <c r="A475" s="107" t="n"/>
      <c r="B475" s="95" t="n"/>
      <c r="C475" s="102" t="n"/>
      <c r="D475" s="102" t="n"/>
      <c r="E475" s="97" t="n"/>
      <c r="F475" s="102" t="n"/>
      <c r="G475" s="102" t="n"/>
      <c r="H475" s="102" t="n"/>
      <c r="I475" s="113">
        <f>IF($A475="","",MONTH($A475))</f>
        <v/>
      </c>
      <c r="J475" s="113">
        <f>IF($A475="","",YEAR($A475))</f>
        <v/>
      </c>
      <c r="K475" s="113">
        <f>IFERROR(INDEX(Setup!$I$7:$I$22,MATCH($C475,Setup!$D$7:$D$22,0)),"")</f>
        <v/>
      </c>
      <c r="L475" s="88" t="n"/>
      <c r="M475" s="88" t="n"/>
      <c r="N475" s="88" t="n"/>
      <c r="O475" s="88" t="n"/>
      <c r="P475" s="88" t="n"/>
      <c r="Q475" s="88" t="n"/>
      <c r="R475" s="88" t="n"/>
      <c r="S475" s="88" t="n"/>
      <c r="T475" s="88" t="n"/>
      <c r="U475" s="88" t="n"/>
      <c r="V475" s="88" t="n"/>
      <c r="W475" s="88" t="n"/>
      <c r="X475" s="88" t="n"/>
      <c r="Y475" s="88" t="n"/>
      <c r="Z475" s="88" t="n"/>
    </row>
    <row r="476" ht="15" customHeight="1" s="86">
      <c r="A476" s="109" t="n"/>
      <c r="B476" s="110" t="n"/>
      <c r="C476" s="111" t="n"/>
      <c r="D476" s="111" t="n"/>
      <c r="E476" s="112" t="n"/>
      <c r="F476" s="111" t="n"/>
      <c r="G476" s="111" t="n"/>
      <c r="H476" s="111" t="n"/>
      <c r="I476" s="113">
        <f>IF($A476="","",MONTH($A476))</f>
        <v/>
      </c>
      <c r="J476" s="113">
        <f>IF($A476="","",YEAR($A476))</f>
        <v/>
      </c>
      <c r="K476" s="113">
        <f>IFERROR(INDEX(Setup!$I$7:$I$22,MATCH($C476,Setup!$D$7:$D$22,0)),"")</f>
        <v/>
      </c>
      <c r="L476" s="88" t="n"/>
      <c r="M476" s="88" t="n"/>
      <c r="N476" s="88" t="n"/>
      <c r="O476" s="88" t="n"/>
      <c r="P476" s="88" t="n"/>
      <c r="Q476" s="88" t="n"/>
      <c r="R476" s="88" t="n"/>
      <c r="S476" s="88" t="n"/>
      <c r="T476" s="88" t="n"/>
      <c r="U476" s="88" t="n"/>
      <c r="V476" s="88" t="n"/>
      <c r="W476" s="88" t="n"/>
      <c r="X476" s="88" t="n"/>
      <c r="Y476" s="88" t="n"/>
      <c r="Z476" s="88" t="n"/>
    </row>
    <row r="477" ht="15" customHeight="1" s="86">
      <c r="A477" s="107" t="n"/>
      <c r="B477" s="95" t="n"/>
      <c r="C477" s="102" t="n"/>
      <c r="D477" s="102" t="n"/>
      <c r="E477" s="97" t="n"/>
      <c r="F477" s="102" t="n"/>
      <c r="G477" s="102" t="n"/>
      <c r="H477" s="102" t="n"/>
      <c r="I477" s="113">
        <f>IF($A477="","",MONTH($A477))</f>
        <v/>
      </c>
      <c r="J477" s="113">
        <f>IF($A477="","",YEAR($A477))</f>
        <v/>
      </c>
      <c r="K477" s="113">
        <f>IFERROR(INDEX(Setup!$I$7:$I$22,MATCH($C477,Setup!$D$7:$D$22,0)),"")</f>
        <v/>
      </c>
      <c r="L477" s="88" t="n"/>
      <c r="M477" s="88" t="n"/>
      <c r="N477" s="88" t="n"/>
      <c r="O477" s="88" t="n"/>
      <c r="P477" s="88" t="n"/>
      <c r="Q477" s="88" t="n"/>
      <c r="R477" s="88" t="n"/>
      <c r="S477" s="88" t="n"/>
      <c r="T477" s="88" t="n"/>
      <c r="U477" s="88" t="n"/>
      <c r="V477" s="88" t="n"/>
      <c r="W477" s="88" t="n"/>
      <c r="X477" s="88" t="n"/>
      <c r="Y477" s="88" t="n"/>
      <c r="Z477" s="88" t="n"/>
    </row>
    <row r="478" ht="15" customHeight="1" s="86">
      <c r="A478" s="109" t="n"/>
      <c r="B478" s="110" t="n"/>
      <c r="C478" s="111" t="n"/>
      <c r="D478" s="111" t="n"/>
      <c r="E478" s="112" t="n"/>
      <c r="F478" s="111" t="n"/>
      <c r="G478" s="111" t="n"/>
      <c r="H478" s="111" t="n"/>
      <c r="I478" s="113">
        <f>IF($A478="","",MONTH($A478))</f>
        <v/>
      </c>
      <c r="J478" s="113">
        <f>IF($A478="","",YEAR($A478))</f>
        <v/>
      </c>
      <c r="K478" s="113">
        <f>IFERROR(INDEX(Setup!$I$7:$I$22,MATCH($C478,Setup!$D$7:$D$22,0)),"")</f>
        <v/>
      </c>
      <c r="L478" s="88" t="n"/>
      <c r="M478" s="88" t="n"/>
      <c r="N478" s="88" t="n"/>
      <c r="O478" s="88" t="n"/>
      <c r="P478" s="88" t="n"/>
      <c r="Q478" s="88" t="n"/>
      <c r="R478" s="88" t="n"/>
      <c r="S478" s="88" t="n"/>
      <c r="T478" s="88" t="n"/>
      <c r="U478" s="88" t="n"/>
      <c r="V478" s="88" t="n"/>
      <c r="W478" s="88" t="n"/>
      <c r="X478" s="88" t="n"/>
      <c r="Y478" s="88" t="n"/>
      <c r="Z478" s="88" t="n"/>
    </row>
    <row r="479" ht="15" customHeight="1" s="86">
      <c r="A479" s="107" t="n"/>
      <c r="B479" s="95" t="n"/>
      <c r="C479" s="102" t="n"/>
      <c r="D479" s="102" t="n"/>
      <c r="E479" s="97" t="n"/>
      <c r="F479" s="102" t="n"/>
      <c r="G479" s="102" t="n"/>
      <c r="H479" s="102" t="n"/>
      <c r="I479" s="113">
        <f>IF($A479="","",MONTH($A479))</f>
        <v/>
      </c>
      <c r="J479" s="113">
        <f>IF($A479="","",YEAR($A479))</f>
        <v/>
      </c>
      <c r="K479" s="113">
        <f>IFERROR(INDEX(Setup!$I$7:$I$22,MATCH($C479,Setup!$D$7:$D$22,0)),"")</f>
        <v/>
      </c>
      <c r="L479" s="88" t="n"/>
      <c r="M479" s="88" t="n"/>
      <c r="N479" s="88" t="n"/>
      <c r="O479" s="88" t="n"/>
      <c r="P479" s="88" t="n"/>
      <c r="Q479" s="88" t="n"/>
      <c r="R479" s="88" t="n"/>
      <c r="S479" s="88" t="n"/>
      <c r="T479" s="88" t="n"/>
      <c r="U479" s="88" t="n"/>
      <c r="V479" s="88" t="n"/>
      <c r="W479" s="88" t="n"/>
      <c r="X479" s="88" t="n"/>
      <c r="Y479" s="88" t="n"/>
      <c r="Z479" s="88" t="n"/>
    </row>
    <row r="480" ht="15" customHeight="1" s="86">
      <c r="A480" s="109" t="n"/>
      <c r="B480" s="110" t="n"/>
      <c r="C480" s="111" t="n"/>
      <c r="D480" s="111" t="n"/>
      <c r="E480" s="112" t="n"/>
      <c r="F480" s="111" t="n"/>
      <c r="G480" s="111" t="n"/>
      <c r="H480" s="111" t="n"/>
      <c r="I480" s="113">
        <f>IF($A480="","",MONTH($A480))</f>
        <v/>
      </c>
      <c r="J480" s="113">
        <f>IF($A480="","",YEAR($A480))</f>
        <v/>
      </c>
      <c r="K480" s="113">
        <f>IFERROR(INDEX(Setup!$I$7:$I$22,MATCH($C480,Setup!$D$7:$D$22,0)),"")</f>
        <v/>
      </c>
      <c r="L480" s="88" t="n"/>
      <c r="M480" s="88" t="n"/>
      <c r="N480" s="88" t="n"/>
      <c r="O480" s="88" t="n"/>
      <c r="P480" s="88" t="n"/>
      <c r="Q480" s="88" t="n"/>
      <c r="R480" s="88" t="n"/>
      <c r="S480" s="88" t="n"/>
      <c r="T480" s="88" t="n"/>
      <c r="U480" s="88" t="n"/>
      <c r="V480" s="88" t="n"/>
      <c r="W480" s="88" t="n"/>
      <c r="X480" s="88" t="n"/>
      <c r="Y480" s="88" t="n"/>
      <c r="Z480" s="88" t="n"/>
    </row>
    <row r="481" ht="15" customHeight="1" s="86">
      <c r="A481" s="107" t="n"/>
      <c r="B481" s="95" t="n"/>
      <c r="C481" s="102" t="n"/>
      <c r="D481" s="102" t="n"/>
      <c r="E481" s="97" t="n"/>
      <c r="F481" s="102" t="n"/>
      <c r="G481" s="102" t="n"/>
      <c r="H481" s="102" t="n"/>
      <c r="I481" s="113">
        <f>IF($A481="","",MONTH($A481))</f>
        <v/>
      </c>
      <c r="J481" s="113">
        <f>IF($A481="","",YEAR($A481))</f>
        <v/>
      </c>
      <c r="K481" s="113">
        <f>IFERROR(INDEX(Setup!$I$7:$I$22,MATCH($C481,Setup!$D$7:$D$22,0)),"")</f>
        <v/>
      </c>
      <c r="L481" s="88" t="n"/>
      <c r="M481" s="88" t="n"/>
      <c r="N481" s="88" t="n"/>
      <c r="O481" s="88" t="n"/>
      <c r="P481" s="88" t="n"/>
      <c r="Q481" s="88" t="n"/>
      <c r="R481" s="88" t="n"/>
      <c r="S481" s="88" t="n"/>
      <c r="T481" s="88" t="n"/>
      <c r="U481" s="88" t="n"/>
      <c r="V481" s="88" t="n"/>
      <c r="W481" s="88" t="n"/>
      <c r="X481" s="88" t="n"/>
      <c r="Y481" s="88" t="n"/>
      <c r="Z481" s="88" t="n"/>
    </row>
    <row r="482" ht="15" customHeight="1" s="86">
      <c r="A482" s="109" t="n"/>
      <c r="B482" s="110" t="n"/>
      <c r="C482" s="111" t="n"/>
      <c r="D482" s="111" t="n"/>
      <c r="E482" s="112" t="n"/>
      <c r="F482" s="111" t="n"/>
      <c r="G482" s="111" t="n"/>
      <c r="H482" s="111" t="n"/>
      <c r="I482" s="113">
        <f>IF($A482="","",MONTH($A482))</f>
        <v/>
      </c>
      <c r="J482" s="113">
        <f>IF($A482="","",YEAR($A482))</f>
        <v/>
      </c>
      <c r="K482" s="113">
        <f>IFERROR(INDEX(Setup!$I$7:$I$22,MATCH($C482,Setup!$D$7:$D$22,0)),"")</f>
        <v/>
      </c>
      <c r="L482" s="88" t="n"/>
      <c r="M482" s="88" t="n"/>
      <c r="N482" s="88" t="n"/>
      <c r="O482" s="88" t="n"/>
      <c r="P482" s="88" t="n"/>
      <c r="Q482" s="88" t="n"/>
      <c r="R482" s="88" t="n"/>
      <c r="S482" s="88" t="n"/>
      <c r="T482" s="88" t="n"/>
      <c r="U482" s="88" t="n"/>
      <c r="V482" s="88" t="n"/>
      <c r="W482" s="88" t="n"/>
      <c r="X482" s="88" t="n"/>
      <c r="Y482" s="88" t="n"/>
      <c r="Z482" s="88" t="n"/>
    </row>
    <row r="483" ht="15" customHeight="1" s="86">
      <c r="A483" s="107" t="n"/>
      <c r="B483" s="95" t="n"/>
      <c r="C483" s="102" t="n"/>
      <c r="D483" s="102" t="n"/>
      <c r="E483" s="97" t="n"/>
      <c r="F483" s="102" t="n"/>
      <c r="G483" s="102" t="n"/>
      <c r="H483" s="102" t="n"/>
      <c r="I483" s="113">
        <f>IF($A483="","",MONTH($A483))</f>
        <v/>
      </c>
      <c r="J483" s="113">
        <f>IF($A483="","",YEAR($A483))</f>
        <v/>
      </c>
      <c r="K483" s="113">
        <f>IFERROR(INDEX(Setup!$I$7:$I$22,MATCH($C483,Setup!$D$7:$D$22,0)),"")</f>
        <v/>
      </c>
      <c r="L483" s="88" t="n"/>
      <c r="M483" s="88" t="n"/>
      <c r="N483" s="88" t="n"/>
      <c r="O483" s="88" t="n"/>
      <c r="P483" s="88" t="n"/>
      <c r="Q483" s="88" t="n"/>
      <c r="R483" s="88" t="n"/>
      <c r="S483" s="88" t="n"/>
      <c r="T483" s="88" t="n"/>
      <c r="U483" s="88" t="n"/>
      <c r="V483" s="88" t="n"/>
      <c r="W483" s="88" t="n"/>
      <c r="X483" s="88" t="n"/>
      <c r="Y483" s="88" t="n"/>
      <c r="Z483" s="88" t="n"/>
    </row>
    <row r="484" ht="15" customHeight="1" s="86">
      <c r="A484" s="109" t="n"/>
      <c r="B484" s="110" t="n"/>
      <c r="C484" s="111" t="n"/>
      <c r="D484" s="111" t="n"/>
      <c r="E484" s="112" t="n"/>
      <c r="F484" s="111" t="n"/>
      <c r="G484" s="111" t="n"/>
      <c r="H484" s="111" t="n"/>
      <c r="I484" s="113">
        <f>IF($A484="","",MONTH($A484))</f>
        <v/>
      </c>
      <c r="J484" s="113">
        <f>IF($A484="","",YEAR($A484))</f>
        <v/>
      </c>
      <c r="K484" s="113">
        <f>IFERROR(INDEX(Setup!$I$7:$I$22,MATCH($C484,Setup!$D$7:$D$22,0)),"")</f>
        <v/>
      </c>
      <c r="L484" s="88" t="n"/>
      <c r="M484" s="88" t="n"/>
      <c r="N484" s="88" t="n"/>
      <c r="O484" s="88" t="n"/>
      <c r="P484" s="88" t="n"/>
      <c r="Q484" s="88" t="n"/>
      <c r="R484" s="88" t="n"/>
      <c r="S484" s="88" t="n"/>
      <c r="T484" s="88" t="n"/>
      <c r="U484" s="88" t="n"/>
      <c r="V484" s="88" t="n"/>
      <c r="W484" s="88" t="n"/>
      <c r="X484" s="88" t="n"/>
      <c r="Y484" s="88" t="n"/>
      <c r="Z484" s="88" t="n"/>
    </row>
    <row r="485" ht="15" customHeight="1" s="86">
      <c r="A485" s="107" t="n"/>
      <c r="B485" s="95" t="n"/>
      <c r="C485" s="102" t="n"/>
      <c r="D485" s="102" t="n"/>
      <c r="E485" s="97" t="n"/>
      <c r="F485" s="102" t="n"/>
      <c r="G485" s="102" t="n"/>
      <c r="H485" s="102" t="n"/>
      <c r="I485" s="113">
        <f>IF($A485="","",MONTH($A485))</f>
        <v/>
      </c>
      <c r="J485" s="113">
        <f>IF($A485="","",YEAR($A485))</f>
        <v/>
      </c>
      <c r="K485" s="113">
        <f>IFERROR(INDEX(Setup!$I$7:$I$22,MATCH($C485,Setup!$D$7:$D$22,0)),"")</f>
        <v/>
      </c>
      <c r="L485" s="88" t="n"/>
      <c r="M485" s="88" t="n"/>
      <c r="N485" s="88" t="n"/>
      <c r="O485" s="88" t="n"/>
      <c r="P485" s="88" t="n"/>
      <c r="Q485" s="88" t="n"/>
      <c r="R485" s="88" t="n"/>
      <c r="S485" s="88" t="n"/>
      <c r="T485" s="88" t="n"/>
      <c r="U485" s="88" t="n"/>
      <c r="V485" s="88" t="n"/>
      <c r="W485" s="88" t="n"/>
      <c r="X485" s="88" t="n"/>
      <c r="Y485" s="88" t="n"/>
      <c r="Z485" s="88" t="n"/>
    </row>
    <row r="486" ht="15" customHeight="1" s="86">
      <c r="A486" s="109" t="n"/>
      <c r="B486" s="110" t="n"/>
      <c r="C486" s="111" t="n"/>
      <c r="D486" s="111" t="n"/>
      <c r="E486" s="112" t="n"/>
      <c r="F486" s="111" t="n"/>
      <c r="G486" s="111" t="n"/>
      <c r="H486" s="111" t="n"/>
      <c r="I486" s="113">
        <f>IF($A486="","",MONTH($A486))</f>
        <v/>
      </c>
      <c r="J486" s="113">
        <f>IF($A486="","",YEAR($A486))</f>
        <v/>
      </c>
      <c r="K486" s="113">
        <f>IFERROR(INDEX(Setup!$I$7:$I$22,MATCH($C486,Setup!$D$7:$D$22,0)),"")</f>
        <v/>
      </c>
      <c r="L486" s="88" t="n"/>
      <c r="M486" s="88" t="n"/>
      <c r="N486" s="88" t="n"/>
      <c r="O486" s="88" t="n"/>
      <c r="P486" s="88" t="n"/>
      <c r="Q486" s="88" t="n"/>
      <c r="R486" s="88" t="n"/>
      <c r="S486" s="88" t="n"/>
      <c r="T486" s="88" t="n"/>
      <c r="U486" s="88" t="n"/>
      <c r="V486" s="88" t="n"/>
      <c r="W486" s="88" t="n"/>
      <c r="X486" s="88" t="n"/>
      <c r="Y486" s="88" t="n"/>
      <c r="Z486" s="88" t="n"/>
    </row>
    <row r="487" ht="15" customHeight="1" s="86">
      <c r="A487" s="107" t="n"/>
      <c r="B487" s="95" t="n"/>
      <c r="C487" s="102" t="n"/>
      <c r="D487" s="102" t="n"/>
      <c r="E487" s="97" t="n"/>
      <c r="F487" s="102" t="n"/>
      <c r="G487" s="102" t="n"/>
      <c r="H487" s="102" t="n"/>
      <c r="I487" s="113">
        <f>IF($A487="","",MONTH($A487))</f>
        <v/>
      </c>
      <c r="J487" s="113">
        <f>IF($A487="","",YEAR($A487))</f>
        <v/>
      </c>
      <c r="K487" s="113">
        <f>IFERROR(INDEX(Setup!$I$7:$I$22,MATCH($C487,Setup!$D$7:$D$22,0)),"")</f>
        <v/>
      </c>
      <c r="L487" s="88" t="n"/>
      <c r="M487" s="88" t="n"/>
      <c r="N487" s="88" t="n"/>
      <c r="O487" s="88" t="n"/>
      <c r="P487" s="88" t="n"/>
      <c r="Q487" s="88" t="n"/>
      <c r="R487" s="88" t="n"/>
      <c r="S487" s="88" t="n"/>
      <c r="T487" s="88" t="n"/>
      <c r="U487" s="88" t="n"/>
      <c r="V487" s="88" t="n"/>
      <c r="W487" s="88" t="n"/>
      <c r="X487" s="88" t="n"/>
      <c r="Y487" s="88" t="n"/>
      <c r="Z487" s="88" t="n"/>
    </row>
    <row r="488" ht="15" customHeight="1" s="86">
      <c r="A488" s="109" t="n"/>
      <c r="B488" s="110" t="n"/>
      <c r="C488" s="111" t="n"/>
      <c r="D488" s="111" t="n"/>
      <c r="E488" s="112" t="n"/>
      <c r="F488" s="111" t="n"/>
      <c r="G488" s="111" t="n"/>
      <c r="H488" s="111" t="n"/>
      <c r="I488" s="113">
        <f>IF($A488="","",MONTH($A488))</f>
        <v/>
      </c>
      <c r="J488" s="113">
        <f>IF($A488="","",YEAR($A488))</f>
        <v/>
      </c>
      <c r="K488" s="113">
        <f>IFERROR(INDEX(Setup!$I$7:$I$22,MATCH($C488,Setup!$D$7:$D$22,0)),"")</f>
        <v/>
      </c>
      <c r="L488" s="88" t="n"/>
      <c r="M488" s="88" t="n"/>
      <c r="N488" s="88" t="n"/>
      <c r="O488" s="88" t="n"/>
      <c r="P488" s="88" t="n"/>
      <c r="Q488" s="88" t="n"/>
      <c r="R488" s="88" t="n"/>
      <c r="S488" s="88" t="n"/>
      <c r="T488" s="88" t="n"/>
      <c r="U488" s="88" t="n"/>
      <c r="V488" s="88" t="n"/>
      <c r="W488" s="88" t="n"/>
      <c r="X488" s="88" t="n"/>
      <c r="Y488" s="88" t="n"/>
      <c r="Z488" s="88" t="n"/>
    </row>
    <row r="489" ht="15" customHeight="1" s="86">
      <c r="A489" s="107" t="n"/>
      <c r="B489" s="95" t="n"/>
      <c r="C489" s="102" t="n"/>
      <c r="D489" s="102" t="n"/>
      <c r="E489" s="97" t="n"/>
      <c r="F489" s="102" t="n"/>
      <c r="G489" s="102" t="n"/>
      <c r="H489" s="102" t="n"/>
      <c r="I489" s="113">
        <f>IF($A489="","",MONTH($A489))</f>
        <v/>
      </c>
      <c r="J489" s="113">
        <f>IF($A489="","",YEAR($A489))</f>
        <v/>
      </c>
      <c r="K489" s="113">
        <f>IFERROR(INDEX(Setup!$I$7:$I$22,MATCH($C489,Setup!$D$7:$D$22,0)),"")</f>
        <v/>
      </c>
      <c r="L489" s="88" t="n"/>
      <c r="M489" s="88" t="n"/>
      <c r="N489" s="88" t="n"/>
      <c r="O489" s="88" t="n"/>
      <c r="P489" s="88" t="n"/>
      <c r="Q489" s="88" t="n"/>
      <c r="R489" s="88" t="n"/>
      <c r="S489" s="88" t="n"/>
      <c r="T489" s="88" t="n"/>
      <c r="U489" s="88" t="n"/>
      <c r="V489" s="88" t="n"/>
      <c r="W489" s="88" t="n"/>
      <c r="X489" s="88" t="n"/>
      <c r="Y489" s="88" t="n"/>
      <c r="Z489" s="88" t="n"/>
    </row>
    <row r="490" ht="15" customHeight="1" s="86">
      <c r="A490" s="109" t="n"/>
      <c r="B490" s="110" t="n"/>
      <c r="C490" s="111" t="n"/>
      <c r="D490" s="111" t="n"/>
      <c r="E490" s="112" t="n"/>
      <c r="F490" s="111" t="n"/>
      <c r="G490" s="111" t="n"/>
      <c r="H490" s="111" t="n"/>
      <c r="I490" s="113">
        <f>IF($A490="","",MONTH($A490))</f>
        <v/>
      </c>
      <c r="J490" s="113">
        <f>IF($A490="","",YEAR($A490))</f>
        <v/>
      </c>
      <c r="K490" s="113">
        <f>IFERROR(INDEX(Setup!$I$7:$I$22,MATCH($C490,Setup!$D$7:$D$22,0)),"")</f>
        <v/>
      </c>
      <c r="L490" s="88" t="n"/>
      <c r="M490" s="88" t="n"/>
      <c r="N490" s="88" t="n"/>
      <c r="O490" s="88" t="n"/>
      <c r="P490" s="88" t="n"/>
      <c r="Q490" s="88" t="n"/>
      <c r="R490" s="88" t="n"/>
      <c r="S490" s="88" t="n"/>
      <c r="T490" s="88" t="n"/>
      <c r="U490" s="88" t="n"/>
      <c r="V490" s="88" t="n"/>
      <c r="W490" s="88" t="n"/>
      <c r="X490" s="88" t="n"/>
      <c r="Y490" s="88" t="n"/>
      <c r="Z490" s="88" t="n"/>
    </row>
    <row r="491" ht="15" customHeight="1" s="86">
      <c r="A491" s="107" t="n"/>
      <c r="B491" s="95" t="n"/>
      <c r="C491" s="102" t="n"/>
      <c r="D491" s="102" t="n"/>
      <c r="E491" s="97" t="n"/>
      <c r="F491" s="102" t="n"/>
      <c r="G491" s="102" t="n"/>
      <c r="H491" s="102" t="n"/>
      <c r="I491" s="113">
        <f>IF($A491="","",MONTH($A491))</f>
        <v/>
      </c>
      <c r="J491" s="113">
        <f>IF($A491="","",YEAR($A491))</f>
        <v/>
      </c>
      <c r="K491" s="113">
        <f>IFERROR(INDEX(Setup!$I$7:$I$22,MATCH($C491,Setup!$D$7:$D$22,0)),"")</f>
        <v/>
      </c>
      <c r="L491" s="88" t="n"/>
      <c r="M491" s="88" t="n"/>
      <c r="N491" s="88" t="n"/>
      <c r="O491" s="88" t="n"/>
      <c r="P491" s="88" t="n"/>
      <c r="Q491" s="88" t="n"/>
      <c r="R491" s="88" t="n"/>
      <c r="S491" s="88" t="n"/>
      <c r="T491" s="88" t="n"/>
      <c r="U491" s="88" t="n"/>
      <c r="V491" s="88" t="n"/>
      <c r="W491" s="88" t="n"/>
      <c r="X491" s="88" t="n"/>
      <c r="Y491" s="88" t="n"/>
      <c r="Z491" s="88" t="n"/>
    </row>
    <row r="492" ht="15" customHeight="1" s="86">
      <c r="A492" s="109" t="n"/>
      <c r="B492" s="110" t="n"/>
      <c r="C492" s="111" t="n"/>
      <c r="D492" s="111" t="n"/>
      <c r="E492" s="112" t="n"/>
      <c r="F492" s="111" t="n"/>
      <c r="G492" s="111" t="n"/>
      <c r="H492" s="111" t="n"/>
      <c r="I492" s="113">
        <f>IF($A492="","",MONTH($A492))</f>
        <v/>
      </c>
      <c r="J492" s="113">
        <f>IF($A492="","",YEAR($A492))</f>
        <v/>
      </c>
      <c r="K492" s="113">
        <f>IFERROR(INDEX(Setup!$I$7:$I$22,MATCH($C492,Setup!$D$7:$D$22,0)),"")</f>
        <v/>
      </c>
      <c r="L492" s="88" t="n"/>
      <c r="M492" s="88" t="n"/>
      <c r="N492" s="88" t="n"/>
      <c r="O492" s="88" t="n"/>
      <c r="P492" s="88" t="n"/>
      <c r="Q492" s="88" t="n"/>
      <c r="R492" s="88" t="n"/>
      <c r="S492" s="88" t="n"/>
      <c r="T492" s="88" t="n"/>
      <c r="U492" s="88" t="n"/>
      <c r="V492" s="88" t="n"/>
      <c r="W492" s="88" t="n"/>
      <c r="X492" s="88" t="n"/>
      <c r="Y492" s="88" t="n"/>
      <c r="Z492" s="88" t="n"/>
    </row>
    <row r="493" ht="15" customHeight="1" s="86">
      <c r="A493" s="107" t="n"/>
      <c r="B493" s="95" t="n"/>
      <c r="C493" s="102" t="n"/>
      <c r="D493" s="102" t="n"/>
      <c r="E493" s="97" t="n"/>
      <c r="F493" s="102" t="n"/>
      <c r="G493" s="102" t="n"/>
      <c r="H493" s="102" t="n"/>
      <c r="I493" s="113">
        <f>IF($A493="","",MONTH($A493))</f>
        <v/>
      </c>
      <c r="J493" s="113">
        <f>IF($A493="","",YEAR($A493))</f>
        <v/>
      </c>
      <c r="K493" s="113">
        <f>IFERROR(INDEX(Setup!$I$7:$I$22,MATCH($C493,Setup!$D$7:$D$22,0)),"")</f>
        <v/>
      </c>
      <c r="L493" s="88" t="n"/>
      <c r="M493" s="88" t="n"/>
      <c r="N493" s="88" t="n"/>
      <c r="O493" s="88" t="n"/>
      <c r="P493" s="88" t="n"/>
      <c r="Q493" s="88" t="n"/>
      <c r="R493" s="88" t="n"/>
      <c r="S493" s="88" t="n"/>
      <c r="T493" s="88" t="n"/>
      <c r="U493" s="88" t="n"/>
      <c r="V493" s="88" t="n"/>
      <c r="W493" s="88" t="n"/>
      <c r="X493" s="88" t="n"/>
      <c r="Y493" s="88" t="n"/>
      <c r="Z493" s="88" t="n"/>
    </row>
    <row r="494" ht="15" customHeight="1" s="86">
      <c r="A494" s="109" t="n"/>
      <c r="B494" s="110" t="n"/>
      <c r="C494" s="111" t="n"/>
      <c r="D494" s="111" t="n"/>
      <c r="E494" s="112" t="n"/>
      <c r="F494" s="111" t="n"/>
      <c r="G494" s="111" t="n"/>
      <c r="H494" s="111" t="n"/>
      <c r="I494" s="113">
        <f>IF($A494="","",MONTH($A494))</f>
        <v/>
      </c>
      <c r="J494" s="113">
        <f>IF($A494="","",YEAR($A494))</f>
        <v/>
      </c>
      <c r="K494" s="113">
        <f>IFERROR(INDEX(Setup!$I$7:$I$22,MATCH($C494,Setup!$D$7:$D$22,0)),"")</f>
        <v/>
      </c>
      <c r="L494" s="88" t="n"/>
      <c r="M494" s="88" t="n"/>
      <c r="N494" s="88" t="n"/>
      <c r="O494" s="88" t="n"/>
      <c r="P494" s="88" t="n"/>
      <c r="Q494" s="88" t="n"/>
      <c r="R494" s="88" t="n"/>
      <c r="S494" s="88" t="n"/>
      <c r="T494" s="88" t="n"/>
      <c r="U494" s="88" t="n"/>
      <c r="V494" s="88" t="n"/>
      <c r="W494" s="88" t="n"/>
      <c r="X494" s="88" t="n"/>
      <c r="Y494" s="88" t="n"/>
      <c r="Z494" s="88" t="n"/>
    </row>
    <row r="495" ht="15" customHeight="1" s="86">
      <c r="A495" s="107" t="n"/>
      <c r="B495" s="95" t="n"/>
      <c r="C495" s="102" t="n"/>
      <c r="D495" s="102" t="n"/>
      <c r="E495" s="97" t="n"/>
      <c r="F495" s="102" t="n"/>
      <c r="G495" s="102" t="n"/>
      <c r="H495" s="102" t="n"/>
      <c r="I495" s="113">
        <f>IF($A495="","",MONTH($A495))</f>
        <v/>
      </c>
      <c r="J495" s="113">
        <f>IF($A495="","",YEAR($A495))</f>
        <v/>
      </c>
      <c r="K495" s="113">
        <f>IFERROR(INDEX(Setup!$I$7:$I$22,MATCH($C495,Setup!$D$7:$D$22,0)),"")</f>
        <v/>
      </c>
      <c r="L495" s="88" t="n"/>
      <c r="M495" s="88" t="n"/>
      <c r="N495" s="88" t="n"/>
      <c r="O495" s="88" t="n"/>
      <c r="P495" s="88" t="n"/>
      <c r="Q495" s="88" t="n"/>
      <c r="R495" s="88" t="n"/>
      <c r="S495" s="88" t="n"/>
      <c r="T495" s="88" t="n"/>
      <c r="U495" s="88" t="n"/>
      <c r="V495" s="88" t="n"/>
      <c r="W495" s="88" t="n"/>
      <c r="X495" s="88" t="n"/>
      <c r="Y495" s="88" t="n"/>
      <c r="Z495" s="88" t="n"/>
    </row>
    <row r="496" ht="15" customHeight="1" s="86">
      <c r="A496" s="109" t="n"/>
      <c r="B496" s="110" t="n"/>
      <c r="C496" s="111" t="n"/>
      <c r="D496" s="111" t="n"/>
      <c r="E496" s="112" t="n"/>
      <c r="F496" s="111" t="n"/>
      <c r="G496" s="111" t="n"/>
      <c r="H496" s="111" t="n"/>
      <c r="I496" s="113">
        <f>IF($A496="","",MONTH($A496))</f>
        <v/>
      </c>
      <c r="J496" s="113">
        <f>IF($A496="","",YEAR($A496))</f>
        <v/>
      </c>
      <c r="K496" s="113">
        <f>IFERROR(INDEX(Setup!$I$7:$I$22,MATCH($C496,Setup!$D$7:$D$22,0)),"")</f>
        <v/>
      </c>
      <c r="L496" s="88" t="n"/>
      <c r="M496" s="88" t="n"/>
      <c r="N496" s="88" t="n"/>
      <c r="O496" s="88" t="n"/>
      <c r="P496" s="88" t="n"/>
      <c r="Q496" s="88" t="n"/>
      <c r="R496" s="88" t="n"/>
      <c r="S496" s="88" t="n"/>
      <c r="T496" s="88" t="n"/>
      <c r="U496" s="88" t="n"/>
      <c r="V496" s="88" t="n"/>
      <c r="W496" s="88" t="n"/>
      <c r="X496" s="88" t="n"/>
      <c r="Y496" s="88" t="n"/>
      <c r="Z496" s="88" t="n"/>
    </row>
    <row r="497" ht="15" customHeight="1" s="86">
      <c r="A497" s="107" t="n"/>
      <c r="B497" s="95" t="n"/>
      <c r="C497" s="102" t="n"/>
      <c r="D497" s="102" t="n"/>
      <c r="E497" s="97" t="n"/>
      <c r="F497" s="102" t="n"/>
      <c r="G497" s="102" t="n"/>
      <c r="H497" s="102" t="n"/>
      <c r="I497" s="113">
        <f>IF($A497="","",MONTH($A497))</f>
        <v/>
      </c>
      <c r="J497" s="113">
        <f>IF($A497="","",YEAR($A497))</f>
        <v/>
      </c>
      <c r="K497" s="113">
        <f>IFERROR(INDEX(Setup!$I$7:$I$22,MATCH($C497,Setup!$D$7:$D$22,0)),"")</f>
        <v/>
      </c>
      <c r="L497" s="88" t="n"/>
      <c r="M497" s="88" t="n"/>
      <c r="N497" s="88" t="n"/>
      <c r="O497" s="88" t="n"/>
      <c r="P497" s="88" t="n"/>
      <c r="Q497" s="88" t="n"/>
      <c r="R497" s="88" t="n"/>
      <c r="S497" s="88" t="n"/>
      <c r="T497" s="88" t="n"/>
      <c r="U497" s="88" t="n"/>
      <c r="V497" s="88" t="n"/>
      <c r="W497" s="88" t="n"/>
      <c r="X497" s="88" t="n"/>
      <c r="Y497" s="88" t="n"/>
      <c r="Z497" s="88" t="n"/>
    </row>
    <row r="498" ht="15" customHeight="1" s="86">
      <c r="A498" s="109" t="n"/>
      <c r="B498" s="110" t="n"/>
      <c r="C498" s="111" t="n"/>
      <c r="D498" s="111" t="n"/>
      <c r="E498" s="112" t="n"/>
      <c r="F498" s="111" t="n"/>
      <c r="G498" s="111" t="n"/>
      <c r="H498" s="111" t="n"/>
      <c r="I498" s="113">
        <f>IF($A498="","",MONTH($A498))</f>
        <v/>
      </c>
      <c r="J498" s="113">
        <f>IF($A498="","",YEAR($A498))</f>
        <v/>
      </c>
      <c r="K498" s="113">
        <f>IFERROR(INDEX(Setup!$I$7:$I$22,MATCH($C498,Setup!$D$7:$D$22,0)),"")</f>
        <v/>
      </c>
      <c r="L498" s="88" t="n"/>
      <c r="M498" s="88" t="n"/>
      <c r="N498" s="88" t="n"/>
      <c r="O498" s="88" t="n"/>
      <c r="P498" s="88" t="n"/>
      <c r="Q498" s="88" t="n"/>
      <c r="R498" s="88" t="n"/>
      <c r="S498" s="88" t="n"/>
      <c r="T498" s="88" t="n"/>
      <c r="U498" s="88" t="n"/>
      <c r="V498" s="88" t="n"/>
      <c r="W498" s="88" t="n"/>
      <c r="X498" s="88" t="n"/>
      <c r="Y498" s="88" t="n"/>
      <c r="Z498" s="88" t="n"/>
    </row>
    <row r="499" ht="15" customHeight="1" s="86">
      <c r="A499" s="107" t="n"/>
      <c r="B499" s="95" t="n"/>
      <c r="C499" s="102" t="n"/>
      <c r="D499" s="102" t="n"/>
      <c r="E499" s="97" t="n"/>
      <c r="F499" s="102" t="n"/>
      <c r="G499" s="102" t="n"/>
      <c r="H499" s="102" t="n"/>
      <c r="I499" s="113">
        <f>IF($A499="","",MONTH($A499))</f>
        <v/>
      </c>
      <c r="J499" s="113">
        <f>IF($A499="","",YEAR($A499))</f>
        <v/>
      </c>
      <c r="K499" s="113">
        <f>IFERROR(INDEX(Setup!$I$7:$I$22,MATCH($C499,Setup!$D$7:$D$22,0)),"")</f>
        <v/>
      </c>
      <c r="L499" s="88" t="n"/>
      <c r="M499" s="88" t="n"/>
      <c r="N499" s="88" t="n"/>
      <c r="O499" s="88" t="n"/>
      <c r="P499" s="88" t="n"/>
      <c r="Q499" s="88" t="n"/>
      <c r="R499" s="88" t="n"/>
      <c r="S499" s="88" t="n"/>
      <c r="T499" s="88" t="n"/>
      <c r="U499" s="88" t="n"/>
      <c r="V499" s="88" t="n"/>
      <c r="W499" s="88" t="n"/>
      <c r="X499" s="88" t="n"/>
      <c r="Y499" s="88" t="n"/>
      <c r="Z499" s="88" t="n"/>
    </row>
    <row r="500" ht="15" customHeight="1" s="86">
      <c r="A500" s="109" t="n"/>
      <c r="B500" s="110" t="n"/>
      <c r="C500" s="111" t="n"/>
      <c r="D500" s="111" t="n"/>
      <c r="E500" s="112" t="n"/>
      <c r="F500" s="111" t="n"/>
      <c r="G500" s="111" t="n"/>
      <c r="H500" s="111" t="n"/>
      <c r="I500" s="113">
        <f>IF($A500="","",MONTH($A500))</f>
        <v/>
      </c>
      <c r="J500" s="113">
        <f>IF($A500="","",YEAR($A500))</f>
        <v/>
      </c>
      <c r="K500" s="113">
        <f>IFERROR(INDEX(Setup!$I$7:$I$22,MATCH($C500,Setup!$D$7:$D$22,0)),"")</f>
        <v/>
      </c>
      <c r="L500" s="88" t="n"/>
      <c r="M500" s="88" t="n"/>
      <c r="N500" s="88" t="n"/>
      <c r="O500" s="88" t="n"/>
      <c r="P500" s="88" t="n"/>
      <c r="Q500" s="88" t="n"/>
      <c r="R500" s="88" t="n"/>
      <c r="S500" s="88" t="n"/>
      <c r="T500" s="88" t="n"/>
      <c r="U500" s="88" t="n"/>
      <c r="V500" s="88" t="n"/>
      <c r="W500" s="88" t="n"/>
      <c r="X500" s="88" t="n"/>
      <c r="Y500" s="88" t="n"/>
      <c r="Z500" s="88" t="n"/>
    </row>
    <row r="501" ht="15" customHeight="1" s="86">
      <c r="A501" s="107" t="n"/>
      <c r="B501" s="95" t="n"/>
      <c r="C501" s="102" t="n"/>
      <c r="D501" s="102" t="n"/>
      <c r="E501" s="97" t="n"/>
      <c r="F501" s="102" t="n"/>
      <c r="G501" s="102" t="n"/>
      <c r="H501" s="102" t="n"/>
      <c r="I501" s="113">
        <f>IF($A501="","",MONTH($A501))</f>
        <v/>
      </c>
      <c r="J501" s="113">
        <f>IF($A501="","",YEAR($A501))</f>
        <v/>
      </c>
      <c r="K501" s="113">
        <f>IFERROR(INDEX(Setup!$I$7:$I$22,MATCH($C501,Setup!$D$7:$D$22,0)),"")</f>
        <v/>
      </c>
      <c r="L501" s="88" t="n"/>
      <c r="M501" s="88" t="n"/>
      <c r="N501" s="88" t="n"/>
      <c r="O501" s="88" t="n"/>
      <c r="P501" s="88" t="n"/>
      <c r="Q501" s="88" t="n"/>
      <c r="R501" s="88" t="n"/>
      <c r="S501" s="88" t="n"/>
      <c r="T501" s="88" t="n"/>
      <c r="U501" s="88" t="n"/>
      <c r="V501" s="88" t="n"/>
      <c r="W501" s="88" t="n"/>
      <c r="X501" s="88" t="n"/>
      <c r="Y501" s="88" t="n"/>
      <c r="Z501" s="88" t="n"/>
    </row>
    <row r="502" ht="15" customHeight="1" s="86">
      <c r="A502" s="109" t="n"/>
      <c r="B502" s="110" t="n"/>
      <c r="C502" s="111" t="n"/>
      <c r="D502" s="111" t="n"/>
      <c r="E502" s="112" t="n"/>
      <c r="F502" s="111" t="n"/>
      <c r="G502" s="111" t="n"/>
      <c r="H502" s="111" t="n"/>
      <c r="I502" s="113">
        <f>IF($A502="","",MONTH($A502))</f>
        <v/>
      </c>
      <c r="J502" s="113">
        <f>IF($A502="","",YEAR($A502))</f>
        <v/>
      </c>
      <c r="K502" s="113">
        <f>IFERROR(INDEX(Setup!$I$7:$I$22,MATCH($C502,Setup!$D$7:$D$22,0)),"")</f>
        <v/>
      </c>
      <c r="L502" s="88" t="n"/>
      <c r="M502" s="88" t="n"/>
      <c r="N502" s="88" t="n"/>
      <c r="O502" s="88" t="n"/>
      <c r="P502" s="88" t="n"/>
      <c r="Q502" s="88" t="n"/>
      <c r="R502" s="88" t="n"/>
      <c r="S502" s="88" t="n"/>
      <c r="T502" s="88" t="n"/>
      <c r="U502" s="88" t="n"/>
      <c r="V502" s="88" t="n"/>
      <c r="W502" s="88" t="n"/>
      <c r="X502" s="88" t="n"/>
      <c r="Y502" s="88" t="n"/>
      <c r="Z502" s="88" t="n"/>
    </row>
    <row r="503" ht="15" customHeight="1" s="86">
      <c r="A503" s="107" t="n"/>
      <c r="B503" s="95" t="n"/>
      <c r="C503" s="102" t="n"/>
      <c r="D503" s="102" t="n"/>
      <c r="E503" s="97" t="n"/>
      <c r="F503" s="102" t="n"/>
      <c r="G503" s="102" t="n"/>
      <c r="H503" s="102" t="n"/>
      <c r="I503" s="113">
        <f>IF($A503="","",MONTH($A503))</f>
        <v/>
      </c>
      <c r="J503" s="113">
        <f>IF($A503="","",YEAR($A503))</f>
        <v/>
      </c>
      <c r="K503" s="113">
        <f>IFERROR(INDEX(Setup!$I$7:$I$22,MATCH($C503,Setup!$D$7:$D$22,0)),"")</f>
        <v/>
      </c>
      <c r="L503" s="88" t="n"/>
      <c r="M503" s="88" t="n"/>
      <c r="N503" s="88" t="n"/>
      <c r="O503" s="88" t="n"/>
      <c r="P503" s="88" t="n"/>
      <c r="Q503" s="88" t="n"/>
      <c r="R503" s="88" t="n"/>
      <c r="S503" s="88" t="n"/>
      <c r="T503" s="88" t="n"/>
      <c r="U503" s="88" t="n"/>
      <c r="V503" s="88" t="n"/>
      <c r="W503" s="88" t="n"/>
      <c r="X503" s="88" t="n"/>
      <c r="Y503" s="88" t="n"/>
      <c r="Z503" s="88" t="n"/>
    </row>
    <row r="504" ht="15" customHeight="1" s="86">
      <c r="A504" s="109" t="n"/>
      <c r="B504" s="110" t="n"/>
      <c r="C504" s="111" t="n"/>
      <c r="D504" s="111" t="n"/>
      <c r="E504" s="112" t="n"/>
      <c r="F504" s="111" t="n"/>
      <c r="G504" s="111" t="n"/>
      <c r="H504" s="111" t="n"/>
      <c r="I504" s="113">
        <f>IF($A504="","",MONTH($A504))</f>
        <v/>
      </c>
      <c r="J504" s="113">
        <f>IF($A504="","",YEAR($A504))</f>
        <v/>
      </c>
      <c r="K504" s="113">
        <f>IFERROR(INDEX(Setup!$I$7:$I$22,MATCH($C504,Setup!$D$7:$D$22,0)),"")</f>
        <v/>
      </c>
      <c r="L504" s="88" t="n"/>
      <c r="M504" s="88" t="n"/>
      <c r="N504" s="88" t="n"/>
      <c r="O504" s="88" t="n"/>
      <c r="P504" s="88" t="n"/>
      <c r="Q504" s="88" t="n"/>
      <c r="R504" s="88" t="n"/>
      <c r="S504" s="88" t="n"/>
      <c r="T504" s="88" t="n"/>
      <c r="U504" s="88" t="n"/>
      <c r="V504" s="88" t="n"/>
      <c r="W504" s="88" t="n"/>
      <c r="X504" s="88" t="n"/>
      <c r="Y504" s="88" t="n"/>
      <c r="Z504" s="88" t="n"/>
    </row>
    <row r="505" ht="15.75" customHeight="1" s="86">
      <c r="T505" s="85" t="n"/>
      <c r="U505" s="85" t="n"/>
      <c r="V505" s="85" t="n"/>
      <c r="W505" s="85" t="n"/>
      <c r="X505" s="85" t="n"/>
      <c r="Y505" s="85" t="n"/>
      <c r="Z505" s="85" t="n"/>
    </row>
    <row r="506" ht="15.75" customHeight="1" s="86">
      <c r="T506" s="85" t="n"/>
      <c r="U506" s="85" t="n"/>
      <c r="V506" s="85" t="n"/>
      <c r="W506" s="85" t="n"/>
      <c r="X506" s="85" t="n"/>
      <c r="Y506" s="85" t="n"/>
      <c r="Z506" s="85" t="n"/>
    </row>
    <row r="507" ht="15.75" customHeight="1" s="86">
      <c r="T507" s="85" t="n"/>
      <c r="U507" s="85" t="n"/>
      <c r="V507" s="85" t="n"/>
      <c r="W507" s="85" t="n"/>
      <c r="X507" s="85" t="n"/>
      <c r="Y507" s="85" t="n"/>
      <c r="Z507" s="85" t="n"/>
    </row>
    <row r="508" ht="15.75" customHeight="1" s="86">
      <c r="T508" s="85" t="n"/>
      <c r="U508" s="85" t="n"/>
      <c r="V508" s="85" t="n"/>
      <c r="W508" s="85" t="n"/>
      <c r="X508" s="85" t="n"/>
      <c r="Y508" s="85" t="n"/>
      <c r="Z508" s="85" t="n"/>
    </row>
    <row r="509" ht="15.75" customHeight="1" s="86">
      <c r="T509" s="85" t="n"/>
      <c r="U509" s="85" t="n"/>
      <c r="V509" s="85" t="n"/>
      <c r="W509" s="85" t="n"/>
      <c r="X509" s="85" t="n"/>
      <c r="Y509" s="85" t="n"/>
      <c r="Z509" s="85" t="n"/>
    </row>
    <row r="510" ht="15.75" customHeight="1" s="86">
      <c r="T510" s="85" t="n"/>
      <c r="U510" s="85" t="n"/>
      <c r="V510" s="85" t="n"/>
      <c r="W510" s="85" t="n"/>
      <c r="X510" s="85" t="n"/>
      <c r="Y510" s="85" t="n"/>
      <c r="Z510" s="85" t="n"/>
    </row>
    <row r="511" ht="15.75" customHeight="1" s="86">
      <c r="T511" s="85" t="n"/>
      <c r="U511" s="85" t="n"/>
      <c r="V511" s="85" t="n"/>
      <c r="W511" s="85" t="n"/>
      <c r="X511" s="85" t="n"/>
      <c r="Y511" s="85" t="n"/>
      <c r="Z511" s="85" t="n"/>
    </row>
    <row r="512" ht="15.75" customHeight="1" s="86">
      <c r="T512" s="85" t="n"/>
      <c r="U512" s="85" t="n"/>
      <c r="V512" s="85" t="n"/>
      <c r="W512" s="85" t="n"/>
      <c r="X512" s="85" t="n"/>
      <c r="Y512" s="85" t="n"/>
      <c r="Z512" s="85" t="n"/>
    </row>
    <row r="513" ht="15.75" customHeight="1" s="86">
      <c r="T513" s="85" t="n"/>
      <c r="U513" s="85" t="n"/>
      <c r="V513" s="85" t="n"/>
      <c r="W513" s="85" t="n"/>
      <c r="X513" s="85" t="n"/>
      <c r="Y513" s="85" t="n"/>
      <c r="Z513" s="85" t="n"/>
    </row>
    <row r="514" ht="15.75" customHeight="1" s="86">
      <c r="T514" s="85" t="n"/>
      <c r="U514" s="85" t="n"/>
      <c r="V514" s="85" t="n"/>
      <c r="W514" s="85" t="n"/>
      <c r="X514" s="85" t="n"/>
      <c r="Y514" s="85" t="n"/>
      <c r="Z514" s="85" t="n"/>
    </row>
    <row r="515" ht="15.75" customHeight="1" s="86">
      <c r="T515" s="85" t="n"/>
      <c r="U515" s="85" t="n"/>
      <c r="V515" s="85" t="n"/>
      <c r="W515" s="85" t="n"/>
      <c r="X515" s="85" t="n"/>
      <c r="Y515" s="85" t="n"/>
      <c r="Z515" s="85" t="n"/>
    </row>
    <row r="516" ht="15.75" customHeight="1" s="86">
      <c r="T516" s="85" t="n"/>
      <c r="U516" s="85" t="n"/>
      <c r="V516" s="85" t="n"/>
      <c r="W516" s="85" t="n"/>
      <c r="X516" s="85" t="n"/>
      <c r="Y516" s="85" t="n"/>
      <c r="Z516" s="85" t="n"/>
    </row>
    <row r="517" ht="15.75" customHeight="1" s="86">
      <c r="T517" s="85" t="n"/>
      <c r="U517" s="85" t="n"/>
      <c r="V517" s="85" t="n"/>
      <c r="W517" s="85" t="n"/>
      <c r="X517" s="85" t="n"/>
      <c r="Y517" s="85" t="n"/>
      <c r="Z517" s="85" t="n"/>
    </row>
    <row r="518" ht="15.75" customHeight="1" s="86">
      <c r="T518" s="85" t="n"/>
      <c r="U518" s="85" t="n"/>
      <c r="V518" s="85" t="n"/>
      <c r="W518" s="85" t="n"/>
      <c r="X518" s="85" t="n"/>
      <c r="Y518" s="85" t="n"/>
      <c r="Z518" s="85" t="n"/>
    </row>
    <row r="519" ht="15.75" customHeight="1" s="86">
      <c r="T519" s="85" t="n"/>
      <c r="U519" s="85" t="n"/>
      <c r="V519" s="85" t="n"/>
      <c r="W519" s="85" t="n"/>
      <c r="X519" s="85" t="n"/>
      <c r="Y519" s="85" t="n"/>
      <c r="Z519" s="85" t="n"/>
    </row>
    <row r="520" ht="15.75" customHeight="1" s="86">
      <c r="T520" s="85" t="n"/>
      <c r="U520" s="85" t="n"/>
      <c r="V520" s="85" t="n"/>
      <c r="W520" s="85" t="n"/>
      <c r="X520" s="85" t="n"/>
      <c r="Y520" s="85" t="n"/>
      <c r="Z520" s="85" t="n"/>
    </row>
    <row r="521" ht="15.75" customHeight="1" s="86">
      <c r="T521" s="85" t="n"/>
      <c r="U521" s="85" t="n"/>
      <c r="V521" s="85" t="n"/>
      <c r="W521" s="85" t="n"/>
      <c r="X521" s="85" t="n"/>
      <c r="Y521" s="85" t="n"/>
      <c r="Z521" s="85" t="n"/>
    </row>
    <row r="522" ht="15.75" customHeight="1" s="86">
      <c r="T522" s="85" t="n"/>
      <c r="U522" s="85" t="n"/>
      <c r="V522" s="85" t="n"/>
      <c r="W522" s="85" t="n"/>
      <c r="X522" s="85" t="n"/>
      <c r="Y522" s="85" t="n"/>
      <c r="Z522" s="85" t="n"/>
    </row>
    <row r="523" ht="15.75" customHeight="1" s="86">
      <c r="T523" s="85" t="n"/>
      <c r="U523" s="85" t="n"/>
      <c r="V523" s="85" t="n"/>
      <c r="W523" s="85" t="n"/>
      <c r="X523" s="85" t="n"/>
      <c r="Y523" s="85" t="n"/>
      <c r="Z523" s="85" t="n"/>
    </row>
    <row r="524" ht="15.75" customHeight="1" s="86">
      <c r="T524" s="85" t="n"/>
      <c r="U524" s="85" t="n"/>
      <c r="V524" s="85" t="n"/>
      <c r="W524" s="85" t="n"/>
      <c r="X524" s="85" t="n"/>
      <c r="Y524" s="85" t="n"/>
      <c r="Z524" s="85" t="n"/>
    </row>
    <row r="525" ht="15.75" customHeight="1" s="86">
      <c r="T525" s="85" t="n"/>
      <c r="U525" s="85" t="n"/>
      <c r="V525" s="85" t="n"/>
      <c r="W525" s="85" t="n"/>
      <c r="X525" s="85" t="n"/>
      <c r="Y525" s="85" t="n"/>
      <c r="Z525" s="85" t="n"/>
    </row>
    <row r="526" ht="15.75" customHeight="1" s="86">
      <c r="T526" s="85" t="n"/>
      <c r="U526" s="85" t="n"/>
      <c r="V526" s="85" t="n"/>
      <c r="W526" s="85" t="n"/>
      <c r="X526" s="85" t="n"/>
      <c r="Y526" s="85" t="n"/>
      <c r="Z526" s="85" t="n"/>
    </row>
    <row r="527" ht="15.75" customHeight="1" s="86">
      <c r="T527" s="85" t="n"/>
      <c r="U527" s="85" t="n"/>
      <c r="V527" s="85" t="n"/>
      <c r="W527" s="85" t="n"/>
      <c r="X527" s="85" t="n"/>
      <c r="Y527" s="85" t="n"/>
      <c r="Z527" s="85" t="n"/>
    </row>
    <row r="528" ht="15.75" customHeight="1" s="86">
      <c r="T528" s="85" t="n"/>
      <c r="U528" s="85" t="n"/>
      <c r="V528" s="85" t="n"/>
      <c r="W528" s="85" t="n"/>
      <c r="X528" s="85" t="n"/>
      <c r="Y528" s="85" t="n"/>
      <c r="Z528" s="85" t="n"/>
    </row>
    <row r="529" ht="15.75" customHeight="1" s="86">
      <c r="T529" s="85" t="n"/>
      <c r="U529" s="85" t="n"/>
      <c r="V529" s="85" t="n"/>
      <c r="W529" s="85" t="n"/>
      <c r="X529" s="85" t="n"/>
      <c r="Y529" s="85" t="n"/>
      <c r="Z529" s="85" t="n"/>
    </row>
    <row r="530" ht="15.75" customHeight="1" s="86">
      <c r="T530" s="85" t="n"/>
      <c r="U530" s="85" t="n"/>
      <c r="V530" s="85" t="n"/>
      <c r="W530" s="85" t="n"/>
      <c r="X530" s="85" t="n"/>
      <c r="Y530" s="85" t="n"/>
      <c r="Z530" s="85" t="n"/>
    </row>
    <row r="531" ht="15.75" customHeight="1" s="86">
      <c r="T531" s="85" t="n"/>
      <c r="U531" s="85" t="n"/>
      <c r="V531" s="85" t="n"/>
      <c r="W531" s="85" t="n"/>
      <c r="X531" s="85" t="n"/>
      <c r="Y531" s="85" t="n"/>
      <c r="Z531" s="85" t="n"/>
    </row>
    <row r="532" ht="15.75" customHeight="1" s="86">
      <c r="T532" s="85" t="n"/>
      <c r="U532" s="85" t="n"/>
      <c r="V532" s="85" t="n"/>
      <c r="W532" s="85" t="n"/>
      <c r="X532" s="85" t="n"/>
      <c r="Y532" s="85" t="n"/>
      <c r="Z532" s="85" t="n"/>
    </row>
    <row r="533" ht="15.75" customHeight="1" s="86">
      <c r="T533" s="85" t="n"/>
      <c r="U533" s="85" t="n"/>
      <c r="V533" s="85" t="n"/>
      <c r="W533" s="85" t="n"/>
      <c r="X533" s="85" t="n"/>
      <c r="Y533" s="85" t="n"/>
      <c r="Z533" s="85" t="n"/>
    </row>
    <row r="534" ht="15.75" customHeight="1" s="86">
      <c r="T534" s="85" t="n"/>
      <c r="U534" s="85" t="n"/>
      <c r="V534" s="85" t="n"/>
      <c r="W534" s="85" t="n"/>
      <c r="X534" s="85" t="n"/>
      <c r="Y534" s="85" t="n"/>
      <c r="Z534" s="85" t="n"/>
    </row>
    <row r="535" ht="15.75" customHeight="1" s="86">
      <c r="T535" s="85" t="n"/>
      <c r="U535" s="85" t="n"/>
      <c r="V535" s="85" t="n"/>
      <c r="W535" s="85" t="n"/>
      <c r="X535" s="85" t="n"/>
      <c r="Y535" s="85" t="n"/>
      <c r="Z535" s="85" t="n"/>
    </row>
    <row r="536" ht="15.75" customHeight="1" s="86">
      <c r="T536" s="85" t="n"/>
      <c r="U536" s="85" t="n"/>
      <c r="V536" s="85" t="n"/>
      <c r="W536" s="85" t="n"/>
      <c r="X536" s="85" t="n"/>
      <c r="Y536" s="85" t="n"/>
      <c r="Z536" s="85" t="n"/>
    </row>
    <row r="537" ht="15.75" customHeight="1" s="86">
      <c r="T537" s="85" t="n"/>
      <c r="U537" s="85" t="n"/>
      <c r="V537" s="85" t="n"/>
      <c r="W537" s="85" t="n"/>
      <c r="X537" s="85" t="n"/>
      <c r="Y537" s="85" t="n"/>
      <c r="Z537" s="85" t="n"/>
    </row>
    <row r="538" ht="15.75" customHeight="1" s="86">
      <c r="T538" s="85" t="n"/>
      <c r="U538" s="85" t="n"/>
      <c r="V538" s="85" t="n"/>
      <c r="W538" s="85" t="n"/>
      <c r="X538" s="85" t="n"/>
      <c r="Y538" s="85" t="n"/>
      <c r="Z538" s="85" t="n"/>
    </row>
    <row r="539" ht="15.75" customHeight="1" s="86">
      <c r="T539" s="85" t="n"/>
      <c r="U539" s="85" t="n"/>
      <c r="V539" s="85" t="n"/>
      <c r="W539" s="85" t="n"/>
      <c r="X539" s="85" t="n"/>
      <c r="Y539" s="85" t="n"/>
      <c r="Z539" s="85" t="n"/>
    </row>
    <row r="540" ht="15.75" customHeight="1" s="86">
      <c r="T540" s="85" t="n"/>
      <c r="U540" s="85" t="n"/>
      <c r="V540" s="85" t="n"/>
      <c r="W540" s="85" t="n"/>
      <c r="X540" s="85" t="n"/>
      <c r="Y540" s="85" t="n"/>
      <c r="Z540" s="85" t="n"/>
    </row>
    <row r="541" ht="15.75" customHeight="1" s="86">
      <c r="T541" s="85" t="n"/>
      <c r="U541" s="85" t="n"/>
      <c r="V541" s="85" t="n"/>
      <c r="W541" s="85" t="n"/>
      <c r="X541" s="85" t="n"/>
      <c r="Y541" s="85" t="n"/>
      <c r="Z541" s="85" t="n"/>
    </row>
    <row r="542" ht="15.75" customHeight="1" s="86">
      <c r="T542" s="85" t="n"/>
      <c r="U542" s="85" t="n"/>
      <c r="V542" s="85" t="n"/>
      <c r="W542" s="85" t="n"/>
      <c r="X542" s="85" t="n"/>
      <c r="Y542" s="85" t="n"/>
      <c r="Z542" s="85" t="n"/>
    </row>
    <row r="543" ht="15.75" customHeight="1" s="86">
      <c r="T543" s="85" t="n"/>
      <c r="U543" s="85" t="n"/>
      <c r="V543" s="85" t="n"/>
      <c r="W543" s="85" t="n"/>
      <c r="X543" s="85" t="n"/>
      <c r="Y543" s="85" t="n"/>
      <c r="Z543" s="85" t="n"/>
    </row>
    <row r="544" ht="15.75" customHeight="1" s="86">
      <c r="T544" s="85" t="n"/>
      <c r="U544" s="85" t="n"/>
      <c r="V544" s="85" t="n"/>
      <c r="W544" s="85" t="n"/>
      <c r="X544" s="85" t="n"/>
      <c r="Y544" s="85" t="n"/>
      <c r="Z544" s="85" t="n"/>
    </row>
    <row r="545" ht="15.75" customHeight="1" s="86">
      <c r="T545" s="85" t="n"/>
      <c r="U545" s="85" t="n"/>
      <c r="V545" s="85" t="n"/>
      <c r="W545" s="85" t="n"/>
      <c r="X545" s="85" t="n"/>
      <c r="Y545" s="85" t="n"/>
      <c r="Z545" s="85" t="n"/>
    </row>
    <row r="546" ht="15.75" customHeight="1" s="86">
      <c r="T546" s="85" t="n"/>
      <c r="U546" s="85" t="n"/>
      <c r="V546" s="85" t="n"/>
      <c r="W546" s="85" t="n"/>
      <c r="X546" s="85" t="n"/>
      <c r="Y546" s="85" t="n"/>
      <c r="Z546" s="85" t="n"/>
    </row>
    <row r="547" ht="15.75" customHeight="1" s="86">
      <c r="T547" s="85" t="n"/>
      <c r="U547" s="85" t="n"/>
      <c r="V547" s="85" t="n"/>
      <c r="W547" s="85" t="n"/>
      <c r="X547" s="85" t="n"/>
      <c r="Y547" s="85" t="n"/>
      <c r="Z547" s="85" t="n"/>
    </row>
    <row r="548" ht="15.75" customHeight="1" s="86">
      <c r="T548" s="85" t="n"/>
      <c r="U548" s="85" t="n"/>
      <c r="V548" s="85" t="n"/>
      <c r="W548" s="85" t="n"/>
      <c r="X548" s="85" t="n"/>
      <c r="Y548" s="85" t="n"/>
      <c r="Z548" s="85" t="n"/>
    </row>
    <row r="549" ht="15.75" customHeight="1" s="86">
      <c r="T549" s="85" t="n"/>
      <c r="U549" s="85" t="n"/>
      <c r="V549" s="85" t="n"/>
      <c r="W549" s="85" t="n"/>
      <c r="X549" s="85" t="n"/>
      <c r="Y549" s="85" t="n"/>
      <c r="Z549" s="85" t="n"/>
    </row>
    <row r="550" ht="15.75" customHeight="1" s="86">
      <c r="T550" s="85" t="n"/>
      <c r="U550" s="85" t="n"/>
      <c r="V550" s="85" t="n"/>
      <c r="W550" s="85" t="n"/>
      <c r="X550" s="85" t="n"/>
      <c r="Y550" s="85" t="n"/>
      <c r="Z550" s="85" t="n"/>
    </row>
    <row r="551" ht="15.75" customHeight="1" s="86">
      <c r="T551" s="85" t="n"/>
      <c r="U551" s="85" t="n"/>
      <c r="V551" s="85" t="n"/>
      <c r="W551" s="85" t="n"/>
      <c r="X551" s="85" t="n"/>
      <c r="Y551" s="85" t="n"/>
      <c r="Z551" s="85" t="n"/>
    </row>
    <row r="552" ht="15.75" customHeight="1" s="86">
      <c r="T552" s="85" t="n"/>
      <c r="U552" s="85" t="n"/>
      <c r="V552" s="85" t="n"/>
      <c r="W552" s="85" t="n"/>
      <c r="X552" s="85" t="n"/>
      <c r="Y552" s="85" t="n"/>
      <c r="Z552" s="85" t="n"/>
    </row>
    <row r="553" ht="15.75" customHeight="1" s="86">
      <c r="T553" s="85" t="n"/>
      <c r="U553" s="85" t="n"/>
      <c r="V553" s="85" t="n"/>
      <c r="W553" s="85" t="n"/>
      <c r="X553" s="85" t="n"/>
      <c r="Y553" s="85" t="n"/>
      <c r="Z553" s="85" t="n"/>
    </row>
    <row r="554" ht="15.75" customHeight="1" s="86">
      <c r="T554" s="85" t="n"/>
      <c r="U554" s="85" t="n"/>
      <c r="V554" s="85" t="n"/>
      <c r="W554" s="85" t="n"/>
      <c r="X554" s="85" t="n"/>
      <c r="Y554" s="85" t="n"/>
      <c r="Z554" s="85" t="n"/>
    </row>
    <row r="555" ht="15.75" customHeight="1" s="86">
      <c r="T555" s="85" t="n"/>
      <c r="U555" s="85" t="n"/>
      <c r="V555" s="85" t="n"/>
      <c r="W555" s="85" t="n"/>
      <c r="X555" s="85" t="n"/>
      <c r="Y555" s="85" t="n"/>
      <c r="Z555" s="85" t="n"/>
    </row>
    <row r="556" ht="15.75" customHeight="1" s="86">
      <c r="T556" s="85" t="n"/>
      <c r="U556" s="85" t="n"/>
      <c r="V556" s="85" t="n"/>
      <c r="W556" s="85" t="n"/>
      <c r="X556" s="85" t="n"/>
      <c r="Y556" s="85" t="n"/>
      <c r="Z556" s="85" t="n"/>
    </row>
    <row r="557" ht="15.75" customHeight="1" s="86">
      <c r="T557" s="85" t="n"/>
      <c r="U557" s="85" t="n"/>
      <c r="V557" s="85" t="n"/>
      <c r="W557" s="85" t="n"/>
      <c r="X557" s="85" t="n"/>
      <c r="Y557" s="85" t="n"/>
      <c r="Z557" s="85" t="n"/>
    </row>
    <row r="558" ht="15.75" customHeight="1" s="86">
      <c r="T558" s="85" t="n"/>
      <c r="U558" s="85" t="n"/>
      <c r="V558" s="85" t="n"/>
      <c r="W558" s="85" t="n"/>
      <c r="X558" s="85" t="n"/>
      <c r="Y558" s="85" t="n"/>
      <c r="Z558" s="85" t="n"/>
    </row>
    <row r="559" ht="15.75" customHeight="1" s="86">
      <c r="T559" s="85" t="n"/>
      <c r="U559" s="85" t="n"/>
      <c r="V559" s="85" t="n"/>
      <c r="W559" s="85" t="n"/>
      <c r="X559" s="85" t="n"/>
      <c r="Y559" s="85" t="n"/>
      <c r="Z559" s="85" t="n"/>
    </row>
    <row r="560" ht="15.75" customHeight="1" s="86">
      <c r="T560" s="85" t="n"/>
      <c r="U560" s="85" t="n"/>
      <c r="V560" s="85" t="n"/>
      <c r="W560" s="85" t="n"/>
      <c r="X560" s="85" t="n"/>
      <c r="Y560" s="85" t="n"/>
      <c r="Z560" s="85" t="n"/>
    </row>
    <row r="561" ht="15.75" customHeight="1" s="86">
      <c r="T561" s="85" t="n"/>
      <c r="U561" s="85" t="n"/>
      <c r="V561" s="85" t="n"/>
      <c r="W561" s="85" t="n"/>
      <c r="X561" s="85" t="n"/>
      <c r="Y561" s="85" t="n"/>
      <c r="Z561" s="85" t="n"/>
    </row>
    <row r="562" ht="15.75" customHeight="1" s="86">
      <c r="T562" s="85" t="n"/>
      <c r="U562" s="85" t="n"/>
      <c r="V562" s="85" t="n"/>
      <c r="W562" s="85" t="n"/>
      <c r="X562" s="85" t="n"/>
      <c r="Y562" s="85" t="n"/>
      <c r="Z562" s="85" t="n"/>
    </row>
    <row r="563" ht="15.75" customHeight="1" s="86">
      <c r="T563" s="85" t="n"/>
      <c r="U563" s="85" t="n"/>
      <c r="V563" s="85" t="n"/>
      <c r="W563" s="85" t="n"/>
      <c r="X563" s="85" t="n"/>
      <c r="Y563" s="85" t="n"/>
      <c r="Z563" s="85" t="n"/>
    </row>
    <row r="564" ht="15.75" customHeight="1" s="86">
      <c r="T564" s="85" t="n"/>
      <c r="U564" s="85" t="n"/>
      <c r="V564" s="85" t="n"/>
      <c r="W564" s="85" t="n"/>
      <c r="X564" s="85" t="n"/>
      <c r="Y564" s="85" t="n"/>
      <c r="Z564" s="85" t="n"/>
    </row>
    <row r="565" ht="15.75" customHeight="1" s="86">
      <c r="T565" s="85" t="n"/>
      <c r="U565" s="85" t="n"/>
      <c r="V565" s="85" t="n"/>
      <c r="W565" s="85" t="n"/>
      <c r="X565" s="85" t="n"/>
      <c r="Y565" s="85" t="n"/>
      <c r="Z565" s="85" t="n"/>
    </row>
    <row r="566" ht="15.75" customHeight="1" s="86">
      <c r="T566" s="85" t="n"/>
      <c r="U566" s="85" t="n"/>
      <c r="V566" s="85" t="n"/>
      <c r="W566" s="85" t="n"/>
      <c r="X566" s="85" t="n"/>
      <c r="Y566" s="85" t="n"/>
      <c r="Z566" s="85" t="n"/>
    </row>
    <row r="567" ht="15.75" customHeight="1" s="86">
      <c r="T567" s="85" t="n"/>
      <c r="U567" s="85" t="n"/>
      <c r="V567" s="85" t="n"/>
      <c r="W567" s="85" t="n"/>
      <c r="X567" s="85" t="n"/>
      <c r="Y567" s="85" t="n"/>
      <c r="Z567" s="85" t="n"/>
    </row>
    <row r="568" ht="15.75" customHeight="1" s="86">
      <c r="T568" s="85" t="n"/>
      <c r="U568" s="85" t="n"/>
      <c r="V568" s="85" t="n"/>
      <c r="W568" s="85" t="n"/>
      <c r="X568" s="85" t="n"/>
      <c r="Y568" s="85" t="n"/>
      <c r="Z568" s="85" t="n"/>
    </row>
    <row r="569" ht="15.75" customHeight="1" s="86">
      <c r="T569" s="85" t="n"/>
      <c r="U569" s="85" t="n"/>
      <c r="V569" s="85" t="n"/>
      <c r="W569" s="85" t="n"/>
      <c r="X569" s="85" t="n"/>
      <c r="Y569" s="85" t="n"/>
      <c r="Z569" s="85" t="n"/>
    </row>
    <row r="570" ht="15.75" customHeight="1" s="86">
      <c r="T570" s="85" t="n"/>
      <c r="U570" s="85" t="n"/>
      <c r="V570" s="85" t="n"/>
      <c r="W570" s="85" t="n"/>
      <c r="X570" s="85" t="n"/>
      <c r="Y570" s="85" t="n"/>
      <c r="Z570" s="85" t="n"/>
    </row>
    <row r="571" ht="15.75" customHeight="1" s="86">
      <c r="T571" s="85" t="n"/>
      <c r="U571" s="85" t="n"/>
      <c r="V571" s="85" t="n"/>
      <c r="W571" s="85" t="n"/>
      <c r="X571" s="85" t="n"/>
      <c r="Y571" s="85" t="n"/>
      <c r="Z571" s="85" t="n"/>
    </row>
    <row r="572" ht="15.75" customHeight="1" s="86">
      <c r="T572" s="85" t="n"/>
      <c r="U572" s="85" t="n"/>
      <c r="V572" s="85" t="n"/>
      <c r="W572" s="85" t="n"/>
      <c r="X572" s="85" t="n"/>
      <c r="Y572" s="85" t="n"/>
      <c r="Z572" s="85" t="n"/>
    </row>
    <row r="573" ht="15.75" customHeight="1" s="86">
      <c r="T573" s="85" t="n"/>
      <c r="U573" s="85" t="n"/>
      <c r="V573" s="85" t="n"/>
      <c r="W573" s="85" t="n"/>
      <c r="X573" s="85" t="n"/>
      <c r="Y573" s="85" t="n"/>
      <c r="Z573" s="85" t="n"/>
    </row>
    <row r="574" ht="15.75" customHeight="1" s="86">
      <c r="T574" s="85" t="n"/>
      <c r="U574" s="85" t="n"/>
      <c r="V574" s="85" t="n"/>
      <c r="W574" s="85" t="n"/>
      <c r="X574" s="85" t="n"/>
      <c r="Y574" s="85" t="n"/>
      <c r="Z574" s="85" t="n"/>
    </row>
    <row r="575" ht="15.75" customHeight="1" s="86">
      <c r="T575" s="85" t="n"/>
      <c r="U575" s="85" t="n"/>
      <c r="V575" s="85" t="n"/>
      <c r="W575" s="85" t="n"/>
      <c r="X575" s="85" t="n"/>
      <c r="Y575" s="85" t="n"/>
      <c r="Z575" s="85" t="n"/>
    </row>
    <row r="576" ht="15.75" customHeight="1" s="86">
      <c r="T576" s="85" t="n"/>
      <c r="U576" s="85" t="n"/>
      <c r="V576" s="85" t="n"/>
      <c r="W576" s="85" t="n"/>
      <c r="X576" s="85" t="n"/>
      <c r="Y576" s="85" t="n"/>
      <c r="Z576" s="85" t="n"/>
    </row>
    <row r="577" ht="15.75" customHeight="1" s="86">
      <c r="T577" s="85" t="n"/>
      <c r="U577" s="85" t="n"/>
      <c r="V577" s="85" t="n"/>
      <c r="W577" s="85" t="n"/>
      <c r="X577" s="85" t="n"/>
      <c r="Y577" s="85" t="n"/>
      <c r="Z577" s="85" t="n"/>
    </row>
    <row r="578" ht="15.75" customHeight="1" s="86">
      <c r="T578" s="85" t="n"/>
      <c r="U578" s="85" t="n"/>
      <c r="V578" s="85" t="n"/>
      <c r="W578" s="85" t="n"/>
      <c r="X578" s="85" t="n"/>
      <c r="Y578" s="85" t="n"/>
      <c r="Z578" s="85" t="n"/>
    </row>
    <row r="579" ht="15.75" customHeight="1" s="86">
      <c r="T579" s="85" t="n"/>
      <c r="U579" s="85" t="n"/>
      <c r="V579" s="85" t="n"/>
      <c r="W579" s="85" t="n"/>
      <c r="X579" s="85" t="n"/>
      <c r="Y579" s="85" t="n"/>
      <c r="Z579" s="85" t="n"/>
    </row>
    <row r="580" ht="15.75" customHeight="1" s="86">
      <c r="T580" s="85" t="n"/>
      <c r="U580" s="85" t="n"/>
      <c r="V580" s="85" t="n"/>
      <c r="W580" s="85" t="n"/>
      <c r="X580" s="85" t="n"/>
      <c r="Y580" s="85" t="n"/>
      <c r="Z580" s="85" t="n"/>
    </row>
    <row r="581" ht="15.75" customHeight="1" s="86">
      <c r="T581" s="85" t="n"/>
      <c r="U581" s="85" t="n"/>
      <c r="V581" s="85" t="n"/>
      <c r="W581" s="85" t="n"/>
      <c r="X581" s="85" t="n"/>
      <c r="Y581" s="85" t="n"/>
      <c r="Z581" s="85" t="n"/>
    </row>
    <row r="582" ht="15.75" customHeight="1" s="86">
      <c r="T582" s="85" t="n"/>
      <c r="U582" s="85" t="n"/>
      <c r="V582" s="85" t="n"/>
      <c r="W582" s="85" t="n"/>
      <c r="X582" s="85" t="n"/>
      <c r="Y582" s="85" t="n"/>
      <c r="Z582" s="85" t="n"/>
    </row>
    <row r="583" ht="15.75" customHeight="1" s="86">
      <c r="T583" s="85" t="n"/>
      <c r="U583" s="85" t="n"/>
      <c r="V583" s="85" t="n"/>
      <c r="W583" s="85" t="n"/>
      <c r="X583" s="85" t="n"/>
      <c r="Y583" s="85" t="n"/>
      <c r="Z583" s="85" t="n"/>
    </row>
    <row r="584" ht="15.75" customHeight="1" s="86">
      <c r="T584" s="85" t="n"/>
      <c r="U584" s="85" t="n"/>
      <c r="V584" s="85" t="n"/>
      <c r="W584" s="85" t="n"/>
      <c r="X584" s="85" t="n"/>
      <c r="Y584" s="85" t="n"/>
      <c r="Z584" s="85" t="n"/>
    </row>
    <row r="585" ht="15.75" customHeight="1" s="86">
      <c r="T585" s="85" t="n"/>
      <c r="U585" s="85" t="n"/>
      <c r="V585" s="85" t="n"/>
      <c r="W585" s="85" t="n"/>
      <c r="X585" s="85" t="n"/>
      <c r="Y585" s="85" t="n"/>
      <c r="Z585" s="85" t="n"/>
    </row>
    <row r="586" ht="15.75" customHeight="1" s="86">
      <c r="T586" s="85" t="n"/>
      <c r="U586" s="85" t="n"/>
      <c r="V586" s="85" t="n"/>
      <c r="W586" s="85" t="n"/>
      <c r="X586" s="85" t="n"/>
      <c r="Y586" s="85" t="n"/>
      <c r="Z586" s="85" t="n"/>
    </row>
    <row r="587" ht="15.75" customHeight="1" s="86">
      <c r="T587" s="85" t="n"/>
      <c r="U587" s="85" t="n"/>
      <c r="V587" s="85" t="n"/>
      <c r="W587" s="85" t="n"/>
      <c r="X587" s="85" t="n"/>
      <c r="Y587" s="85" t="n"/>
      <c r="Z587" s="85" t="n"/>
    </row>
    <row r="588" ht="15.75" customHeight="1" s="86">
      <c r="T588" s="85" t="n"/>
      <c r="U588" s="85" t="n"/>
      <c r="V588" s="85" t="n"/>
      <c r="W588" s="85" t="n"/>
      <c r="X588" s="85" t="n"/>
      <c r="Y588" s="85" t="n"/>
      <c r="Z588" s="85" t="n"/>
    </row>
    <row r="589" ht="15.75" customHeight="1" s="86">
      <c r="T589" s="85" t="n"/>
      <c r="U589" s="85" t="n"/>
      <c r="V589" s="85" t="n"/>
      <c r="W589" s="85" t="n"/>
      <c r="X589" s="85" t="n"/>
      <c r="Y589" s="85" t="n"/>
      <c r="Z589" s="85" t="n"/>
    </row>
    <row r="590" ht="15.75" customHeight="1" s="86">
      <c r="T590" s="85" t="n"/>
      <c r="U590" s="85" t="n"/>
      <c r="V590" s="85" t="n"/>
      <c r="W590" s="85" t="n"/>
      <c r="X590" s="85" t="n"/>
      <c r="Y590" s="85" t="n"/>
      <c r="Z590" s="85" t="n"/>
    </row>
    <row r="591" ht="15.75" customHeight="1" s="86">
      <c r="T591" s="85" t="n"/>
      <c r="U591" s="85" t="n"/>
      <c r="V591" s="85" t="n"/>
      <c r="W591" s="85" t="n"/>
      <c r="X591" s="85" t="n"/>
      <c r="Y591" s="85" t="n"/>
      <c r="Z591" s="85" t="n"/>
    </row>
    <row r="592" ht="15.75" customHeight="1" s="86">
      <c r="T592" s="85" t="n"/>
      <c r="U592" s="85" t="n"/>
      <c r="V592" s="85" t="n"/>
      <c r="W592" s="85" t="n"/>
      <c r="X592" s="85" t="n"/>
      <c r="Y592" s="85" t="n"/>
      <c r="Z592" s="85" t="n"/>
    </row>
    <row r="593" ht="15.75" customHeight="1" s="86">
      <c r="T593" s="85" t="n"/>
      <c r="U593" s="85" t="n"/>
      <c r="V593" s="85" t="n"/>
      <c r="W593" s="85" t="n"/>
      <c r="X593" s="85" t="n"/>
      <c r="Y593" s="85" t="n"/>
      <c r="Z593" s="85" t="n"/>
    </row>
    <row r="594" ht="15.75" customHeight="1" s="86">
      <c r="T594" s="85" t="n"/>
      <c r="U594" s="85" t="n"/>
      <c r="V594" s="85" t="n"/>
      <c r="W594" s="85" t="n"/>
      <c r="X594" s="85" t="n"/>
      <c r="Y594" s="85" t="n"/>
      <c r="Z594" s="85" t="n"/>
    </row>
    <row r="595" ht="15.75" customHeight="1" s="86">
      <c r="T595" s="85" t="n"/>
      <c r="U595" s="85" t="n"/>
      <c r="V595" s="85" t="n"/>
      <c r="W595" s="85" t="n"/>
      <c r="X595" s="85" t="n"/>
      <c r="Y595" s="85" t="n"/>
      <c r="Z595" s="85" t="n"/>
    </row>
    <row r="596" ht="15.75" customHeight="1" s="86">
      <c r="T596" s="85" t="n"/>
      <c r="U596" s="85" t="n"/>
      <c r="V596" s="85" t="n"/>
      <c r="W596" s="85" t="n"/>
      <c r="X596" s="85" t="n"/>
      <c r="Y596" s="85" t="n"/>
      <c r="Z596" s="85" t="n"/>
    </row>
    <row r="597" ht="15.75" customHeight="1" s="86">
      <c r="T597" s="85" t="n"/>
      <c r="U597" s="85" t="n"/>
      <c r="V597" s="85" t="n"/>
      <c r="W597" s="85" t="n"/>
      <c r="X597" s="85" t="n"/>
      <c r="Y597" s="85" t="n"/>
      <c r="Z597" s="85" t="n"/>
    </row>
    <row r="598" ht="15.75" customHeight="1" s="86">
      <c r="T598" s="85" t="n"/>
      <c r="U598" s="85" t="n"/>
      <c r="V598" s="85" t="n"/>
      <c r="W598" s="85" t="n"/>
      <c r="X598" s="85" t="n"/>
      <c r="Y598" s="85" t="n"/>
      <c r="Z598" s="85" t="n"/>
    </row>
    <row r="599" ht="15.75" customHeight="1" s="86">
      <c r="T599" s="85" t="n"/>
      <c r="U599" s="85" t="n"/>
      <c r="V599" s="85" t="n"/>
      <c r="W599" s="85" t="n"/>
      <c r="X599" s="85" t="n"/>
      <c r="Y599" s="85" t="n"/>
      <c r="Z599" s="85" t="n"/>
    </row>
    <row r="600" ht="15.75" customHeight="1" s="86">
      <c r="T600" s="85" t="n"/>
      <c r="U600" s="85" t="n"/>
      <c r="V600" s="85" t="n"/>
      <c r="W600" s="85" t="n"/>
      <c r="X600" s="85" t="n"/>
      <c r="Y600" s="85" t="n"/>
      <c r="Z600" s="85" t="n"/>
    </row>
    <row r="601" ht="15.75" customHeight="1" s="86">
      <c r="T601" s="85" t="n"/>
      <c r="U601" s="85" t="n"/>
      <c r="V601" s="85" t="n"/>
      <c r="W601" s="85" t="n"/>
      <c r="X601" s="85" t="n"/>
      <c r="Y601" s="85" t="n"/>
      <c r="Z601" s="85" t="n"/>
    </row>
    <row r="602" ht="15.75" customHeight="1" s="86">
      <c r="T602" s="85" t="n"/>
      <c r="U602" s="85" t="n"/>
      <c r="V602" s="85" t="n"/>
      <c r="W602" s="85" t="n"/>
      <c r="X602" s="85" t="n"/>
      <c r="Y602" s="85" t="n"/>
      <c r="Z602" s="85" t="n"/>
    </row>
    <row r="603" ht="15.75" customHeight="1" s="86">
      <c r="T603" s="85" t="n"/>
      <c r="U603" s="85" t="n"/>
      <c r="V603" s="85" t="n"/>
      <c r="W603" s="85" t="n"/>
      <c r="X603" s="85" t="n"/>
      <c r="Y603" s="85" t="n"/>
      <c r="Z603" s="85" t="n"/>
    </row>
    <row r="604" ht="15.75" customHeight="1" s="86">
      <c r="T604" s="85" t="n"/>
      <c r="U604" s="85" t="n"/>
      <c r="V604" s="85" t="n"/>
      <c r="W604" s="85" t="n"/>
      <c r="X604" s="85" t="n"/>
      <c r="Y604" s="85" t="n"/>
      <c r="Z604" s="85" t="n"/>
    </row>
    <row r="605" ht="15.75" customHeight="1" s="86">
      <c r="T605" s="85" t="n"/>
      <c r="U605" s="85" t="n"/>
      <c r="V605" s="85" t="n"/>
      <c r="W605" s="85" t="n"/>
      <c r="X605" s="85" t="n"/>
      <c r="Y605" s="85" t="n"/>
      <c r="Z605" s="85" t="n"/>
    </row>
    <row r="606" ht="15.75" customHeight="1" s="86">
      <c r="T606" s="85" t="n"/>
      <c r="U606" s="85" t="n"/>
      <c r="V606" s="85" t="n"/>
      <c r="W606" s="85" t="n"/>
      <c r="X606" s="85" t="n"/>
      <c r="Y606" s="85" t="n"/>
      <c r="Z606" s="85" t="n"/>
    </row>
    <row r="607" ht="15.75" customHeight="1" s="86">
      <c r="T607" s="85" t="n"/>
      <c r="U607" s="85" t="n"/>
      <c r="V607" s="85" t="n"/>
      <c r="W607" s="85" t="n"/>
      <c r="X607" s="85" t="n"/>
      <c r="Y607" s="85" t="n"/>
      <c r="Z607" s="85" t="n"/>
    </row>
    <row r="608" ht="15.75" customHeight="1" s="86">
      <c r="T608" s="85" t="n"/>
      <c r="U608" s="85" t="n"/>
      <c r="V608" s="85" t="n"/>
      <c r="W608" s="85" t="n"/>
      <c r="X608" s="85" t="n"/>
      <c r="Y608" s="85" t="n"/>
      <c r="Z608" s="85" t="n"/>
    </row>
    <row r="609" ht="15.75" customHeight="1" s="86">
      <c r="T609" s="85" t="n"/>
      <c r="U609" s="85" t="n"/>
      <c r="V609" s="85" t="n"/>
      <c r="W609" s="85" t="n"/>
      <c r="X609" s="85" t="n"/>
      <c r="Y609" s="85" t="n"/>
      <c r="Z609" s="85" t="n"/>
    </row>
    <row r="610" ht="15.75" customHeight="1" s="86">
      <c r="T610" s="85" t="n"/>
      <c r="U610" s="85" t="n"/>
      <c r="V610" s="85" t="n"/>
      <c r="W610" s="85" t="n"/>
      <c r="X610" s="85" t="n"/>
      <c r="Y610" s="85" t="n"/>
      <c r="Z610" s="85" t="n"/>
    </row>
    <row r="611" ht="15.75" customHeight="1" s="86">
      <c r="T611" s="85" t="n"/>
      <c r="U611" s="85" t="n"/>
      <c r="V611" s="85" t="n"/>
      <c r="W611" s="85" t="n"/>
      <c r="X611" s="85" t="n"/>
      <c r="Y611" s="85" t="n"/>
      <c r="Z611" s="85" t="n"/>
    </row>
    <row r="612" ht="15.75" customHeight="1" s="86">
      <c r="T612" s="85" t="n"/>
      <c r="U612" s="85" t="n"/>
      <c r="V612" s="85" t="n"/>
      <c r="W612" s="85" t="n"/>
      <c r="X612" s="85" t="n"/>
      <c r="Y612" s="85" t="n"/>
      <c r="Z612" s="85" t="n"/>
    </row>
    <row r="613" ht="15.75" customHeight="1" s="86">
      <c r="T613" s="85" t="n"/>
      <c r="U613" s="85" t="n"/>
      <c r="V613" s="85" t="n"/>
      <c r="W613" s="85" t="n"/>
      <c r="X613" s="85" t="n"/>
      <c r="Y613" s="85" t="n"/>
      <c r="Z613" s="85" t="n"/>
    </row>
    <row r="614" ht="15.75" customHeight="1" s="86">
      <c r="T614" s="85" t="n"/>
      <c r="U614" s="85" t="n"/>
      <c r="V614" s="85" t="n"/>
      <c r="W614" s="85" t="n"/>
      <c r="X614" s="85" t="n"/>
      <c r="Y614" s="85" t="n"/>
      <c r="Z614" s="85" t="n"/>
    </row>
    <row r="615" ht="15.75" customHeight="1" s="86">
      <c r="T615" s="85" t="n"/>
      <c r="U615" s="85" t="n"/>
      <c r="V615" s="85" t="n"/>
      <c r="W615" s="85" t="n"/>
      <c r="X615" s="85" t="n"/>
      <c r="Y615" s="85" t="n"/>
      <c r="Z615" s="85" t="n"/>
    </row>
    <row r="616" ht="15.75" customHeight="1" s="86">
      <c r="T616" s="85" t="n"/>
      <c r="U616" s="85" t="n"/>
      <c r="V616" s="85" t="n"/>
      <c r="W616" s="85" t="n"/>
      <c r="X616" s="85" t="n"/>
      <c r="Y616" s="85" t="n"/>
      <c r="Z616" s="85" t="n"/>
    </row>
    <row r="617" ht="15.75" customHeight="1" s="86">
      <c r="T617" s="85" t="n"/>
      <c r="U617" s="85" t="n"/>
      <c r="V617" s="85" t="n"/>
      <c r="W617" s="85" t="n"/>
      <c r="X617" s="85" t="n"/>
      <c r="Y617" s="85" t="n"/>
      <c r="Z617" s="85" t="n"/>
    </row>
    <row r="618" ht="15.75" customHeight="1" s="86">
      <c r="T618" s="85" t="n"/>
      <c r="U618" s="85" t="n"/>
      <c r="V618" s="85" t="n"/>
      <c r="W618" s="85" t="n"/>
      <c r="X618" s="85" t="n"/>
      <c r="Y618" s="85" t="n"/>
      <c r="Z618" s="85" t="n"/>
    </row>
    <row r="619" ht="15.75" customHeight="1" s="86">
      <c r="T619" s="85" t="n"/>
      <c r="U619" s="85" t="n"/>
      <c r="V619" s="85" t="n"/>
      <c r="W619" s="85" t="n"/>
      <c r="X619" s="85" t="n"/>
      <c r="Y619" s="85" t="n"/>
      <c r="Z619" s="85" t="n"/>
    </row>
    <row r="620" ht="15.75" customHeight="1" s="86">
      <c r="T620" s="85" t="n"/>
      <c r="U620" s="85" t="n"/>
      <c r="V620" s="85" t="n"/>
      <c r="W620" s="85" t="n"/>
      <c r="X620" s="85" t="n"/>
      <c r="Y620" s="85" t="n"/>
      <c r="Z620" s="85" t="n"/>
    </row>
    <row r="621" ht="15.75" customHeight="1" s="86">
      <c r="T621" s="85" t="n"/>
      <c r="U621" s="85" t="n"/>
      <c r="V621" s="85" t="n"/>
      <c r="W621" s="85" t="n"/>
      <c r="X621" s="85" t="n"/>
      <c r="Y621" s="85" t="n"/>
      <c r="Z621" s="85" t="n"/>
    </row>
    <row r="622" ht="15.75" customHeight="1" s="86">
      <c r="T622" s="85" t="n"/>
      <c r="U622" s="85" t="n"/>
      <c r="V622" s="85" t="n"/>
      <c r="W622" s="85" t="n"/>
      <c r="X622" s="85" t="n"/>
      <c r="Y622" s="85" t="n"/>
      <c r="Z622" s="85" t="n"/>
    </row>
    <row r="623" ht="15.75" customHeight="1" s="86">
      <c r="T623" s="85" t="n"/>
      <c r="U623" s="85" t="n"/>
      <c r="V623" s="85" t="n"/>
      <c r="W623" s="85" t="n"/>
      <c r="X623" s="85" t="n"/>
      <c r="Y623" s="85" t="n"/>
      <c r="Z623" s="85" t="n"/>
    </row>
    <row r="624" ht="15.75" customHeight="1" s="86">
      <c r="T624" s="85" t="n"/>
      <c r="U624" s="85" t="n"/>
      <c r="V624" s="85" t="n"/>
      <c r="W624" s="85" t="n"/>
      <c r="X624" s="85" t="n"/>
      <c r="Y624" s="85" t="n"/>
      <c r="Z624" s="85" t="n"/>
    </row>
    <row r="625" ht="15.75" customHeight="1" s="86">
      <c r="T625" s="85" t="n"/>
      <c r="U625" s="85" t="n"/>
      <c r="V625" s="85" t="n"/>
      <c r="W625" s="85" t="n"/>
      <c r="X625" s="85" t="n"/>
      <c r="Y625" s="85" t="n"/>
      <c r="Z625" s="85" t="n"/>
    </row>
    <row r="626" ht="15.75" customHeight="1" s="86">
      <c r="T626" s="85" t="n"/>
      <c r="U626" s="85" t="n"/>
      <c r="V626" s="85" t="n"/>
      <c r="W626" s="85" t="n"/>
      <c r="X626" s="85" t="n"/>
      <c r="Y626" s="85" t="n"/>
      <c r="Z626" s="85" t="n"/>
    </row>
    <row r="627" ht="15.75" customHeight="1" s="86">
      <c r="T627" s="85" t="n"/>
      <c r="U627" s="85" t="n"/>
      <c r="V627" s="85" t="n"/>
      <c r="W627" s="85" t="n"/>
      <c r="X627" s="85" t="n"/>
      <c r="Y627" s="85" t="n"/>
      <c r="Z627" s="85" t="n"/>
    </row>
    <row r="628" ht="15.75" customHeight="1" s="86">
      <c r="T628" s="85" t="n"/>
      <c r="U628" s="85" t="n"/>
      <c r="V628" s="85" t="n"/>
      <c r="W628" s="85" t="n"/>
      <c r="X628" s="85" t="n"/>
      <c r="Y628" s="85" t="n"/>
      <c r="Z628" s="85" t="n"/>
    </row>
    <row r="629" ht="15.75" customHeight="1" s="86">
      <c r="T629" s="85" t="n"/>
      <c r="U629" s="85" t="n"/>
      <c r="V629" s="85" t="n"/>
      <c r="W629" s="85" t="n"/>
      <c r="X629" s="85" t="n"/>
      <c r="Y629" s="85" t="n"/>
      <c r="Z629" s="85" t="n"/>
    </row>
    <row r="630" ht="15.75" customHeight="1" s="86">
      <c r="T630" s="85" t="n"/>
      <c r="U630" s="85" t="n"/>
      <c r="V630" s="85" t="n"/>
      <c r="W630" s="85" t="n"/>
      <c r="X630" s="85" t="n"/>
      <c r="Y630" s="85" t="n"/>
      <c r="Z630" s="85" t="n"/>
    </row>
    <row r="631" ht="15.75" customHeight="1" s="86">
      <c r="T631" s="85" t="n"/>
      <c r="U631" s="85" t="n"/>
      <c r="V631" s="85" t="n"/>
      <c r="W631" s="85" t="n"/>
      <c r="X631" s="85" t="n"/>
      <c r="Y631" s="85" t="n"/>
      <c r="Z631" s="85" t="n"/>
    </row>
    <row r="632" ht="15.75" customHeight="1" s="86">
      <c r="T632" s="85" t="n"/>
      <c r="U632" s="85" t="n"/>
      <c r="V632" s="85" t="n"/>
      <c r="W632" s="85" t="n"/>
      <c r="X632" s="85" t="n"/>
      <c r="Y632" s="85" t="n"/>
      <c r="Z632" s="85" t="n"/>
    </row>
    <row r="633" ht="15.75" customHeight="1" s="86">
      <c r="T633" s="85" t="n"/>
      <c r="U633" s="85" t="n"/>
      <c r="V633" s="85" t="n"/>
      <c r="W633" s="85" t="n"/>
      <c r="X633" s="85" t="n"/>
      <c r="Y633" s="85" t="n"/>
      <c r="Z633" s="85" t="n"/>
    </row>
    <row r="634" ht="15.75" customHeight="1" s="86">
      <c r="T634" s="85" t="n"/>
      <c r="U634" s="85" t="n"/>
      <c r="V634" s="85" t="n"/>
      <c r="W634" s="85" t="n"/>
      <c r="X634" s="85" t="n"/>
      <c r="Y634" s="85" t="n"/>
      <c r="Z634" s="85" t="n"/>
    </row>
    <row r="635" ht="15.75" customHeight="1" s="86">
      <c r="T635" s="85" t="n"/>
      <c r="U635" s="85" t="n"/>
      <c r="V635" s="85" t="n"/>
      <c r="W635" s="85" t="n"/>
      <c r="X635" s="85" t="n"/>
      <c r="Y635" s="85" t="n"/>
      <c r="Z635" s="85" t="n"/>
    </row>
    <row r="636" ht="15.75" customHeight="1" s="86">
      <c r="T636" s="85" t="n"/>
      <c r="U636" s="85" t="n"/>
      <c r="V636" s="85" t="n"/>
      <c r="W636" s="85" t="n"/>
      <c r="X636" s="85" t="n"/>
      <c r="Y636" s="85" t="n"/>
      <c r="Z636" s="85" t="n"/>
    </row>
    <row r="637" ht="15.75" customHeight="1" s="86">
      <c r="T637" s="85" t="n"/>
      <c r="U637" s="85" t="n"/>
      <c r="V637" s="85" t="n"/>
      <c r="W637" s="85" t="n"/>
      <c r="X637" s="85" t="n"/>
      <c r="Y637" s="85" t="n"/>
      <c r="Z637" s="85" t="n"/>
    </row>
    <row r="638" ht="15.75" customHeight="1" s="86">
      <c r="T638" s="85" t="n"/>
      <c r="U638" s="85" t="n"/>
      <c r="V638" s="85" t="n"/>
      <c r="W638" s="85" t="n"/>
      <c r="X638" s="85" t="n"/>
      <c r="Y638" s="85" t="n"/>
      <c r="Z638" s="85" t="n"/>
    </row>
    <row r="639" ht="15.75" customHeight="1" s="86">
      <c r="T639" s="85" t="n"/>
      <c r="U639" s="85" t="n"/>
      <c r="V639" s="85" t="n"/>
      <c r="W639" s="85" t="n"/>
      <c r="X639" s="85" t="n"/>
      <c r="Y639" s="85" t="n"/>
      <c r="Z639" s="85" t="n"/>
    </row>
    <row r="640" ht="15.75" customHeight="1" s="86">
      <c r="T640" s="85" t="n"/>
      <c r="U640" s="85" t="n"/>
      <c r="V640" s="85" t="n"/>
      <c r="W640" s="85" t="n"/>
      <c r="X640" s="85" t="n"/>
      <c r="Y640" s="85" t="n"/>
      <c r="Z640" s="85" t="n"/>
    </row>
    <row r="641" ht="15.75" customHeight="1" s="86">
      <c r="T641" s="85" t="n"/>
      <c r="U641" s="85" t="n"/>
      <c r="V641" s="85" t="n"/>
      <c r="W641" s="85" t="n"/>
      <c r="X641" s="85" t="n"/>
      <c r="Y641" s="85" t="n"/>
      <c r="Z641" s="85" t="n"/>
    </row>
    <row r="642" ht="15.75" customHeight="1" s="86">
      <c r="T642" s="85" t="n"/>
      <c r="U642" s="85" t="n"/>
      <c r="V642" s="85" t="n"/>
      <c r="W642" s="85" t="n"/>
      <c r="X642" s="85" t="n"/>
      <c r="Y642" s="85" t="n"/>
      <c r="Z642" s="85" t="n"/>
    </row>
    <row r="643" ht="15.75" customHeight="1" s="86">
      <c r="T643" s="85" t="n"/>
      <c r="U643" s="85" t="n"/>
      <c r="V643" s="85" t="n"/>
      <c r="W643" s="85" t="n"/>
      <c r="X643" s="85" t="n"/>
      <c r="Y643" s="85" t="n"/>
      <c r="Z643" s="85" t="n"/>
    </row>
    <row r="644" ht="15.75" customHeight="1" s="86">
      <c r="T644" s="85" t="n"/>
      <c r="U644" s="85" t="n"/>
      <c r="V644" s="85" t="n"/>
      <c r="W644" s="85" t="n"/>
      <c r="X644" s="85" t="n"/>
      <c r="Y644" s="85" t="n"/>
      <c r="Z644" s="85" t="n"/>
    </row>
    <row r="645" ht="15.75" customHeight="1" s="86">
      <c r="T645" s="85" t="n"/>
      <c r="U645" s="85" t="n"/>
      <c r="V645" s="85" t="n"/>
      <c r="W645" s="85" t="n"/>
      <c r="X645" s="85" t="n"/>
      <c r="Y645" s="85" t="n"/>
      <c r="Z645" s="85" t="n"/>
    </row>
    <row r="646" ht="15.75" customHeight="1" s="86">
      <c r="T646" s="85" t="n"/>
      <c r="U646" s="85" t="n"/>
      <c r="V646" s="85" t="n"/>
      <c r="W646" s="85" t="n"/>
      <c r="X646" s="85" t="n"/>
      <c r="Y646" s="85" t="n"/>
      <c r="Z646" s="85" t="n"/>
    </row>
    <row r="647" ht="15.75" customHeight="1" s="86">
      <c r="T647" s="85" t="n"/>
      <c r="U647" s="85" t="n"/>
      <c r="V647" s="85" t="n"/>
      <c r="W647" s="85" t="n"/>
      <c r="X647" s="85" t="n"/>
      <c r="Y647" s="85" t="n"/>
      <c r="Z647" s="85" t="n"/>
    </row>
    <row r="648" ht="15.75" customHeight="1" s="86">
      <c r="T648" s="85" t="n"/>
      <c r="U648" s="85" t="n"/>
      <c r="V648" s="85" t="n"/>
      <c r="W648" s="85" t="n"/>
      <c r="X648" s="85" t="n"/>
      <c r="Y648" s="85" t="n"/>
      <c r="Z648" s="85" t="n"/>
    </row>
    <row r="649" ht="15.75" customHeight="1" s="86">
      <c r="T649" s="85" t="n"/>
      <c r="U649" s="85" t="n"/>
      <c r="V649" s="85" t="n"/>
      <c r="W649" s="85" t="n"/>
      <c r="X649" s="85" t="n"/>
      <c r="Y649" s="85" t="n"/>
      <c r="Z649" s="85" t="n"/>
    </row>
    <row r="650" ht="15.75" customHeight="1" s="86">
      <c r="T650" s="85" t="n"/>
      <c r="U650" s="85" t="n"/>
      <c r="V650" s="85" t="n"/>
      <c r="W650" s="85" t="n"/>
      <c r="X650" s="85" t="n"/>
      <c r="Y650" s="85" t="n"/>
      <c r="Z650" s="85" t="n"/>
    </row>
    <row r="651" ht="15.75" customHeight="1" s="86">
      <c r="T651" s="85" t="n"/>
      <c r="U651" s="85" t="n"/>
      <c r="V651" s="85" t="n"/>
      <c r="W651" s="85" t="n"/>
      <c r="X651" s="85" t="n"/>
      <c r="Y651" s="85" t="n"/>
      <c r="Z651" s="85" t="n"/>
    </row>
    <row r="652" ht="15.75" customHeight="1" s="86">
      <c r="T652" s="85" t="n"/>
      <c r="U652" s="85" t="n"/>
      <c r="V652" s="85" t="n"/>
      <c r="W652" s="85" t="n"/>
      <c r="X652" s="85" t="n"/>
      <c r="Y652" s="85" t="n"/>
      <c r="Z652" s="85" t="n"/>
    </row>
    <row r="653" ht="15.75" customHeight="1" s="86">
      <c r="T653" s="85" t="n"/>
      <c r="U653" s="85" t="n"/>
      <c r="V653" s="85" t="n"/>
      <c r="W653" s="85" t="n"/>
      <c r="X653" s="85" t="n"/>
      <c r="Y653" s="85" t="n"/>
      <c r="Z653" s="85" t="n"/>
    </row>
    <row r="654" ht="15.75" customHeight="1" s="86">
      <c r="T654" s="85" t="n"/>
      <c r="U654" s="85" t="n"/>
      <c r="V654" s="85" t="n"/>
      <c r="W654" s="85" t="n"/>
      <c r="X654" s="85" t="n"/>
      <c r="Y654" s="85" t="n"/>
      <c r="Z654" s="85" t="n"/>
    </row>
    <row r="655" ht="15.75" customHeight="1" s="86">
      <c r="T655" s="85" t="n"/>
      <c r="U655" s="85" t="n"/>
      <c r="V655" s="85" t="n"/>
      <c r="W655" s="85" t="n"/>
      <c r="X655" s="85" t="n"/>
      <c r="Y655" s="85" t="n"/>
      <c r="Z655" s="85" t="n"/>
    </row>
    <row r="656" ht="15.75" customHeight="1" s="86">
      <c r="T656" s="85" t="n"/>
      <c r="U656" s="85" t="n"/>
      <c r="V656" s="85" t="n"/>
      <c r="W656" s="85" t="n"/>
      <c r="X656" s="85" t="n"/>
      <c r="Y656" s="85" t="n"/>
      <c r="Z656" s="85" t="n"/>
    </row>
    <row r="657" ht="15.75" customHeight="1" s="86">
      <c r="T657" s="85" t="n"/>
      <c r="U657" s="85" t="n"/>
      <c r="V657" s="85" t="n"/>
      <c r="W657" s="85" t="n"/>
      <c r="X657" s="85" t="n"/>
      <c r="Y657" s="85" t="n"/>
      <c r="Z657" s="85" t="n"/>
    </row>
    <row r="658" ht="15.75" customHeight="1" s="86">
      <c r="T658" s="85" t="n"/>
      <c r="U658" s="85" t="n"/>
      <c r="V658" s="85" t="n"/>
      <c r="W658" s="85" t="n"/>
      <c r="X658" s="85" t="n"/>
      <c r="Y658" s="85" t="n"/>
      <c r="Z658" s="85" t="n"/>
    </row>
    <row r="659" ht="15.75" customHeight="1" s="86">
      <c r="T659" s="85" t="n"/>
      <c r="U659" s="85" t="n"/>
      <c r="V659" s="85" t="n"/>
      <c r="W659" s="85" t="n"/>
      <c r="X659" s="85" t="n"/>
      <c r="Y659" s="85" t="n"/>
      <c r="Z659" s="85" t="n"/>
    </row>
    <row r="660" ht="15.75" customHeight="1" s="86">
      <c r="T660" s="85" t="n"/>
      <c r="U660" s="85" t="n"/>
      <c r="V660" s="85" t="n"/>
      <c r="W660" s="85" t="n"/>
      <c r="X660" s="85" t="n"/>
      <c r="Y660" s="85" t="n"/>
      <c r="Z660" s="85" t="n"/>
    </row>
    <row r="661" ht="15.75" customHeight="1" s="86">
      <c r="T661" s="85" t="n"/>
      <c r="U661" s="85" t="n"/>
      <c r="V661" s="85" t="n"/>
      <c r="W661" s="85" t="n"/>
      <c r="X661" s="85" t="n"/>
      <c r="Y661" s="85" t="n"/>
      <c r="Z661" s="85" t="n"/>
    </row>
    <row r="662" ht="15.75" customHeight="1" s="86">
      <c r="T662" s="85" t="n"/>
      <c r="U662" s="85" t="n"/>
      <c r="V662" s="85" t="n"/>
      <c r="W662" s="85" t="n"/>
      <c r="X662" s="85" t="n"/>
      <c r="Y662" s="85" t="n"/>
      <c r="Z662" s="85" t="n"/>
    </row>
    <row r="663" ht="15.75" customHeight="1" s="86">
      <c r="T663" s="85" t="n"/>
      <c r="U663" s="85" t="n"/>
      <c r="V663" s="85" t="n"/>
      <c r="W663" s="85" t="n"/>
      <c r="X663" s="85" t="n"/>
      <c r="Y663" s="85" t="n"/>
      <c r="Z663" s="85" t="n"/>
    </row>
    <row r="664" ht="15.75" customHeight="1" s="86">
      <c r="T664" s="85" t="n"/>
      <c r="U664" s="85" t="n"/>
      <c r="V664" s="85" t="n"/>
      <c r="W664" s="85" t="n"/>
      <c r="X664" s="85" t="n"/>
      <c r="Y664" s="85" t="n"/>
      <c r="Z664" s="85" t="n"/>
    </row>
    <row r="665" ht="15.75" customHeight="1" s="86">
      <c r="T665" s="85" t="n"/>
      <c r="U665" s="85" t="n"/>
      <c r="V665" s="85" t="n"/>
      <c r="W665" s="85" t="n"/>
      <c r="X665" s="85" t="n"/>
      <c r="Y665" s="85" t="n"/>
      <c r="Z665" s="85" t="n"/>
    </row>
    <row r="666" ht="15.75" customHeight="1" s="86">
      <c r="T666" s="85" t="n"/>
      <c r="U666" s="85" t="n"/>
      <c r="V666" s="85" t="n"/>
      <c r="W666" s="85" t="n"/>
      <c r="X666" s="85" t="n"/>
      <c r="Y666" s="85" t="n"/>
      <c r="Z666" s="85" t="n"/>
    </row>
    <row r="667" ht="15.75" customHeight="1" s="86">
      <c r="T667" s="85" t="n"/>
      <c r="U667" s="85" t="n"/>
      <c r="V667" s="85" t="n"/>
      <c r="W667" s="85" t="n"/>
      <c r="X667" s="85" t="n"/>
      <c r="Y667" s="85" t="n"/>
      <c r="Z667" s="85" t="n"/>
    </row>
    <row r="668" ht="15.75" customHeight="1" s="86">
      <c r="T668" s="85" t="n"/>
      <c r="U668" s="85" t="n"/>
      <c r="V668" s="85" t="n"/>
      <c r="W668" s="85" t="n"/>
      <c r="X668" s="85" t="n"/>
      <c r="Y668" s="85" t="n"/>
      <c r="Z668" s="85" t="n"/>
    </row>
    <row r="669" ht="15.75" customHeight="1" s="86">
      <c r="T669" s="85" t="n"/>
      <c r="U669" s="85" t="n"/>
      <c r="V669" s="85" t="n"/>
      <c r="W669" s="85" t="n"/>
      <c r="X669" s="85" t="n"/>
      <c r="Y669" s="85" t="n"/>
      <c r="Z669" s="85" t="n"/>
    </row>
    <row r="670" ht="15.75" customHeight="1" s="86">
      <c r="T670" s="85" t="n"/>
      <c r="U670" s="85" t="n"/>
      <c r="V670" s="85" t="n"/>
      <c r="W670" s="85" t="n"/>
      <c r="X670" s="85" t="n"/>
      <c r="Y670" s="85" t="n"/>
      <c r="Z670" s="85" t="n"/>
    </row>
    <row r="671" ht="15.75" customHeight="1" s="86">
      <c r="T671" s="85" t="n"/>
      <c r="U671" s="85" t="n"/>
      <c r="V671" s="85" t="n"/>
      <c r="W671" s="85" t="n"/>
      <c r="X671" s="85" t="n"/>
      <c r="Y671" s="85" t="n"/>
      <c r="Z671" s="85" t="n"/>
    </row>
    <row r="672" ht="15.75" customHeight="1" s="86">
      <c r="T672" s="85" t="n"/>
      <c r="U672" s="85" t="n"/>
      <c r="V672" s="85" t="n"/>
      <c r="W672" s="85" t="n"/>
      <c r="X672" s="85" t="n"/>
      <c r="Y672" s="85" t="n"/>
      <c r="Z672" s="85" t="n"/>
    </row>
    <row r="673" ht="15.75" customHeight="1" s="86">
      <c r="T673" s="85" t="n"/>
      <c r="U673" s="85" t="n"/>
      <c r="V673" s="85" t="n"/>
      <c r="W673" s="85" t="n"/>
      <c r="X673" s="85" t="n"/>
      <c r="Y673" s="85" t="n"/>
      <c r="Z673" s="85" t="n"/>
    </row>
    <row r="674" ht="15.75" customHeight="1" s="86">
      <c r="T674" s="85" t="n"/>
      <c r="U674" s="85" t="n"/>
      <c r="V674" s="85" t="n"/>
      <c r="W674" s="85" t="n"/>
      <c r="X674" s="85" t="n"/>
      <c r="Y674" s="85" t="n"/>
      <c r="Z674" s="85" t="n"/>
    </row>
    <row r="675" ht="15.75" customHeight="1" s="86">
      <c r="T675" s="85" t="n"/>
      <c r="U675" s="85" t="n"/>
      <c r="V675" s="85" t="n"/>
      <c r="W675" s="85" t="n"/>
      <c r="X675" s="85" t="n"/>
      <c r="Y675" s="85" t="n"/>
      <c r="Z675" s="85" t="n"/>
    </row>
    <row r="676" ht="15.75" customHeight="1" s="86">
      <c r="T676" s="85" t="n"/>
      <c r="U676" s="85" t="n"/>
      <c r="V676" s="85" t="n"/>
      <c r="W676" s="85" t="n"/>
      <c r="X676" s="85" t="n"/>
      <c r="Y676" s="85" t="n"/>
      <c r="Z676" s="85" t="n"/>
    </row>
    <row r="677" ht="15.75" customHeight="1" s="86">
      <c r="T677" s="85" t="n"/>
      <c r="U677" s="85" t="n"/>
      <c r="V677" s="85" t="n"/>
      <c r="W677" s="85" t="n"/>
      <c r="X677" s="85" t="n"/>
      <c r="Y677" s="85" t="n"/>
      <c r="Z677" s="85" t="n"/>
    </row>
    <row r="678" ht="15.75" customHeight="1" s="86">
      <c r="T678" s="85" t="n"/>
      <c r="U678" s="85" t="n"/>
      <c r="V678" s="85" t="n"/>
      <c r="W678" s="85" t="n"/>
      <c r="X678" s="85" t="n"/>
      <c r="Y678" s="85" t="n"/>
      <c r="Z678" s="85" t="n"/>
    </row>
    <row r="679" ht="15.75" customHeight="1" s="86">
      <c r="T679" s="85" t="n"/>
      <c r="U679" s="85" t="n"/>
      <c r="V679" s="85" t="n"/>
      <c r="W679" s="85" t="n"/>
      <c r="X679" s="85" t="n"/>
      <c r="Y679" s="85" t="n"/>
      <c r="Z679" s="85" t="n"/>
    </row>
    <row r="680" ht="15.75" customHeight="1" s="86">
      <c r="T680" s="85" t="n"/>
      <c r="U680" s="85" t="n"/>
      <c r="V680" s="85" t="n"/>
      <c r="W680" s="85" t="n"/>
      <c r="X680" s="85" t="n"/>
      <c r="Y680" s="85" t="n"/>
      <c r="Z680" s="85" t="n"/>
    </row>
    <row r="681" ht="15.75" customHeight="1" s="86">
      <c r="T681" s="85" t="n"/>
      <c r="U681" s="85" t="n"/>
      <c r="V681" s="85" t="n"/>
      <c r="W681" s="85" t="n"/>
      <c r="X681" s="85" t="n"/>
      <c r="Y681" s="85" t="n"/>
      <c r="Z681" s="85" t="n"/>
    </row>
    <row r="682" ht="15.75" customHeight="1" s="86">
      <c r="T682" s="85" t="n"/>
      <c r="U682" s="85" t="n"/>
      <c r="V682" s="85" t="n"/>
      <c r="W682" s="85" t="n"/>
      <c r="X682" s="85" t="n"/>
      <c r="Y682" s="85" t="n"/>
      <c r="Z682" s="85" t="n"/>
    </row>
    <row r="683" ht="15.75" customHeight="1" s="86">
      <c r="T683" s="85" t="n"/>
      <c r="U683" s="85" t="n"/>
      <c r="V683" s="85" t="n"/>
      <c r="W683" s="85" t="n"/>
      <c r="X683" s="85" t="n"/>
      <c r="Y683" s="85" t="n"/>
      <c r="Z683" s="85" t="n"/>
    </row>
    <row r="684" ht="15.75" customHeight="1" s="86">
      <c r="T684" s="85" t="n"/>
      <c r="U684" s="85" t="n"/>
      <c r="V684" s="85" t="n"/>
      <c r="W684" s="85" t="n"/>
      <c r="X684" s="85" t="n"/>
      <c r="Y684" s="85" t="n"/>
      <c r="Z684" s="85" t="n"/>
    </row>
    <row r="685" ht="15.75" customHeight="1" s="86">
      <c r="T685" s="85" t="n"/>
      <c r="U685" s="85" t="n"/>
      <c r="V685" s="85" t="n"/>
      <c r="W685" s="85" t="n"/>
      <c r="X685" s="85" t="n"/>
      <c r="Y685" s="85" t="n"/>
      <c r="Z685" s="85" t="n"/>
    </row>
    <row r="686" ht="15.75" customHeight="1" s="86">
      <c r="T686" s="85" t="n"/>
      <c r="U686" s="85" t="n"/>
      <c r="V686" s="85" t="n"/>
      <c r="W686" s="85" t="n"/>
      <c r="X686" s="85" t="n"/>
      <c r="Y686" s="85" t="n"/>
      <c r="Z686" s="85" t="n"/>
    </row>
    <row r="687" ht="15.75" customHeight="1" s="86">
      <c r="T687" s="85" t="n"/>
      <c r="U687" s="85" t="n"/>
      <c r="V687" s="85" t="n"/>
      <c r="W687" s="85" t="n"/>
      <c r="X687" s="85" t="n"/>
      <c r="Y687" s="85" t="n"/>
      <c r="Z687" s="85" t="n"/>
    </row>
    <row r="688" ht="15.75" customHeight="1" s="86">
      <c r="T688" s="85" t="n"/>
      <c r="U688" s="85" t="n"/>
      <c r="V688" s="85" t="n"/>
      <c r="W688" s="85" t="n"/>
      <c r="X688" s="85" t="n"/>
      <c r="Y688" s="85" t="n"/>
      <c r="Z688" s="85" t="n"/>
    </row>
    <row r="689" ht="15.75" customHeight="1" s="86">
      <c r="T689" s="85" t="n"/>
      <c r="U689" s="85" t="n"/>
      <c r="V689" s="85" t="n"/>
      <c r="W689" s="85" t="n"/>
      <c r="X689" s="85" t="n"/>
      <c r="Y689" s="85" t="n"/>
      <c r="Z689" s="85" t="n"/>
    </row>
    <row r="690" ht="15.75" customHeight="1" s="86">
      <c r="T690" s="85" t="n"/>
      <c r="U690" s="85" t="n"/>
      <c r="V690" s="85" t="n"/>
      <c r="W690" s="85" t="n"/>
      <c r="X690" s="85" t="n"/>
      <c r="Y690" s="85" t="n"/>
      <c r="Z690" s="85" t="n"/>
    </row>
    <row r="691" ht="15.75" customHeight="1" s="86">
      <c r="T691" s="85" t="n"/>
      <c r="U691" s="85" t="n"/>
      <c r="V691" s="85" t="n"/>
      <c r="W691" s="85" t="n"/>
      <c r="X691" s="85" t="n"/>
      <c r="Y691" s="85" t="n"/>
      <c r="Z691" s="85" t="n"/>
    </row>
    <row r="692" ht="15.75" customHeight="1" s="86">
      <c r="T692" s="85" t="n"/>
      <c r="U692" s="85" t="n"/>
      <c r="V692" s="85" t="n"/>
      <c r="W692" s="85" t="n"/>
      <c r="X692" s="85" t="n"/>
      <c r="Y692" s="85" t="n"/>
      <c r="Z692" s="85" t="n"/>
    </row>
    <row r="693" ht="15.75" customHeight="1" s="86">
      <c r="T693" s="85" t="n"/>
      <c r="U693" s="85" t="n"/>
      <c r="V693" s="85" t="n"/>
      <c r="W693" s="85" t="n"/>
      <c r="X693" s="85" t="n"/>
      <c r="Y693" s="85" t="n"/>
      <c r="Z693" s="85" t="n"/>
    </row>
    <row r="694" ht="15.75" customHeight="1" s="86">
      <c r="T694" s="85" t="n"/>
      <c r="U694" s="85" t="n"/>
      <c r="V694" s="85" t="n"/>
      <c r="W694" s="85" t="n"/>
      <c r="X694" s="85" t="n"/>
      <c r="Y694" s="85" t="n"/>
      <c r="Z694" s="85" t="n"/>
    </row>
    <row r="695" ht="15.75" customHeight="1" s="86">
      <c r="T695" s="85" t="n"/>
      <c r="U695" s="85" t="n"/>
      <c r="V695" s="85" t="n"/>
      <c r="W695" s="85" t="n"/>
      <c r="X695" s="85" t="n"/>
      <c r="Y695" s="85" t="n"/>
      <c r="Z695" s="85" t="n"/>
    </row>
    <row r="696" ht="15.75" customHeight="1" s="86">
      <c r="T696" s="85" t="n"/>
      <c r="U696" s="85" t="n"/>
      <c r="V696" s="85" t="n"/>
      <c r="W696" s="85" t="n"/>
      <c r="X696" s="85" t="n"/>
      <c r="Y696" s="85" t="n"/>
      <c r="Z696" s="85" t="n"/>
    </row>
    <row r="697" ht="15.75" customHeight="1" s="86">
      <c r="T697" s="85" t="n"/>
      <c r="U697" s="85" t="n"/>
      <c r="V697" s="85" t="n"/>
      <c r="W697" s="85" t="n"/>
      <c r="X697" s="85" t="n"/>
      <c r="Y697" s="85" t="n"/>
      <c r="Z697" s="85" t="n"/>
    </row>
    <row r="698" ht="15.75" customHeight="1" s="86">
      <c r="T698" s="85" t="n"/>
      <c r="U698" s="85" t="n"/>
      <c r="V698" s="85" t="n"/>
      <c r="W698" s="85" t="n"/>
      <c r="X698" s="85" t="n"/>
      <c r="Y698" s="85" t="n"/>
      <c r="Z698" s="85" t="n"/>
    </row>
    <row r="699" ht="15.75" customHeight="1" s="86">
      <c r="T699" s="85" t="n"/>
      <c r="U699" s="85" t="n"/>
      <c r="V699" s="85" t="n"/>
      <c r="W699" s="85" t="n"/>
      <c r="X699" s="85" t="n"/>
      <c r="Y699" s="85" t="n"/>
      <c r="Z699" s="85" t="n"/>
    </row>
    <row r="700" ht="15.75" customHeight="1" s="86">
      <c r="T700" s="85" t="n"/>
      <c r="U700" s="85" t="n"/>
      <c r="V700" s="85" t="n"/>
      <c r="W700" s="85" t="n"/>
      <c r="X700" s="85" t="n"/>
      <c r="Y700" s="85" t="n"/>
      <c r="Z700" s="85" t="n"/>
    </row>
    <row r="701" ht="15.75" customHeight="1" s="86">
      <c r="T701" s="85" t="n"/>
      <c r="U701" s="85" t="n"/>
      <c r="V701" s="85" t="n"/>
      <c r="W701" s="85" t="n"/>
      <c r="X701" s="85" t="n"/>
      <c r="Y701" s="85" t="n"/>
      <c r="Z701" s="85" t="n"/>
    </row>
    <row r="702" ht="15.75" customHeight="1" s="86">
      <c r="T702" s="85" t="n"/>
      <c r="U702" s="85" t="n"/>
      <c r="V702" s="85" t="n"/>
      <c r="W702" s="85" t="n"/>
      <c r="X702" s="85" t="n"/>
      <c r="Y702" s="85" t="n"/>
      <c r="Z702" s="85" t="n"/>
    </row>
    <row r="703" ht="15.75" customHeight="1" s="86">
      <c r="T703" s="85" t="n"/>
      <c r="U703" s="85" t="n"/>
      <c r="V703" s="85" t="n"/>
      <c r="W703" s="85" t="n"/>
      <c r="X703" s="85" t="n"/>
      <c r="Y703" s="85" t="n"/>
      <c r="Z703" s="85" t="n"/>
    </row>
    <row r="704" ht="15.75" customHeight="1" s="86">
      <c r="T704" s="85" t="n"/>
      <c r="U704" s="85" t="n"/>
      <c r="V704" s="85" t="n"/>
      <c r="W704" s="85" t="n"/>
      <c r="X704" s="85" t="n"/>
      <c r="Y704" s="85" t="n"/>
      <c r="Z704" s="85" t="n"/>
    </row>
    <row r="705" ht="15.75" customHeight="1" s="86">
      <c r="T705" s="85" t="n"/>
      <c r="U705" s="85" t="n"/>
      <c r="V705" s="85" t="n"/>
      <c r="W705" s="85" t="n"/>
      <c r="X705" s="85" t="n"/>
      <c r="Y705" s="85" t="n"/>
      <c r="Z705" s="85" t="n"/>
    </row>
    <row r="706" ht="15.75" customHeight="1" s="86">
      <c r="T706" s="85" t="n"/>
      <c r="U706" s="85" t="n"/>
      <c r="V706" s="85" t="n"/>
      <c r="W706" s="85" t="n"/>
      <c r="X706" s="85" t="n"/>
      <c r="Y706" s="85" t="n"/>
      <c r="Z706" s="85" t="n"/>
    </row>
    <row r="707" ht="15.75" customHeight="1" s="86">
      <c r="T707" s="85" t="n"/>
      <c r="U707" s="85" t="n"/>
      <c r="V707" s="85" t="n"/>
      <c r="W707" s="85" t="n"/>
      <c r="X707" s="85" t="n"/>
      <c r="Y707" s="85" t="n"/>
      <c r="Z707" s="85" t="n"/>
    </row>
    <row r="708" ht="15.75" customHeight="1" s="86">
      <c r="T708" s="85" t="n"/>
      <c r="U708" s="85" t="n"/>
      <c r="V708" s="85" t="n"/>
      <c r="W708" s="85" t="n"/>
      <c r="X708" s="85" t="n"/>
      <c r="Y708" s="85" t="n"/>
      <c r="Z708" s="85" t="n"/>
    </row>
    <row r="709" ht="15.75" customHeight="1" s="86">
      <c r="T709" s="85" t="n"/>
      <c r="U709" s="85" t="n"/>
      <c r="V709" s="85" t="n"/>
      <c r="W709" s="85" t="n"/>
      <c r="X709" s="85" t="n"/>
      <c r="Y709" s="85" t="n"/>
      <c r="Z709" s="85" t="n"/>
    </row>
    <row r="710" ht="15.75" customHeight="1" s="86">
      <c r="T710" s="85" t="n"/>
      <c r="U710" s="85" t="n"/>
      <c r="V710" s="85" t="n"/>
      <c r="W710" s="85" t="n"/>
      <c r="X710" s="85" t="n"/>
      <c r="Y710" s="85" t="n"/>
      <c r="Z710" s="85" t="n"/>
    </row>
    <row r="711" ht="15.75" customHeight="1" s="86">
      <c r="T711" s="85" t="n"/>
      <c r="U711" s="85" t="n"/>
      <c r="V711" s="85" t="n"/>
      <c r="W711" s="85" t="n"/>
      <c r="X711" s="85" t="n"/>
      <c r="Y711" s="85" t="n"/>
      <c r="Z711" s="85" t="n"/>
    </row>
    <row r="712" ht="15.75" customHeight="1" s="86">
      <c r="T712" s="85" t="n"/>
      <c r="U712" s="85" t="n"/>
      <c r="V712" s="85" t="n"/>
      <c r="W712" s="85" t="n"/>
      <c r="X712" s="85" t="n"/>
      <c r="Y712" s="85" t="n"/>
      <c r="Z712" s="85" t="n"/>
    </row>
    <row r="713" ht="15.75" customHeight="1" s="86">
      <c r="T713" s="85" t="n"/>
      <c r="U713" s="85" t="n"/>
      <c r="V713" s="85" t="n"/>
      <c r="W713" s="85" t="n"/>
      <c r="X713" s="85" t="n"/>
      <c r="Y713" s="85" t="n"/>
      <c r="Z713" s="85" t="n"/>
    </row>
    <row r="714" ht="15.75" customHeight="1" s="86">
      <c r="T714" s="85" t="n"/>
      <c r="U714" s="85" t="n"/>
      <c r="V714" s="85" t="n"/>
      <c r="W714" s="85" t="n"/>
      <c r="X714" s="85" t="n"/>
      <c r="Y714" s="85" t="n"/>
      <c r="Z714" s="85" t="n"/>
    </row>
    <row r="715" ht="15.75" customHeight="1" s="86">
      <c r="T715" s="85" t="n"/>
      <c r="U715" s="85" t="n"/>
      <c r="V715" s="85" t="n"/>
      <c r="W715" s="85" t="n"/>
      <c r="X715" s="85" t="n"/>
      <c r="Y715" s="85" t="n"/>
      <c r="Z715" s="85" t="n"/>
    </row>
    <row r="716" ht="15.75" customHeight="1" s="86">
      <c r="T716" s="85" t="n"/>
      <c r="U716" s="85" t="n"/>
      <c r="V716" s="85" t="n"/>
      <c r="W716" s="85" t="n"/>
      <c r="X716" s="85" t="n"/>
      <c r="Y716" s="85" t="n"/>
      <c r="Z716" s="85" t="n"/>
    </row>
    <row r="717" ht="15.75" customHeight="1" s="86">
      <c r="T717" s="85" t="n"/>
      <c r="U717" s="85" t="n"/>
      <c r="V717" s="85" t="n"/>
      <c r="W717" s="85" t="n"/>
      <c r="X717" s="85" t="n"/>
      <c r="Y717" s="85" t="n"/>
      <c r="Z717" s="85" t="n"/>
    </row>
    <row r="718" ht="15.75" customHeight="1" s="86">
      <c r="T718" s="85" t="n"/>
      <c r="U718" s="85" t="n"/>
      <c r="V718" s="85" t="n"/>
      <c r="W718" s="85" t="n"/>
      <c r="X718" s="85" t="n"/>
      <c r="Y718" s="85" t="n"/>
      <c r="Z718" s="85" t="n"/>
    </row>
    <row r="719" ht="15.75" customHeight="1" s="86">
      <c r="T719" s="85" t="n"/>
      <c r="U719" s="85" t="n"/>
      <c r="V719" s="85" t="n"/>
      <c r="W719" s="85" t="n"/>
      <c r="X719" s="85" t="n"/>
      <c r="Y719" s="85" t="n"/>
      <c r="Z719" s="85" t="n"/>
    </row>
    <row r="720" ht="15.75" customHeight="1" s="86">
      <c r="T720" s="85" t="n"/>
      <c r="U720" s="85" t="n"/>
      <c r="V720" s="85" t="n"/>
      <c r="W720" s="85" t="n"/>
      <c r="X720" s="85" t="n"/>
      <c r="Y720" s="85" t="n"/>
      <c r="Z720" s="85" t="n"/>
    </row>
    <row r="721" ht="15.75" customHeight="1" s="86">
      <c r="T721" s="85" t="n"/>
      <c r="U721" s="85" t="n"/>
      <c r="V721" s="85" t="n"/>
      <c r="W721" s="85" t="n"/>
      <c r="X721" s="85" t="n"/>
      <c r="Y721" s="85" t="n"/>
      <c r="Z721" s="85" t="n"/>
    </row>
    <row r="722" ht="15.75" customHeight="1" s="86">
      <c r="T722" s="85" t="n"/>
      <c r="U722" s="85" t="n"/>
      <c r="V722" s="85" t="n"/>
      <c r="W722" s="85" t="n"/>
      <c r="X722" s="85" t="n"/>
      <c r="Y722" s="85" t="n"/>
      <c r="Z722" s="85" t="n"/>
    </row>
    <row r="723" ht="15.75" customHeight="1" s="86">
      <c r="T723" s="85" t="n"/>
      <c r="U723" s="85" t="n"/>
      <c r="V723" s="85" t="n"/>
      <c r="W723" s="85" t="n"/>
      <c r="X723" s="85" t="n"/>
      <c r="Y723" s="85" t="n"/>
      <c r="Z723" s="85" t="n"/>
    </row>
    <row r="724" ht="15.75" customHeight="1" s="86">
      <c r="T724" s="85" t="n"/>
      <c r="U724" s="85" t="n"/>
      <c r="V724" s="85" t="n"/>
      <c r="W724" s="85" t="n"/>
      <c r="X724" s="85" t="n"/>
      <c r="Y724" s="85" t="n"/>
      <c r="Z724" s="85" t="n"/>
    </row>
    <row r="725" ht="15.75" customHeight="1" s="86">
      <c r="T725" s="85" t="n"/>
      <c r="U725" s="85" t="n"/>
      <c r="V725" s="85" t="n"/>
      <c r="W725" s="85" t="n"/>
      <c r="X725" s="85" t="n"/>
      <c r="Y725" s="85" t="n"/>
      <c r="Z725" s="85" t="n"/>
    </row>
    <row r="726" ht="15.75" customHeight="1" s="86">
      <c r="T726" s="85" t="n"/>
      <c r="U726" s="85" t="n"/>
      <c r="V726" s="85" t="n"/>
      <c r="W726" s="85" t="n"/>
      <c r="X726" s="85" t="n"/>
      <c r="Y726" s="85" t="n"/>
      <c r="Z726" s="85" t="n"/>
    </row>
    <row r="727" ht="15.75" customHeight="1" s="86">
      <c r="T727" s="85" t="n"/>
      <c r="U727" s="85" t="n"/>
      <c r="V727" s="85" t="n"/>
      <c r="W727" s="85" t="n"/>
      <c r="X727" s="85" t="n"/>
      <c r="Y727" s="85" t="n"/>
      <c r="Z727" s="85" t="n"/>
    </row>
    <row r="728" ht="15.75" customHeight="1" s="86">
      <c r="T728" s="85" t="n"/>
      <c r="U728" s="85" t="n"/>
      <c r="V728" s="85" t="n"/>
      <c r="W728" s="85" t="n"/>
      <c r="X728" s="85" t="n"/>
      <c r="Y728" s="85" t="n"/>
      <c r="Z728" s="85" t="n"/>
    </row>
    <row r="729" ht="15.75" customHeight="1" s="86">
      <c r="T729" s="85" t="n"/>
      <c r="U729" s="85" t="n"/>
      <c r="V729" s="85" t="n"/>
      <c r="W729" s="85" t="n"/>
      <c r="X729" s="85" t="n"/>
      <c r="Y729" s="85" t="n"/>
      <c r="Z729" s="85" t="n"/>
    </row>
    <row r="730" ht="15.75" customHeight="1" s="86">
      <c r="T730" s="85" t="n"/>
      <c r="U730" s="85" t="n"/>
      <c r="V730" s="85" t="n"/>
      <c r="W730" s="85" t="n"/>
      <c r="X730" s="85" t="n"/>
      <c r="Y730" s="85" t="n"/>
      <c r="Z730" s="85" t="n"/>
    </row>
    <row r="731" ht="15.75" customHeight="1" s="86">
      <c r="T731" s="85" t="n"/>
      <c r="U731" s="85" t="n"/>
      <c r="V731" s="85" t="n"/>
      <c r="W731" s="85" t="n"/>
      <c r="X731" s="85" t="n"/>
      <c r="Y731" s="85" t="n"/>
      <c r="Z731" s="85" t="n"/>
    </row>
    <row r="732" ht="15.75" customHeight="1" s="86">
      <c r="T732" s="85" t="n"/>
      <c r="U732" s="85" t="n"/>
      <c r="V732" s="85" t="n"/>
      <c r="W732" s="85" t="n"/>
      <c r="X732" s="85" t="n"/>
      <c r="Y732" s="85" t="n"/>
      <c r="Z732" s="85" t="n"/>
    </row>
    <row r="733" ht="15.75" customHeight="1" s="86">
      <c r="T733" s="85" t="n"/>
      <c r="U733" s="85" t="n"/>
      <c r="V733" s="85" t="n"/>
      <c r="W733" s="85" t="n"/>
      <c r="X733" s="85" t="n"/>
      <c r="Y733" s="85" t="n"/>
      <c r="Z733" s="85" t="n"/>
    </row>
    <row r="734" ht="15.75" customHeight="1" s="86">
      <c r="T734" s="85" t="n"/>
      <c r="U734" s="85" t="n"/>
      <c r="V734" s="85" t="n"/>
      <c r="W734" s="85" t="n"/>
      <c r="X734" s="85" t="n"/>
      <c r="Y734" s="85" t="n"/>
      <c r="Z734" s="85" t="n"/>
    </row>
    <row r="735" ht="15.75" customHeight="1" s="86">
      <c r="T735" s="85" t="n"/>
      <c r="U735" s="85" t="n"/>
      <c r="V735" s="85" t="n"/>
      <c r="W735" s="85" t="n"/>
      <c r="X735" s="85" t="n"/>
      <c r="Y735" s="85" t="n"/>
      <c r="Z735" s="85" t="n"/>
    </row>
    <row r="736" ht="15.75" customHeight="1" s="86">
      <c r="T736" s="85" t="n"/>
      <c r="U736" s="85" t="n"/>
      <c r="V736" s="85" t="n"/>
      <c r="W736" s="85" t="n"/>
      <c r="X736" s="85" t="n"/>
      <c r="Y736" s="85" t="n"/>
      <c r="Z736" s="85" t="n"/>
    </row>
    <row r="737" ht="15.75" customHeight="1" s="86">
      <c r="T737" s="85" t="n"/>
      <c r="U737" s="85" t="n"/>
      <c r="V737" s="85" t="n"/>
      <c r="W737" s="85" t="n"/>
      <c r="X737" s="85" t="n"/>
      <c r="Y737" s="85" t="n"/>
      <c r="Z737" s="85" t="n"/>
    </row>
    <row r="738" ht="15.75" customHeight="1" s="86">
      <c r="T738" s="85" t="n"/>
      <c r="U738" s="85" t="n"/>
      <c r="V738" s="85" t="n"/>
      <c r="W738" s="85" t="n"/>
      <c r="X738" s="85" t="n"/>
      <c r="Y738" s="85" t="n"/>
      <c r="Z738" s="85" t="n"/>
    </row>
    <row r="739" ht="15.75" customHeight="1" s="86">
      <c r="T739" s="85" t="n"/>
      <c r="U739" s="85" t="n"/>
      <c r="V739" s="85" t="n"/>
      <c r="W739" s="85" t="n"/>
      <c r="X739" s="85" t="n"/>
      <c r="Y739" s="85" t="n"/>
      <c r="Z739" s="85" t="n"/>
    </row>
    <row r="740" ht="15.75" customHeight="1" s="86">
      <c r="T740" s="85" t="n"/>
      <c r="U740" s="85" t="n"/>
      <c r="V740" s="85" t="n"/>
      <c r="W740" s="85" t="n"/>
      <c r="X740" s="85" t="n"/>
      <c r="Y740" s="85" t="n"/>
      <c r="Z740" s="85" t="n"/>
    </row>
    <row r="741" ht="15.75" customHeight="1" s="86">
      <c r="T741" s="85" t="n"/>
      <c r="U741" s="85" t="n"/>
      <c r="V741" s="85" t="n"/>
      <c r="W741" s="85" t="n"/>
      <c r="X741" s="85" t="n"/>
      <c r="Y741" s="85" t="n"/>
      <c r="Z741" s="85" t="n"/>
    </row>
    <row r="742" ht="15.75" customHeight="1" s="86">
      <c r="T742" s="85" t="n"/>
      <c r="U742" s="85" t="n"/>
      <c r="V742" s="85" t="n"/>
      <c r="W742" s="85" t="n"/>
      <c r="X742" s="85" t="n"/>
      <c r="Y742" s="85" t="n"/>
      <c r="Z742" s="85" t="n"/>
    </row>
    <row r="743" ht="15.75" customHeight="1" s="86">
      <c r="T743" s="85" t="n"/>
      <c r="U743" s="85" t="n"/>
      <c r="V743" s="85" t="n"/>
      <c r="W743" s="85" t="n"/>
      <c r="X743" s="85" t="n"/>
      <c r="Y743" s="85" t="n"/>
      <c r="Z743" s="85" t="n"/>
    </row>
    <row r="744" ht="15.75" customHeight="1" s="86">
      <c r="T744" s="85" t="n"/>
      <c r="U744" s="85" t="n"/>
      <c r="V744" s="85" t="n"/>
      <c r="W744" s="85" t="n"/>
      <c r="X744" s="85" t="n"/>
      <c r="Y744" s="85" t="n"/>
      <c r="Z744" s="85" t="n"/>
    </row>
    <row r="745" ht="15.75" customHeight="1" s="86">
      <c r="T745" s="85" t="n"/>
      <c r="U745" s="85" t="n"/>
      <c r="V745" s="85" t="n"/>
      <c r="W745" s="85" t="n"/>
      <c r="X745" s="85" t="n"/>
      <c r="Y745" s="85" t="n"/>
      <c r="Z745" s="85" t="n"/>
    </row>
    <row r="746" ht="15.75" customHeight="1" s="86">
      <c r="T746" s="85" t="n"/>
      <c r="U746" s="85" t="n"/>
      <c r="V746" s="85" t="n"/>
      <c r="W746" s="85" t="n"/>
      <c r="X746" s="85" t="n"/>
      <c r="Y746" s="85" t="n"/>
      <c r="Z746" s="85" t="n"/>
    </row>
    <row r="747" ht="15.75" customHeight="1" s="86">
      <c r="T747" s="85" t="n"/>
      <c r="U747" s="85" t="n"/>
      <c r="V747" s="85" t="n"/>
      <c r="W747" s="85" t="n"/>
      <c r="X747" s="85" t="n"/>
      <c r="Y747" s="85" t="n"/>
      <c r="Z747" s="85" t="n"/>
    </row>
    <row r="748" ht="15.75" customHeight="1" s="86">
      <c r="T748" s="85" t="n"/>
      <c r="U748" s="85" t="n"/>
      <c r="V748" s="85" t="n"/>
      <c r="W748" s="85" t="n"/>
      <c r="X748" s="85" t="n"/>
      <c r="Y748" s="85" t="n"/>
      <c r="Z748" s="85" t="n"/>
    </row>
    <row r="749" ht="15.75" customHeight="1" s="86">
      <c r="T749" s="85" t="n"/>
      <c r="U749" s="85" t="n"/>
      <c r="V749" s="85" t="n"/>
      <c r="W749" s="85" t="n"/>
      <c r="X749" s="85" t="n"/>
      <c r="Y749" s="85" t="n"/>
      <c r="Z749" s="85" t="n"/>
    </row>
    <row r="750" ht="15.75" customHeight="1" s="86">
      <c r="T750" s="85" t="n"/>
      <c r="U750" s="85" t="n"/>
      <c r="V750" s="85" t="n"/>
      <c r="W750" s="85" t="n"/>
      <c r="X750" s="85" t="n"/>
      <c r="Y750" s="85" t="n"/>
      <c r="Z750" s="85" t="n"/>
    </row>
    <row r="751" ht="15.75" customHeight="1" s="86">
      <c r="T751" s="85" t="n"/>
      <c r="U751" s="85" t="n"/>
      <c r="V751" s="85" t="n"/>
      <c r="W751" s="85" t="n"/>
      <c r="X751" s="85" t="n"/>
      <c r="Y751" s="85" t="n"/>
      <c r="Z751" s="85" t="n"/>
    </row>
    <row r="752" ht="15.75" customHeight="1" s="86">
      <c r="T752" s="85" t="n"/>
      <c r="U752" s="85" t="n"/>
      <c r="V752" s="85" t="n"/>
      <c r="W752" s="85" t="n"/>
      <c r="X752" s="85" t="n"/>
      <c r="Y752" s="85" t="n"/>
      <c r="Z752" s="85" t="n"/>
    </row>
    <row r="753" ht="15.75" customHeight="1" s="86">
      <c r="T753" s="85" t="n"/>
      <c r="U753" s="85" t="n"/>
      <c r="V753" s="85" t="n"/>
      <c r="W753" s="85" t="n"/>
      <c r="X753" s="85" t="n"/>
      <c r="Y753" s="85" t="n"/>
      <c r="Z753" s="85" t="n"/>
    </row>
    <row r="754" ht="15.75" customHeight="1" s="86">
      <c r="T754" s="85" t="n"/>
      <c r="U754" s="85" t="n"/>
      <c r="V754" s="85" t="n"/>
      <c r="W754" s="85" t="n"/>
      <c r="X754" s="85" t="n"/>
      <c r="Y754" s="85" t="n"/>
      <c r="Z754" s="85" t="n"/>
    </row>
    <row r="755" ht="15.75" customHeight="1" s="86">
      <c r="T755" s="85" t="n"/>
      <c r="U755" s="85" t="n"/>
      <c r="V755" s="85" t="n"/>
      <c r="W755" s="85" t="n"/>
      <c r="X755" s="85" t="n"/>
      <c r="Y755" s="85" t="n"/>
      <c r="Z755" s="85" t="n"/>
    </row>
    <row r="756" ht="15.75" customHeight="1" s="86">
      <c r="T756" s="85" t="n"/>
      <c r="U756" s="85" t="n"/>
      <c r="V756" s="85" t="n"/>
      <c r="W756" s="85" t="n"/>
      <c r="X756" s="85" t="n"/>
      <c r="Y756" s="85" t="n"/>
      <c r="Z756" s="85" t="n"/>
    </row>
    <row r="757" ht="15.75" customHeight="1" s="86">
      <c r="T757" s="85" t="n"/>
      <c r="U757" s="85" t="n"/>
      <c r="V757" s="85" t="n"/>
      <c r="W757" s="85" t="n"/>
      <c r="X757" s="85" t="n"/>
      <c r="Y757" s="85" t="n"/>
      <c r="Z757" s="85" t="n"/>
    </row>
    <row r="758" ht="15.75" customHeight="1" s="86">
      <c r="T758" s="85" t="n"/>
      <c r="U758" s="85" t="n"/>
      <c r="V758" s="85" t="n"/>
      <c r="W758" s="85" t="n"/>
      <c r="X758" s="85" t="n"/>
      <c r="Y758" s="85" t="n"/>
      <c r="Z758" s="85" t="n"/>
    </row>
    <row r="759" ht="15.75" customHeight="1" s="86">
      <c r="T759" s="85" t="n"/>
      <c r="U759" s="85" t="n"/>
      <c r="V759" s="85" t="n"/>
      <c r="W759" s="85" t="n"/>
      <c r="X759" s="85" t="n"/>
      <c r="Y759" s="85" t="n"/>
      <c r="Z759" s="85" t="n"/>
    </row>
    <row r="760" ht="15.75" customHeight="1" s="86">
      <c r="T760" s="85" t="n"/>
      <c r="U760" s="85" t="n"/>
      <c r="V760" s="85" t="n"/>
      <c r="W760" s="85" t="n"/>
      <c r="X760" s="85" t="n"/>
      <c r="Y760" s="85" t="n"/>
      <c r="Z760" s="85" t="n"/>
    </row>
    <row r="761" ht="15.75" customHeight="1" s="86">
      <c r="T761" s="85" t="n"/>
      <c r="U761" s="85" t="n"/>
      <c r="V761" s="85" t="n"/>
      <c r="W761" s="85" t="n"/>
      <c r="X761" s="85" t="n"/>
      <c r="Y761" s="85" t="n"/>
      <c r="Z761" s="85" t="n"/>
    </row>
    <row r="762" ht="15.75" customHeight="1" s="86">
      <c r="T762" s="85" t="n"/>
      <c r="U762" s="85" t="n"/>
      <c r="V762" s="85" t="n"/>
      <c r="W762" s="85" t="n"/>
      <c r="X762" s="85" t="n"/>
      <c r="Y762" s="85" t="n"/>
      <c r="Z762" s="85" t="n"/>
    </row>
    <row r="763" ht="15.75" customHeight="1" s="86">
      <c r="T763" s="85" t="n"/>
      <c r="U763" s="85" t="n"/>
      <c r="V763" s="85" t="n"/>
      <c r="W763" s="85" t="n"/>
      <c r="X763" s="85" t="n"/>
      <c r="Y763" s="85" t="n"/>
      <c r="Z763" s="85" t="n"/>
    </row>
    <row r="764" ht="15.75" customHeight="1" s="86">
      <c r="T764" s="85" t="n"/>
      <c r="U764" s="85" t="n"/>
      <c r="V764" s="85" t="n"/>
      <c r="W764" s="85" t="n"/>
      <c r="X764" s="85" t="n"/>
      <c r="Y764" s="85" t="n"/>
      <c r="Z764" s="85" t="n"/>
    </row>
    <row r="765" ht="15.75" customHeight="1" s="86">
      <c r="T765" s="85" t="n"/>
      <c r="U765" s="85" t="n"/>
      <c r="V765" s="85" t="n"/>
      <c r="W765" s="85" t="n"/>
      <c r="X765" s="85" t="n"/>
      <c r="Y765" s="85" t="n"/>
      <c r="Z765" s="85" t="n"/>
    </row>
    <row r="766" ht="15.75" customHeight="1" s="86">
      <c r="T766" s="85" t="n"/>
      <c r="U766" s="85" t="n"/>
      <c r="V766" s="85" t="n"/>
      <c r="W766" s="85" t="n"/>
      <c r="X766" s="85" t="n"/>
      <c r="Y766" s="85" t="n"/>
      <c r="Z766" s="85" t="n"/>
    </row>
    <row r="767" ht="15.75" customHeight="1" s="86">
      <c r="T767" s="85" t="n"/>
      <c r="U767" s="85" t="n"/>
      <c r="V767" s="85" t="n"/>
      <c r="W767" s="85" t="n"/>
      <c r="X767" s="85" t="n"/>
      <c r="Y767" s="85" t="n"/>
      <c r="Z767" s="85" t="n"/>
    </row>
    <row r="768" ht="15.75" customHeight="1" s="86">
      <c r="T768" s="85" t="n"/>
      <c r="U768" s="85" t="n"/>
      <c r="V768" s="85" t="n"/>
      <c r="W768" s="85" t="n"/>
      <c r="X768" s="85" t="n"/>
      <c r="Y768" s="85" t="n"/>
      <c r="Z768" s="85" t="n"/>
    </row>
    <row r="769" ht="15.75" customHeight="1" s="86">
      <c r="T769" s="85" t="n"/>
      <c r="U769" s="85" t="n"/>
      <c r="V769" s="85" t="n"/>
      <c r="W769" s="85" t="n"/>
      <c r="X769" s="85" t="n"/>
      <c r="Y769" s="85" t="n"/>
      <c r="Z769" s="85" t="n"/>
    </row>
    <row r="770" ht="15.75" customHeight="1" s="86">
      <c r="T770" s="85" t="n"/>
      <c r="U770" s="85" t="n"/>
      <c r="V770" s="85" t="n"/>
      <c r="W770" s="85" t="n"/>
      <c r="X770" s="85" t="n"/>
      <c r="Y770" s="85" t="n"/>
      <c r="Z770" s="85" t="n"/>
    </row>
    <row r="771" ht="15.75" customHeight="1" s="86">
      <c r="T771" s="85" t="n"/>
      <c r="U771" s="85" t="n"/>
      <c r="V771" s="85" t="n"/>
      <c r="W771" s="85" t="n"/>
      <c r="X771" s="85" t="n"/>
      <c r="Y771" s="85" t="n"/>
      <c r="Z771" s="85" t="n"/>
    </row>
    <row r="772" ht="15.75" customHeight="1" s="86">
      <c r="T772" s="85" t="n"/>
      <c r="U772" s="85" t="n"/>
      <c r="V772" s="85" t="n"/>
      <c r="W772" s="85" t="n"/>
      <c r="X772" s="85" t="n"/>
      <c r="Y772" s="85" t="n"/>
      <c r="Z772" s="85" t="n"/>
    </row>
    <row r="773" ht="15.75" customHeight="1" s="86">
      <c r="T773" s="85" t="n"/>
      <c r="U773" s="85" t="n"/>
      <c r="V773" s="85" t="n"/>
      <c r="W773" s="85" t="n"/>
      <c r="X773" s="85" t="n"/>
      <c r="Y773" s="85" t="n"/>
      <c r="Z773" s="85" t="n"/>
    </row>
    <row r="774" ht="15.75" customHeight="1" s="86">
      <c r="T774" s="85" t="n"/>
      <c r="U774" s="85" t="n"/>
      <c r="V774" s="85" t="n"/>
      <c r="W774" s="85" t="n"/>
      <c r="X774" s="85" t="n"/>
      <c r="Y774" s="85" t="n"/>
      <c r="Z774" s="85" t="n"/>
    </row>
    <row r="775" ht="15.75" customHeight="1" s="86">
      <c r="T775" s="85" t="n"/>
      <c r="U775" s="85" t="n"/>
      <c r="V775" s="85" t="n"/>
      <c r="W775" s="85" t="n"/>
      <c r="X775" s="85" t="n"/>
      <c r="Y775" s="85" t="n"/>
      <c r="Z775" s="85" t="n"/>
    </row>
    <row r="776" ht="15.75" customHeight="1" s="86">
      <c r="T776" s="85" t="n"/>
      <c r="U776" s="85" t="n"/>
      <c r="V776" s="85" t="n"/>
      <c r="W776" s="85" t="n"/>
      <c r="X776" s="85" t="n"/>
      <c r="Y776" s="85" t="n"/>
      <c r="Z776" s="85" t="n"/>
    </row>
    <row r="777" ht="15.75" customHeight="1" s="86">
      <c r="T777" s="85" t="n"/>
      <c r="U777" s="85" t="n"/>
      <c r="V777" s="85" t="n"/>
      <c r="W777" s="85" t="n"/>
      <c r="X777" s="85" t="n"/>
      <c r="Y777" s="85" t="n"/>
      <c r="Z777" s="85" t="n"/>
    </row>
    <row r="778" ht="15.75" customHeight="1" s="86">
      <c r="T778" s="85" t="n"/>
      <c r="U778" s="85" t="n"/>
      <c r="V778" s="85" t="n"/>
      <c r="W778" s="85" t="n"/>
      <c r="X778" s="85" t="n"/>
      <c r="Y778" s="85" t="n"/>
      <c r="Z778" s="85" t="n"/>
    </row>
    <row r="779" ht="15.75" customHeight="1" s="86">
      <c r="T779" s="85" t="n"/>
      <c r="U779" s="85" t="n"/>
      <c r="V779" s="85" t="n"/>
      <c r="W779" s="85" t="n"/>
      <c r="X779" s="85" t="n"/>
      <c r="Y779" s="85" t="n"/>
      <c r="Z779" s="85" t="n"/>
    </row>
    <row r="780" ht="15.75" customHeight="1" s="86">
      <c r="T780" s="85" t="n"/>
      <c r="U780" s="85" t="n"/>
      <c r="V780" s="85" t="n"/>
      <c r="W780" s="85" t="n"/>
      <c r="X780" s="85" t="n"/>
      <c r="Y780" s="85" t="n"/>
      <c r="Z780" s="85" t="n"/>
    </row>
    <row r="781" ht="15.75" customHeight="1" s="86">
      <c r="T781" s="85" t="n"/>
      <c r="U781" s="85" t="n"/>
      <c r="V781" s="85" t="n"/>
      <c r="W781" s="85" t="n"/>
      <c r="X781" s="85" t="n"/>
      <c r="Y781" s="85" t="n"/>
      <c r="Z781" s="85" t="n"/>
    </row>
    <row r="782" ht="15.75" customHeight="1" s="86">
      <c r="T782" s="85" t="n"/>
      <c r="U782" s="85" t="n"/>
      <c r="V782" s="85" t="n"/>
      <c r="W782" s="85" t="n"/>
      <c r="X782" s="85" t="n"/>
      <c r="Y782" s="85" t="n"/>
      <c r="Z782" s="85" t="n"/>
    </row>
    <row r="783" ht="15.75" customHeight="1" s="86">
      <c r="T783" s="85" t="n"/>
      <c r="U783" s="85" t="n"/>
      <c r="V783" s="85" t="n"/>
      <c r="W783" s="85" t="n"/>
      <c r="X783" s="85" t="n"/>
      <c r="Y783" s="85" t="n"/>
      <c r="Z783" s="85" t="n"/>
    </row>
    <row r="784" ht="15.75" customHeight="1" s="86">
      <c r="T784" s="85" t="n"/>
      <c r="U784" s="85" t="n"/>
      <c r="V784" s="85" t="n"/>
      <c r="W784" s="85" t="n"/>
      <c r="X784" s="85" t="n"/>
      <c r="Y784" s="85" t="n"/>
      <c r="Z784" s="85" t="n"/>
    </row>
    <row r="785" ht="15.75" customHeight="1" s="86">
      <c r="T785" s="85" t="n"/>
      <c r="U785" s="85" t="n"/>
      <c r="V785" s="85" t="n"/>
      <c r="W785" s="85" t="n"/>
      <c r="X785" s="85" t="n"/>
      <c r="Y785" s="85" t="n"/>
      <c r="Z785" s="85" t="n"/>
    </row>
    <row r="786" ht="15.75" customHeight="1" s="86">
      <c r="T786" s="85" t="n"/>
      <c r="U786" s="85" t="n"/>
      <c r="V786" s="85" t="n"/>
      <c r="W786" s="85" t="n"/>
      <c r="X786" s="85" t="n"/>
      <c r="Y786" s="85" t="n"/>
      <c r="Z786" s="85" t="n"/>
    </row>
    <row r="787" ht="15.75" customHeight="1" s="86">
      <c r="T787" s="85" t="n"/>
      <c r="U787" s="85" t="n"/>
      <c r="V787" s="85" t="n"/>
      <c r="W787" s="85" t="n"/>
      <c r="X787" s="85" t="n"/>
      <c r="Y787" s="85" t="n"/>
      <c r="Z787" s="85" t="n"/>
    </row>
    <row r="788" ht="15.75" customHeight="1" s="86">
      <c r="T788" s="85" t="n"/>
      <c r="U788" s="85" t="n"/>
      <c r="V788" s="85" t="n"/>
      <c r="W788" s="85" t="n"/>
      <c r="X788" s="85" t="n"/>
      <c r="Y788" s="85" t="n"/>
      <c r="Z788" s="85" t="n"/>
    </row>
    <row r="789" ht="15.75" customHeight="1" s="86">
      <c r="T789" s="85" t="n"/>
      <c r="U789" s="85" t="n"/>
      <c r="V789" s="85" t="n"/>
      <c r="W789" s="85" t="n"/>
      <c r="X789" s="85" t="n"/>
      <c r="Y789" s="85" t="n"/>
      <c r="Z789" s="85" t="n"/>
    </row>
    <row r="790" ht="15.75" customHeight="1" s="86">
      <c r="T790" s="85" t="n"/>
      <c r="U790" s="85" t="n"/>
      <c r="V790" s="85" t="n"/>
      <c r="W790" s="85" t="n"/>
      <c r="X790" s="85" t="n"/>
      <c r="Y790" s="85" t="n"/>
      <c r="Z790" s="85" t="n"/>
    </row>
    <row r="791" ht="15.75" customHeight="1" s="86">
      <c r="T791" s="85" t="n"/>
      <c r="U791" s="85" t="n"/>
      <c r="V791" s="85" t="n"/>
      <c r="W791" s="85" t="n"/>
      <c r="X791" s="85" t="n"/>
      <c r="Y791" s="85" t="n"/>
      <c r="Z791" s="85" t="n"/>
    </row>
    <row r="792" ht="15.75" customHeight="1" s="86">
      <c r="T792" s="85" t="n"/>
      <c r="U792" s="85" t="n"/>
      <c r="V792" s="85" t="n"/>
      <c r="W792" s="85" t="n"/>
      <c r="X792" s="85" t="n"/>
      <c r="Y792" s="85" t="n"/>
      <c r="Z792" s="85" t="n"/>
    </row>
    <row r="793" ht="15.75" customHeight="1" s="86">
      <c r="T793" s="85" t="n"/>
      <c r="U793" s="85" t="n"/>
      <c r="V793" s="85" t="n"/>
      <c r="W793" s="85" t="n"/>
      <c r="X793" s="85" t="n"/>
      <c r="Y793" s="85" t="n"/>
      <c r="Z793" s="85" t="n"/>
    </row>
    <row r="794" ht="15.75" customHeight="1" s="86">
      <c r="T794" s="85" t="n"/>
      <c r="U794" s="85" t="n"/>
      <c r="V794" s="85" t="n"/>
      <c r="W794" s="85" t="n"/>
      <c r="X794" s="85" t="n"/>
      <c r="Y794" s="85" t="n"/>
      <c r="Z794" s="85" t="n"/>
    </row>
    <row r="795" ht="15.75" customHeight="1" s="86">
      <c r="T795" s="85" t="n"/>
      <c r="U795" s="85" t="n"/>
      <c r="V795" s="85" t="n"/>
      <c r="W795" s="85" t="n"/>
      <c r="X795" s="85" t="n"/>
      <c r="Y795" s="85" t="n"/>
      <c r="Z795" s="85" t="n"/>
    </row>
    <row r="796" ht="15.75" customHeight="1" s="86">
      <c r="T796" s="85" t="n"/>
      <c r="U796" s="85" t="n"/>
      <c r="V796" s="85" t="n"/>
      <c r="W796" s="85" t="n"/>
      <c r="X796" s="85" t="n"/>
      <c r="Y796" s="85" t="n"/>
      <c r="Z796" s="85" t="n"/>
    </row>
    <row r="797" ht="15.75" customHeight="1" s="86">
      <c r="T797" s="85" t="n"/>
      <c r="U797" s="85" t="n"/>
      <c r="V797" s="85" t="n"/>
      <c r="W797" s="85" t="n"/>
      <c r="X797" s="85" t="n"/>
      <c r="Y797" s="85" t="n"/>
      <c r="Z797" s="85" t="n"/>
    </row>
    <row r="798" ht="15.75" customHeight="1" s="86">
      <c r="T798" s="85" t="n"/>
      <c r="U798" s="85" t="n"/>
      <c r="V798" s="85" t="n"/>
      <c r="W798" s="85" t="n"/>
      <c r="X798" s="85" t="n"/>
      <c r="Y798" s="85" t="n"/>
      <c r="Z798" s="85" t="n"/>
    </row>
    <row r="799" ht="15.75" customHeight="1" s="86">
      <c r="T799" s="85" t="n"/>
      <c r="U799" s="85" t="n"/>
      <c r="V799" s="85" t="n"/>
      <c r="W799" s="85" t="n"/>
      <c r="X799" s="85" t="n"/>
      <c r="Y799" s="85" t="n"/>
      <c r="Z799" s="85" t="n"/>
    </row>
    <row r="800" ht="15.75" customHeight="1" s="86">
      <c r="T800" s="85" t="n"/>
      <c r="U800" s="85" t="n"/>
      <c r="V800" s="85" t="n"/>
      <c r="W800" s="85" t="n"/>
      <c r="X800" s="85" t="n"/>
      <c r="Y800" s="85" t="n"/>
      <c r="Z800" s="85" t="n"/>
    </row>
    <row r="801" ht="15.75" customHeight="1" s="86">
      <c r="T801" s="85" t="n"/>
      <c r="U801" s="85" t="n"/>
      <c r="V801" s="85" t="n"/>
      <c r="W801" s="85" t="n"/>
      <c r="X801" s="85" t="n"/>
      <c r="Y801" s="85" t="n"/>
      <c r="Z801" s="85" t="n"/>
    </row>
    <row r="802" ht="15.75" customHeight="1" s="86">
      <c r="T802" s="85" t="n"/>
      <c r="U802" s="85" t="n"/>
      <c r="V802" s="85" t="n"/>
      <c r="W802" s="85" t="n"/>
      <c r="X802" s="85" t="n"/>
      <c r="Y802" s="85" t="n"/>
      <c r="Z802" s="85" t="n"/>
    </row>
    <row r="803" ht="15.75" customHeight="1" s="86">
      <c r="T803" s="85" t="n"/>
      <c r="U803" s="85" t="n"/>
      <c r="V803" s="85" t="n"/>
      <c r="W803" s="85" t="n"/>
      <c r="X803" s="85" t="n"/>
      <c r="Y803" s="85" t="n"/>
      <c r="Z803" s="85" t="n"/>
    </row>
    <row r="804" ht="15.75" customHeight="1" s="86">
      <c r="T804" s="85" t="n"/>
      <c r="U804" s="85" t="n"/>
      <c r="V804" s="85" t="n"/>
      <c r="W804" s="85" t="n"/>
      <c r="X804" s="85" t="n"/>
      <c r="Y804" s="85" t="n"/>
      <c r="Z804" s="85" t="n"/>
    </row>
    <row r="805" ht="15.75" customHeight="1" s="86">
      <c r="T805" s="85" t="n"/>
      <c r="U805" s="85" t="n"/>
      <c r="V805" s="85" t="n"/>
      <c r="W805" s="85" t="n"/>
      <c r="X805" s="85" t="n"/>
      <c r="Y805" s="85" t="n"/>
      <c r="Z805" s="85" t="n"/>
    </row>
    <row r="806" ht="15.75" customHeight="1" s="86">
      <c r="T806" s="85" t="n"/>
      <c r="U806" s="85" t="n"/>
      <c r="V806" s="85" t="n"/>
      <c r="W806" s="85" t="n"/>
      <c r="X806" s="85" t="n"/>
      <c r="Y806" s="85" t="n"/>
      <c r="Z806" s="85" t="n"/>
    </row>
    <row r="807" ht="15.75" customHeight="1" s="86">
      <c r="T807" s="85" t="n"/>
      <c r="U807" s="85" t="n"/>
      <c r="V807" s="85" t="n"/>
      <c r="W807" s="85" t="n"/>
      <c r="X807" s="85" t="n"/>
      <c r="Y807" s="85" t="n"/>
      <c r="Z807" s="85" t="n"/>
    </row>
    <row r="808" ht="15.75" customHeight="1" s="86">
      <c r="T808" s="85" t="n"/>
      <c r="U808" s="85" t="n"/>
      <c r="V808" s="85" t="n"/>
      <c r="W808" s="85" t="n"/>
      <c r="X808" s="85" t="n"/>
      <c r="Y808" s="85" t="n"/>
      <c r="Z808" s="85" t="n"/>
    </row>
    <row r="809" ht="15.75" customHeight="1" s="86">
      <c r="T809" s="85" t="n"/>
      <c r="U809" s="85" t="n"/>
      <c r="V809" s="85" t="n"/>
      <c r="W809" s="85" t="n"/>
      <c r="X809" s="85" t="n"/>
      <c r="Y809" s="85" t="n"/>
      <c r="Z809" s="85" t="n"/>
    </row>
    <row r="810" ht="15.75" customHeight="1" s="86">
      <c r="T810" s="85" t="n"/>
      <c r="U810" s="85" t="n"/>
      <c r="V810" s="85" t="n"/>
      <c r="W810" s="85" t="n"/>
      <c r="X810" s="85" t="n"/>
      <c r="Y810" s="85" t="n"/>
      <c r="Z810" s="85" t="n"/>
    </row>
    <row r="811" ht="15.75" customHeight="1" s="86">
      <c r="T811" s="85" t="n"/>
      <c r="U811" s="85" t="n"/>
      <c r="V811" s="85" t="n"/>
      <c r="W811" s="85" t="n"/>
      <c r="X811" s="85" t="n"/>
      <c r="Y811" s="85" t="n"/>
      <c r="Z811" s="85" t="n"/>
    </row>
    <row r="812" ht="15.75" customHeight="1" s="86">
      <c r="T812" s="85" t="n"/>
      <c r="U812" s="85" t="n"/>
      <c r="V812" s="85" t="n"/>
      <c r="W812" s="85" t="n"/>
      <c r="X812" s="85" t="n"/>
      <c r="Y812" s="85" t="n"/>
      <c r="Z812" s="85" t="n"/>
    </row>
    <row r="813" ht="15.75" customHeight="1" s="86">
      <c r="T813" s="85" t="n"/>
      <c r="U813" s="85" t="n"/>
      <c r="V813" s="85" t="n"/>
      <c r="W813" s="85" t="n"/>
      <c r="X813" s="85" t="n"/>
      <c r="Y813" s="85" t="n"/>
      <c r="Z813" s="85" t="n"/>
    </row>
    <row r="814" ht="15.75" customHeight="1" s="86">
      <c r="T814" s="85" t="n"/>
      <c r="U814" s="85" t="n"/>
      <c r="V814" s="85" t="n"/>
      <c r="W814" s="85" t="n"/>
      <c r="X814" s="85" t="n"/>
      <c r="Y814" s="85" t="n"/>
      <c r="Z814" s="85" t="n"/>
    </row>
    <row r="815" ht="15.75" customHeight="1" s="86">
      <c r="T815" s="85" t="n"/>
      <c r="U815" s="85" t="n"/>
      <c r="V815" s="85" t="n"/>
      <c r="W815" s="85" t="n"/>
      <c r="X815" s="85" t="n"/>
      <c r="Y815" s="85" t="n"/>
      <c r="Z815" s="85" t="n"/>
    </row>
    <row r="816" ht="15.75" customHeight="1" s="86">
      <c r="T816" s="85" t="n"/>
      <c r="U816" s="85" t="n"/>
      <c r="V816" s="85" t="n"/>
      <c r="W816" s="85" t="n"/>
      <c r="X816" s="85" t="n"/>
      <c r="Y816" s="85" t="n"/>
      <c r="Z816" s="85" t="n"/>
    </row>
    <row r="817" ht="15.75" customHeight="1" s="86">
      <c r="T817" s="85" t="n"/>
      <c r="U817" s="85" t="n"/>
      <c r="V817" s="85" t="n"/>
      <c r="W817" s="85" t="n"/>
      <c r="X817" s="85" t="n"/>
      <c r="Y817" s="85" t="n"/>
      <c r="Z817" s="85" t="n"/>
    </row>
    <row r="818" ht="15.75" customHeight="1" s="86">
      <c r="T818" s="85" t="n"/>
      <c r="U818" s="85" t="n"/>
      <c r="V818" s="85" t="n"/>
      <c r="W818" s="85" t="n"/>
      <c r="X818" s="85" t="n"/>
      <c r="Y818" s="85" t="n"/>
      <c r="Z818" s="85" t="n"/>
    </row>
    <row r="819" ht="15.75" customHeight="1" s="86">
      <c r="T819" s="85" t="n"/>
      <c r="U819" s="85" t="n"/>
      <c r="V819" s="85" t="n"/>
      <c r="W819" s="85" t="n"/>
      <c r="X819" s="85" t="n"/>
      <c r="Y819" s="85" t="n"/>
      <c r="Z819" s="85" t="n"/>
    </row>
    <row r="820" ht="15.75" customHeight="1" s="86">
      <c r="T820" s="85" t="n"/>
      <c r="U820" s="85" t="n"/>
      <c r="V820" s="85" t="n"/>
      <c r="W820" s="85" t="n"/>
      <c r="X820" s="85" t="n"/>
      <c r="Y820" s="85" t="n"/>
      <c r="Z820" s="85" t="n"/>
    </row>
    <row r="821" ht="15.75" customHeight="1" s="86">
      <c r="T821" s="85" t="n"/>
      <c r="U821" s="85" t="n"/>
      <c r="V821" s="85" t="n"/>
      <c r="W821" s="85" t="n"/>
      <c r="X821" s="85" t="n"/>
      <c r="Y821" s="85" t="n"/>
      <c r="Z821" s="85" t="n"/>
    </row>
    <row r="822" ht="15.75" customHeight="1" s="86">
      <c r="T822" s="85" t="n"/>
      <c r="U822" s="85" t="n"/>
      <c r="V822" s="85" t="n"/>
      <c r="W822" s="85" t="n"/>
      <c r="X822" s="85" t="n"/>
      <c r="Y822" s="85" t="n"/>
      <c r="Z822" s="85" t="n"/>
    </row>
    <row r="823" ht="15.75" customHeight="1" s="86">
      <c r="T823" s="85" t="n"/>
      <c r="U823" s="85" t="n"/>
      <c r="V823" s="85" t="n"/>
      <c r="W823" s="85" t="n"/>
      <c r="X823" s="85" t="n"/>
      <c r="Y823" s="85" t="n"/>
      <c r="Z823" s="85" t="n"/>
    </row>
    <row r="824" ht="15.75" customHeight="1" s="86">
      <c r="T824" s="85" t="n"/>
      <c r="U824" s="85" t="n"/>
      <c r="V824" s="85" t="n"/>
      <c r="W824" s="85" t="n"/>
      <c r="X824" s="85" t="n"/>
      <c r="Y824" s="85" t="n"/>
      <c r="Z824" s="85" t="n"/>
    </row>
    <row r="825" ht="15.75" customHeight="1" s="86">
      <c r="T825" s="85" t="n"/>
      <c r="U825" s="85" t="n"/>
      <c r="V825" s="85" t="n"/>
      <c r="W825" s="85" t="n"/>
      <c r="X825" s="85" t="n"/>
      <c r="Y825" s="85" t="n"/>
      <c r="Z825" s="85" t="n"/>
    </row>
    <row r="826" ht="15.75" customHeight="1" s="86">
      <c r="T826" s="85" t="n"/>
      <c r="U826" s="85" t="n"/>
      <c r="V826" s="85" t="n"/>
      <c r="W826" s="85" t="n"/>
      <c r="X826" s="85" t="n"/>
      <c r="Y826" s="85" t="n"/>
      <c r="Z826" s="85" t="n"/>
    </row>
    <row r="827" ht="15.75" customHeight="1" s="86">
      <c r="T827" s="85" t="n"/>
      <c r="U827" s="85" t="n"/>
      <c r="V827" s="85" t="n"/>
      <c r="W827" s="85" t="n"/>
      <c r="X827" s="85" t="n"/>
      <c r="Y827" s="85" t="n"/>
      <c r="Z827" s="85" t="n"/>
    </row>
    <row r="828" ht="15.75" customHeight="1" s="86">
      <c r="T828" s="85" t="n"/>
      <c r="U828" s="85" t="n"/>
      <c r="V828" s="85" t="n"/>
      <c r="W828" s="85" t="n"/>
      <c r="X828" s="85" t="n"/>
      <c r="Y828" s="85" t="n"/>
      <c r="Z828" s="85" t="n"/>
    </row>
    <row r="829" ht="15.75" customHeight="1" s="86">
      <c r="T829" s="85" t="n"/>
      <c r="U829" s="85" t="n"/>
      <c r="V829" s="85" t="n"/>
      <c r="W829" s="85" t="n"/>
      <c r="X829" s="85" t="n"/>
      <c r="Y829" s="85" t="n"/>
      <c r="Z829" s="85" t="n"/>
    </row>
    <row r="830" ht="15.75" customHeight="1" s="86">
      <c r="T830" s="85" t="n"/>
      <c r="U830" s="85" t="n"/>
      <c r="V830" s="85" t="n"/>
      <c r="W830" s="85" t="n"/>
      <c r="X830" s="85" t="n"/>
      <c r="Y830" s="85" t="n"/>
      <c r="Z830" s="85" t="n"/>
    </row>
    <row r="831" ht="15.75" customHeight="1" s="86">
      <c r="T831" s="85" t="n"/>
      <c r="U831" s="85" t="n"/>
      <c r="V831" s="85" t="n"/>
      <c r="W831" s="85" t="n"/>
      <c r="X831" s="85" t="n"/>
      <c r="Y831" s="85" t="n"/>
      <c r="Z831" s="85" t="n"/>
    </row>
    <row r="832" ht="15.75" customHeight="1" s="86">
      <c r="T832" s="85" t="n"/>
      <c r="U832" s="85" t="n"/>
      <c r="V832" s="85" t="n"/>
      <c r="W832" s="85" t="n"/>
      <c r="X832" s="85" t="n"/>
      <c r="Y832" s="85" t="n"/>
      <c r="Z832" s="85" t="n"/>
    </row>
    <row r="833" ht="15.75" customHeight="1" s="86">
      <c r="T833" s="85" t="n"/>
      <c r="U833" s="85" t="n"/>
      <c r="V833" s="85" t="n"/>
      <c r="W833" s="85" t="n"/>
      <c r="X833" s="85" t="n"/>
      <c r="Y833" s="85" t="n"/>
      <c r="Z833" s="85" t="n"/>
    </row>
    <row r="834" ht="15.75" customHeight="1" s="86">
      <c r="T834" s="85" t="n"/>
      <c r="U834" s="85" t="n"/>
      <c r="V834" s="85" t="n"/>
      <c r="W834" s="85" t="n"/>
      <c r="X834" s="85" t="n"/>
      <c r="Y834" s="85" t="n"/>
      <c r="Z834" s="85" t="n"/>
    </row>
    <row r="835" ht="15.75" customHeight="1" s="86">
      <c r="T835" s="85" t="n"/>
      <c r="U835" s="85" t="n"/>
      <c r="V835" s="85" t="n"/>
      <c r="W835" s="85" t="n"/>
      <c r="X835" s="85" t="n"/>
      <c r="Y835" s="85" t="n"/>
      <c r="Z835" s="85" t="n"/>
    </row>
    <row r="836" ht="15.75" customHeight="1" s="86">
      <c r="T836" s="85" t="n"/>
      <c r="U836" s="85" t="n"/>
      <c r="V836" s="85" t="n"/>
      <c r="W836" s="85" t="n"/>
      <c r="X836" s="85" t="n"/>
      <c r="Y836" s="85" t="n"/>
      <c r="Z836" s="85" t="n"/>
    </row>
    <row r="837" ht="15.75" customHeight="1" s="86">
      <c r="T837" s="85" t="n"/>
      <c r="U837" s="85" t="n"/>
      <c r="V837" s="85" t="n"/>
      <c r="W837" s="85" t="n"/>
      <c r="X837" s="85" t="n"/>
      <c r="Y837" s="85" t="n"/>
      <c r="Z837" s="85" t="n"/>
    </row>
    <row r="838" ht="15.75" customHeight="1" s="86">
      <c r="T838" s="85" t="n"/>
      <c r="U838" s="85" t="n"/>
      <c r="V838" s="85" t="n"/>
      <c r="W838" s="85" t="n"/>
      <c r="X838" s="85" t="n"/>
      <c r="Y838" s="85" t="n"/>
      <c r="Z838" s="85" t="n"/>
    </row>
    <row r="839" ht="15.75" customHeight="1" s="86">
      <c r="T839" s="85" t="n"/>
      <c r="U839" s="85" t="n"/>
      <c r="V839" s="85" t="n"/>
      <c r="W839" s="85" t="n"/>
      <c r="X839" s="85" t="n"/>
      <c r="Y839" s="85" t="n"/>
      <c r="Z839" s="85" t="n"/>
    </row>
    <row r="840" ht="15.75" customHeight="1" s="86">
      <c r="T840" s="85" t="n"/>
      <c r="U840" s="85" t="n"/>
      <c r="V840" s="85" t="n"/>
      <c r="W840" s="85" t="n"/>
      <c r="X840" s="85" t="n"/>
      <c r="Y840" s="85" t="n"/>
      <c r="Z840" s="85" t="n"/>
    </row>
    <row r="841" ht="15.75" customHeight="1" s="86">
      <c r="T841" s="85" t="n"/>
      <c r="U841" s="85" t="n"/>
      <c r="V841" s="85" t="n"/>
      <c r="W841" s="85" t="n"/>
      <c r="X841" s="85" t="n"/>
      <c r="Y841" s="85" t="n"/>
      <c r="Z841" s="85" t="n"/>
    </row>
    <row r="842" ht="15.75" customHeight="1" s="86">
      <c r="T842" s="85" t="n"/>
      <c r="U842" s="85" t="n"/>
      <c r="V842" s="85" t="n"/>
      <c r="W842" s="85" t="n"/>
      <c r="X842" s="85" t="n"/>
      <c r="Y842" s="85" t="n"/>
      <c r="Z842" s="85" t="n"/>
    </row>
    <row r="843" ht="15.75" customHeight="1" s="86">
      <c r="T843" s="85" t="n"/>
      <c r="U843" s="85" t="n"/>
      <c r="V843" s="85" t="n"/>
      <c r="W843" s="85" t="n"/>
      <c r="X843" s="85" t="n"/>
      <c r="Y843" s="85" t="n"/>
      <c r="Z843" s="85" t="n"/>
    </row>
    <row r="844" ht="15.75" customHeight="1" s="86">
      <c r="T844" s="85" t="n"/>
      <c r="U844" s="85" t="n"/>
      <c r="V844" s="85" t="n"/>
      <c r="W844" s="85" t="n"/>
      <c r="X844" s="85" t="n"/>
      <c r="Y844" s="85" t="n"/>
      <c r="Z844" s="85" t="n"/>
    </row>
    <row r="845" ht="15.75" customHeight="1" s="86">
      <c r="T845" s="85" t="n"/>
      <c r="U845" s="85" t="n"/>
      <c r="V845" s="85" t="n"/>
      <c r="W845" s="85" t="n"/>
      <c r="X845" s="85" t="n"/>
      <c r="Y845" s="85" t="n"/>
      <c r="Z845" s="85" t="n"/>
    </row>
    <row r="846" ht="15.75" customHeight="1" s="86">
      <c r="T846" s="85" t="n"/>
      <c r="U846" s="85" t="n"/>
      <c r="V846" s="85" t="n"/>
      <c r="W846" s="85" t="n"/>
      <c r="X846" s="85" t="n"/>
      <c r="Y846" s="85" t="n"/>
      <c r="Z846" s="85" t="n"/>
    </row>
    <row r="847" ht="15.75" customHeight="1" s="86">
      <c r="T847" s="85" t="n"/>
      <c r="U847" s="85" t="n"/>
      <c r="V847" s="85" t="n"/>
      <c r="W847" s="85" t="n"/>
      <c r="X847" s="85" t="n"/>
      <c r="Y847" s="85" t="n"/>
      <c r="Z847" s="85" t="n"/>
    </row>
    <row r="848" ht="15.75" customHeight="1" s="86">
      <c r="T848" s="85" t="n"/>
      <c r="U848" s="85" t="n"/>
      <c r="V848" s="85" t="n"/>
      <c r="W848" s="85" t="n"/>
      <c r="X848" s="85" t="n"/>
      <c r="Y848" s="85" t="n"/>
      <c r="Z848" s="85" t="n"/>
    </row>
    <row r="849" ht="15.75" customHeight="1" s="86">
      <c r="T849" s="85" t="n"/>
      <c r="U849" s="85" t="n"/>
      <c r="V849" s="85" t="n"/>
      <c r="W849" s="85" t="n"/>
      <c r="X849" s="85" t="n"/>
      <c r="Y849" s="85" t="n"/>
      <c r="Z849" s="85" t="n"/>
    </row>
    <row r="850" ht="15.75" customHeight="1" s="86">
      <c r="T850" s="85" t="n"/>
      <c r="U850" s="85" t="n"/>
      <c r="V850" s="85" t="n"/>
      <c r="W850" s="85" t="n"/>
      <c r="X850" s="85" t="n"/>
      <c r="Y850" s="85" t="n"/>
      <c r="Z850" s="85" t="n"/>
    </row>
    <row r="851" ht="15.75" customHeight="1" s="86">
      <c r="T851" s="85" t="n"/>
      <c r="U851" s="85" t="n"/>
      <c r="V851" s="85" t="n"/>
      <c r="W851" s="85" t="n"/>
      <c r="X851" s="85" t="n"/>
      <c r="Y851" s="85" t="n"/>
      <c r="Z851" s="85" t="n"/>
    </row>
    <row r="852" ht="15.75" customHeight="1" s="86">
      <c r="T852" s="85" t="n"/>
      <c r="U852" s="85" t="n"/>
      <c r="V852" s="85" t="n"/>
      <c r="W852" s="85" t="n"/>
      <c r="X852" s="85" t="n"/>
      <c r="Y852" s="85" t="n"/>
      <c r="Z852" s="85" t="n"/>
    </row>
    <row r="853" ht="15.75" customHeight="1" s="86">
      <c r="T853" s="85" t="n"/>
      <c r="U853" s="85" t="n"/>
      <c r="V853" s="85" t="n"/>
      <c r="W853" s="85" t="n"/>
      <c r="X853" s="85" t="n"/>
      <c r="Y853" s="85" t="n"/>
      <c r="Z853" s="85" t="n"/>
    </row>
    <row r="854" ht="15.75" customHeight="1" s="86">
      <c r="T854" s="85" t="n"/>
      <c r="U854" s="85" t="n"/>
      <c r="V854" s="85" t="n"/>
      <c r="W854" s="85" t="n"/>
      <c r="X854" s="85" t="n"/>
      <c r="Y854" s="85" t="n"/>
      <c r="Z854" s="85" t="n"/>
    </row>
    <row r="855" ht="15.75" customHeight="1" s="86">
      <c r="T855" s="85" t="n"/>
      <c r="U855" s="85" t="n"/>
      <c r="V855" s="85" t="n"/>
      <c r="W855" s="85" t="n"/>
      <c r="X855" s="85" t="n"/>
      <c r="Y855" s="85" t="n"/>
      <c r="Z855" s="85" t="n"/>
    </row>
    <row r="856" ht="15.75" customHeight="1" s="86">
      <c r="T856" s="85" t="n"/>
      <c r="U856" s="85" t="n"/>
      <c r="V856" s="85" t="n"/>
      <c r="W856" s="85" t="n"/>
      <c r="X856" s="85" t="n"/>
      <c r="Y856" s="85" t="n"/>
      <c r="Z856" s="85" t="n"/>
    </row>
    <row r="857" ht="15.75" customHeight="1" s="86">
      <c r="T857" s="85" t="n"/>
      <c r="U857" s="85" t="n"/>
      <c r="V857" s="85" t="n"/>
      <c r="W857" s="85" t="n"/>
      <c r="X857" s="85" t="n"/>
      <c r="Y857" s="85" t="n"/>
      <c r="Z857" s="85" t="n"/>
    </row>
    <row r="858" ht="15.75" customHeight="1" s="86">
      <c r="T858" s="85" t="n"/>
      <c r="U858" s="85" t="n"/>
      <c r="V858" s="85" t="n"/>
      <c r="W858" s="85" t="n"/>
      <c r="X858" s="85" t="n"/>
      <c r="Y858" s="85" t="n"/>
      <c r="Z858" s="85" t="n"/>
    </row>
    <row r="859" ht="15.75" customHeight="1" s="86">
      <c r="T859" s="85" t="n"/>
      <c r="U859" s="85" t="n"/>
      <c r="V859" s="85" t="n"/>
      <c r="W859" s="85" t="n"/>
      <c r="X859" s="85" t="n"/>
      <c r="Y859" s="85" t="n"/>
      <c r="Z859" s="85" t="n"/>
    </row>
    <row r="860" ht="15.75" customHeight="1" s="86">
      <c r="T860" s="85" t="n"/>
      <c r="U860" s="85" t="n"/>
      <c r="V860" s="85" t="n"/>
      <c r="W860" s="85" t="n"/>
      <c r="X860" s="85" t="n"/>
      <c r="Y860" s="85" t="n"/>
      <c r="Z860" s="85" t="n"/>
    </row>
    <row r="861" ht="15.75" customHeight="1" s="86">
      <c r="T861" s="85" t="n"/>
      <c r="U861" s="85" t="n"/>
      <c r="V861" s="85" t="n"/>
      <c r="W861" s="85" t="n"/>
      <c r="X861" s="85" t="n"/>
      <c r="Y861" s="85" t="n"/>
      <c r="Z861" s="85" t="n"/>
    </row>
    <row r="862" ht="15.75" customHeight="1" s="86">
      <c r="T862" s="85" t="n"/>
      <c r="U862" s="85" t="n"/>
      <c r="V862" s="85" t="n"/>
      <c r="W862" s="85" t="n"/>
      <c r="X862" s="85" t="n"/>
      <c r="Y862" s="85" t="n"/>
      <c r="Z862" s="85" t="n"/>
    </row>
    <row r="863" ht="15.75" customHeight="1" s="86">
      <c r="T863" s="85" t="n"/>
      <c r="U863" s="85" t="n"/>
      <c r="V863" s="85" t="n"/>
      <c r="W863" s="85" t="n"/>
      <c r="X863" s="85" t="n"/>
      <c r="Y863" s="85" t="n"/>
      <c r="Z863" s="85" t="n"/>
    </row>
    <row r="864" ht="15.75" customHeight="1" s="86">
      <c r="T864" s="85" t="n"/>
      <c r="U864" s="85" t="n"/>
      <c r="V864" s="85" t="n"/>
      <c r="W864" s="85" t="n"/>
      <c r="X864" s="85" t="n"/>
      <c r="Y864" s="85" t="n"/>
      <c r="Z864" s="85" t="n"/>
    </row>
    <row r="865" ht="15.75" customHeight="1" s="86">
      <c r="T865" s="85" t="n"/>
      <c r="U865" s="85" t="n"/>
      <c r="V865" s="85" t="n"/>
      <c r="W865" s="85" t="n"/>
      <c r="X865" s="85" t="n"/>
      <c r="Y865" s="85" t="n"/>
      <c r="Z865" s="85" t="n"/>
    </row>
    <row r="866" ht="15.75" customHeight="1" s="86">
      <c r="T866" s="85" t="n"/>
      <c r="U866" s="85" t="n"/>
      <c r="V866" s="85" t="n"/>
      <c r="W866" s="85" t="n"/>
      <c r="X866" s="85" t="n"/>
      <c r="Y866" s="85" t="n"/>
      <c r="Z866" s="85" t="n"/>
    </row>
    <row r="867" ht="15.75" customHeight="1" s="86">
      <c r="T867" s="85" t="n"/>
      <c r="U867" s="85" t="n"/>
      <c r="V867" s="85" t="n"/>
      <c r="W867" s="85" t="n"/>
      <c r="X867" s="85" t="n"/>
      <c r="Y867" s="85" t="n"/>
      <c r="Z867" s="85" t="n"/>
    </row>
    <row r="868" ht="15.75" customHeight="1" s="86">
      <c r="T868" s="85" t="n"/>
      <c r="U868" s="85" t="n"/>
      <c r="V868" s="85" t="n"/>
      <c r="W868" s="85" t="n"/>
      <c r="X868" s="85" t="n"/>
      <c r="Y868" s="85" t="n"/>
      <c r="Z868" s="85" t="n"/>
    </row>
    <row r="869" ht="15.75" customHeight="1" s="86">
      <c r="T869" s="85" t="n"/>
      <c r="U869" s="85" t="n"/>
      <c r="V869" s="85" t="n"/>
      <c r="W869" s="85" t="n"/>
      <c r="X869" s="85" t="n"/>
      <c r="Y869" s="85" t="n"/>
      <c r="Z869" s="85" t="n"/>
    </row>
    <row r="870" ht="15.75" customHeight="1" s="86">
      <c r="T870" s="85" t="n"/>
      <c r="U870" s="85" t="n"/>
      <c r="V870" s="85" t="n"/>
      <c r="W870" s="85" t="n"/>
      <c r="X870" s="85" t="n"/>
      <c r="Y870" s="85" t="n"/>
      <c r="Z870" s="85" t="n"/>
    </row>
    <row r="871" ht="15.75" customHeight="1" s="86">
      <c r="T871" s="85" t="n"/>
      <c r="U871" s="85" t="n"/>
      <c r="V871" s="85" t="n"/>
      <c r="W871" s="85" t="n"/>
      <c r="X871" s="85" t="n"/>
      <c r="Y871" s="85" t="n"/>
      <c r="Z871" s="85" t="n"/>
    </row>
    <row r="872" ht="15.75" customHeight="1" s="86">
      <c r="T872" s="85" t="n"/>
      <c r="U872" s="85" t="n"/>
      <c r="V872" s="85" t="n"/>
      <c r="W872" s="85" t="n"/>
      <c r="X872" s="85" t="n"/>
      <c r="Y872" s="85" t="n"/>
      <c r="Z872" s="85" t="n"/>
    </row>
    <row r="873" ht="15.75" customHeight="1" s="86">
      <c r="T873" s="85" t="n"/>
      <c r="U873" s="85" t="n"/>
      <c r="V873" s="85" t="n"/>
      <c r="W873" s="85" t="n"/>
      <c r="X873" s="85" t="n"/>
      <c r="Y873" s="85" t="n"/>
      <c r="Z873" s="85" t="n"/>
    </row>
    <row r="874" ht="15.75" customHeight="1" s="86">
      <c r="T874" s="85" t="n"/>
      <c r="U874" s="85" t="n"/>
      <c r="V874" s="85" t="n"/>
      <c r="W874" s="85" t="n"/>
      <c r="X874" s="85" t="n"/>
      <c r="Y874" s="85" t="n"/>
      <c r="Z874" s="85" t="n"/>
    </row>
    <row r="875" ht="15.75" customHeight="1" s="86">
      <c r="T875" s="85" t="n"/>
      <c r="U875" s="85" t="n"/>
      <c r="V875" s="85" t="n"/>
      <c r="W875" s="85" t="n"/>
      <c r="X875" s="85" t="n"/>
      <c r="Y875" s="85" t="n"/>
      <c r="Z875" s="85" t="n"/>
    </row>
    <row r="876" ht="15.75" customHeight="1" s="86">
      <c r="T876" s="85" t="n"/>
      <c r="U876" s="85" t="n"/>
      <c r="V876" s="85" t="n"/>
      <c r="W876" s="85" t="n"/>
      <c r="X876" s="85" t="n"/>
      <c r="Y876" s="85" t="n"/>
      <c r="Z876" s="85" t="n"/>
    </row>
    <row r="877" ht="15.75" customHeight="1" s="86">
      <c r="T877" s="85" t="n"/>
      <c r="U877" s="85" t="n"/>
      <c r="V877" s="85" t="n"/>
      <c r="W877" s="85" t="n"/>
      <c r="X877" s="85" t="n"/>
      <c r="Y877" s="85" t="n"/>
      <c r="Z877" s="85" t="n"/>
    </row>
    <row r="878" ht="15.75" customHeight="1" s="86">
      <c r="T878" s="85" t="n"/>
      <c r="U878" s="85" t="n"/>
      <c r="V878" s="85" t="n"/>
      <c r="W878" s="85" t="n"/>
      <c r="X878" s="85" t="n"/>
      <c r="Y878" s="85" t="n"/>
      <c r="Z878" s="85" t="n"/>
    </row>
    <row r="879" ht="15.75" customHeight="1" s="86">
      <c r="T879" s="85" t="n"/>
      <c r="U879" s="85" t="n"/>
      <c r="V879" s="85" t="n"/>
      <c r="W879" s="85" t="n"/>
      <c r="X879" s="85" t="n"/>
      <c r="Y879" s="85" t="n"/>
      <c r="Z879" s="85" t="n"/>
    </row>
    <row r="880" ht="15.75" customHeight="1" s="86">
      <c r="T880" s="85" t="n"/>
      <c r="U880" s="85" t="n"/>
      <c r="V880" s="85" t="n"/>
      <c r="W880" s="85" t="n"/>
      <c r="X880" s="85" t="n"/>
      <c r="Y880" s="85" t="n"/>
      <c r="Z880" s="85" t="n"/>
    </row>
    <row r="881" ht="15.75" customHeight="1" s="86">
      <c r="T881" s="85" t="n"/>
      <c r="U881" s="85" t="n"/>
      <c r="V881" s="85" t="n"/>
      <c r="W881" s="85" t="n"/>
      <c r="X881" s="85" t="n"/>
      <c r="Y881" s="85" t="n"/>
      <c r="Z881" s="85" t="n"/>
    </row>
    <row r="882" ht="15.75" customHeight="1" s="86">
      <c r="T882" s="85" t="n"/>
      <c r="U882" s="85" t="n"/>
      <c r="V882" s="85" t="n"/>
      <c r="W882" s="85" t="n"/>
      <c r="X882" s="85" t="n"/>
      <c r="Y882" s="85" t="n"/>
      <c r="Z882" s="85" t="n"/>
    </row>
    <row r="883" ht="15.75" customHeight="1" s="86">
      <c r="T883" s="85" t="n"/>
      <c r="U883" s="85" t="n"/>
      <c r="V883" s="85" t="n"/>
      <c r="W883" s="85" t="n"/>
      <c r="X883" s="85" t="n"/>
      <c r="Y883" s="85" t="n"/>
      <c r="Z883" s="85" t="n"/>
    </row>
    <row r="884" ht="15.75" customHeight="1" s="86">
      <c r="T884" s="85" t="n"/>
      <c r="U884" s="85" t="n"/>
      <c r="V884" s="85" t="n"/>
      <c r="W884" s="85" t="n"/>
      <c r="X884" s="85" t="n"/>
      <c r="Y884" s="85" t="n"/>
      <c r="Z884" s="85" t="n"/>
    </row>
    <row r="885" ht="15.75" customHeight="1" s="86">
      <c r="T885" s="85" t="n"/>
      <c r="U885" s="85" t="n"/>
      <c r="V885" s="85" t="n"/>
      <c r="W885" s="85" t="n"/>
      <c r="X885" s="85" t="n"/>
      <c r="Y885" s="85" t="n"/>
      <c r="Z885" s="85" t="n"/>
    </row>
    <row r="886" ht="15.75" customHeight="1" s="86">
      <c r="T886" s="85" t="n"/>
      <c r="U886" s="85" t="n"/>
      <c r="V886" s="85" t="n"/>
      <c r="W886" s="85" t="n"/>
      <c r="X886" s="85" t="n"/>
      <c r="Y886" s="85" t="n"/>
      <c r="Z886" s="85" t="n"/>
    </row>
    <row r="887" ht="15.75" customHeight="1" s="86">
      <c r="T887" s="85" t="n"/>
      <c r="U887" s="85" t="n"/>
      <c r="V887" s="85" t="n"/>
      <c r="W887" s="85" t="n"/>
      <c r="X887" s="85" t="n"/>
      <c r="Y887" s="85" t="n"/>
      <c r="Z887" s="85" t="n"/>
    </row>
    <row r="888" ht="15.75" customHeight="1" s="86">
      <c r="T888" s="85" t="n"/>
      <c r="U888" s="85" t="n"/>
      <c r="V888" s="85" t="n"/>
      <c r="W888" s="85" t="n"/>
      <c r="X888" s="85" t="n"/>
      <c r="Y888" s="85" t="n"/>
      <c r="Z888" s="85" t="n"/>
    </row>
    <row r="889" ht="15.75" customHeight="1" s="86">
      <c r="T889" s="85" t="n"/>
      <c r="U889" s="85" t="n"/>
      <c r="V889" s="85" t="n"/>
      <c r="W889" s="85" t="n"/>
      <c r="X889" s="85" t="n"/>
      <c r="Y889" s="85" t="n"/>
      <c r="Z889" s="85" t="n"/>
    </row>
    <row r="890" ht="15.75" customHeight="1" s="86">
      <c r="T890" s="85" t="n"/>
      <c r="U890" s="85" t="n"/>
      <c r="V890" s="85" t="n"/>
      <c r="W890" s="85" t="n"/>
      <c r="X890" s="85" t="n"/>
      <c r="Y890" s="85" t="n"/>
      <c r="Z890" s="85" t="n"/>
    </row>
    <row r="891" ht="15.75" customHeight="1" s="86">
      <c r="T891" s="85" t="n"/>
      <c r="U891" s="85" t="n"/>
      <c r="V891" s="85" t="n"/>
      <c r="W891" s="85" t="n"/>
      <c r="X891" s="85" t="n"/>
      <c r="Y891" s="85" t="n"/>
      <c r="Z891" s="85" t="n"/>
    </row>
    <row r="892" ht="15.75" customHeight="1" s="86">
      <c r="T892" s="85" t="n"/>
      <c r="U892" s="85" t="n"/>
      <c r="V892" s="85" t="n"/>
      <c r="W892" s="85" t="n"/>
      <c r="X892" s="85" t="n"/>
      <c r="Y892" s="85" t="n"/>
      <c r="Z892" s="85" t="n"/>
    </row>
    <row r="893" ht="15.75" customHeight="1" s="86">
      <c r="T893" s="85" t="n"/>
      <c r="U893" s="85" t="n"/>
      <c r="V893" s="85" t="n"/>
      <c r="W893" s="85" t="n"/>
      <c r="X893" s="85" t="n"/>
      <c r="Y893" s="85" t="n"/>
      <c r="Z893" s="85" t="n"/>
    </row>
    <row r="894" ht="15.75" customHeight="1" s="86">
      <c r="T894" s="85" t="n"/>
      <c r="U894" s="85" t="n"/>
      <c r="V894" s="85" t="n"/>
      <c r="W894" s="85" t="n"/>
      <c r="X894" s="85" t="n"/>
      <c r="Y894" s="85" t="n"/>
      <c r="Z894" s="85" t="n"/>
    </row>
    <row r="895" ht="15.75" customHeight="1" s="86">
      <c r="T895" s="85" t="n"/>
      <c r="U895" s="85" t="n"/>
      <c r="V895" s="85" t="n"/>
      <c r="W895" s="85" t="n"/>
      <c r="X895" s="85" t="n"/>
      <c r="Y895" s="85" t="n"/>
      <c r="Z895" s="85" t="n"/>
    </row>
    <row r="896" ht="15.75" customHeight="1" s="86">
      <c r="T896" s="85" t="n"/>
      <c r="U896" s="85" t="n"/>
      <c r="V896" s="85" t="n"/>
      <c r="W896" s="85" t="n"/>
      <c r="X896" s="85" t="n"/>
      <c r="Y896" s="85" t="n"/>
      <c r="Z896" s="85" t="n"/>
    </row>
    <row r="897" ht="15.75" customHeight="1" s="86">
      <c r="T897" s="85" t="n"/>
      <c r="U897" s="85" t="n"/>
      <c r="V897" s="85" t="n"/>
      <c r="W897" s="85" t="n"/>
      <c r="X897" s="85" t="n"/>
      <c r="Y897" s="85" t="n"/>
      <c r="Z897" s="85" t="n"/>
    </row>
    <row r="898" ht="15.75" customHeight="1" s="86">
      <c r="T898" s="85" t="n"/>
      <c r="U898" s="85" t="n"/>
      <c r="V898" s="85" t="n"/>
      <c r="W898" s="85" t="n"/>
      <c r="X898" s="85" t="n"/>
      <c r="Y898" s="85" t="n"/>
      <c r="Z898" s="85" t="n"/>
    </row>
    <row r="899" ht="15.75" customHeight="1" s="86">
      <c r="T899" s="85" t="n"/>
      <c r="U899" s="85" t="n"/>
      <c r="V899" s="85" t="n"/>
      <c r="W899" s="85" t="n"/>
      <c r="X899" s="85" t="n"/>
      <c r="Y899" s="85" t="n"/>
      <c r="Z899" s="85" t="n"/>
    </row>
    <row r="900" ht="15.75" customHeight="1" s="86">
      <c r="T900" s="85" t="n"/>
      <c r="U900" s="85" t="n"/>
      <c r="V900" s="85" t="n"/>
      <c r="W900" s="85" t="n"/>
      <c r="X900" s="85" t="n"/>
      <c r="Y900" s="85" t="n"/>
      <c r="Z900" s="85" t="n"/>
    </row>
    <row r="901" ht="15.75" customHeight="1" s="86">
      <c r="T901" s="85" t="n"/>
      <c r="U901" s="85" t="n"/>
      <c r="V901" s="85" t="n"/>
      <c r="W901" s="85" t="n"/>
      <c r="X901" s="85" t="n"/>
      <c r="Y901" s="85" t="n"/>
      <c r="Z901" s="85" t="n"/>
    </row>
    <row r="902" ht="15.75" customHeight="1" s="86">
      <c r="T902" s="85" t="n"/>
      <c r="U902" s="85" t="n"/>
      <c r="V902" s="85" t="n"/>
      <c r="W902" s="85" t="n"/>
      <c r="X902" s="85" t="n"/>
      <c r="Y902" s="85" t="n"/>
      <c r="Z902" s="85" t="n"/>
    </row>
    <row r="903" ht="15.75" customHeight="1" s="86">
      <c r="T903" s="85" t="n"/>
      <c r="U903" s="85" t="n"/>
      <c r="V903" s="85" t="n"/>
      <c r="W903" s="85" t="n"/>
      <c r="X903" s="85" t="n"/>
      <c r="Y903" s="85" t="n"/>
      <c r="Z903" s="85" t="n"/>
    </row>
    <row r="904" ht="15.75" customHeight="1" s="86">
      <c r="T904" s="85" t="n"/>
      <c r="U904" s="85" t="n"/>
      <c r="V904" s="85" t="n"/>
      <c r="W904" s="85" t="n"/>
      <c r="X904" s="85" t="n"/>
      <c r="Y904" s="85" t="n"/>
      <c r="Z904" s="85" t="n"/>
    </row>
    <row r="905" ht="15.75" customHeight="1" s="86">
      <c r="T905" s="85" t="n"/>
      <c r="U905" s="85" t="n"/>
      <c r="V905" s="85" t="n"/>
      <c r="W905" s="85" t="n"/>
      <c r="X905" s="85" t="n"/>
      <c r="Y905" s="85" t="n"/>
      <c r="Z905" s="85" t="n"/>
    </row>
    <row r="906" ht="15.75" customHeight="1" s="86">
      <c r="T906" s="85" t="n"/>
      <c r="U906" s="85" t="n"/>
      <c r="V906" s="85" t="n"/>
      <c r="W906" s="85" t="n"/>
      <c r="X906" s="85" t="n"/>
      <c r="Y906" s="85" t="n"/>
      <c r="Z906" s="85" t="n"/>
    </row>
    <row r="907" ht="15.75" customHeight="1" s="86">
      <c r="T907" s="85" t="n"/>
      <c r="U907" s="85" t="n"/>
      <c r="V907" s="85" t="n"/>
      <c r="W907" s="85" t="n"/>
      <c r="X907" s="85" t="n"/>
      <c r="Y907" s="85" t="n"/>
      <c r="Z907" s="85" t="n"/>
    </row>
    <row r="908" ht="15.75" customHeight="1" s="86">
      <c r="T908" s="85" t="n"/>
      <c r="U908" s="85" t="n"/>
      <c r="V908" s="85" t="n"/>
      <c r="W908" s="85" t="n"/>
      <c r="X908" s="85" t="n"/>
      <c r="Y908" s="85" t="n"/>
      <c r="Z908" s="85" t="n"/>
    </row>
    <row r="909" ht="15.75" customHeight="1" s="86">
      <c r="T909" s="85" t="n"/>
      <c r="U909" s="85" t="n"/>
      <c r="V909" s="85" t="n"/>
      <c r="W909" s="85" t="n"/>
      <c r="X909" s="85" t="n"/>
      <c r="Y909" s="85" t="n"/>
      <c r="Z909" s="85" t="n"/>
    </row>
    <row r="910" ht="15.75" customHeight="1" s="86">
      <c r="T910" s="85" t="n"/>
      <c r="U910" s="85" t="n"/>
      <c r="V910" s="85" t="n"/>
      <c r="W910" s="85" t="n"/>
      <c r="X910" s="85" t="n"/>
      <c r="Y910" s="85" t="n"/>
      <c r="Z910" s="85" t="n"/>
    </row>
    <row r="911" ht="15.75" customHeight="1" s="86">
      <c r="T911" s="85" t="n"/>
      <c r="U911" s="85" t="n"/>
      <c r="V911" s="85" t="n"/>
      <c r="W911" s="85" t="n"/>
      <c r="X911" s="85" t="n"/>
      <c r="Y911" s="85" t="n"/>
      <c r="Z911" s="85" t="n"/>
    </row>
    <row r="912" ht="15.75" customHeight="1" s="86">
      <c r="T912" s="85" t="n"/>
      <c r="U912" s="85" t="n"/>
      <c r="V912" s="85" t="n"/>
      <c r="W912" s="85" t="n"/>
      <c r="X912" s="85" t="n"/>
      <c r="Y912" s="85" t="n"/>
      <c r="Z912" s="85" t="n"/>
    </row>
    <row r="913" ht="15.75" customHeight="1" s="86">
      <c r="T913" s="85" t="n"/>
      <c r="U913" s="85" t="n"/>
      <c r="V913" s="85" t="n"/>
      <c r="W913" s="85" t="n"/>
      <c r="X913" s="85" t="n"/>
      <c r="Y913" s="85" t="n"/>
      <c r="Z913" s="85" t="n"/>
    </row>
    <row r="914" ht="15.75" customHeight="1" s="86">
      <c r="T914" s="85" t="n"/>
      <c r="U914" s="85" t="n"/>
      <c r="V914" s="85" t="n"/>
      <c r="W914" s="85" t="n"/>
      <c r="X914" s="85" t="n"/>
      <c r="Y914" s="85" t="n"/>
      <c r="Z914" s="85" t="n"/>
    </row>
    <row r="915" ht="15.75" customHeight="1" s="86">
      <c r="T915" s="85" t="n"/>
      <c r="U915" s="85" t="n"/>
      <c r="V915" s="85" t="n"/>
      <c r="W915" s="85" t="n"/>
      <c r="X915" s="85" t="n"/>
      <c r="Y915" s="85" t="n"/>
      <c r="Z915" s="85" t="n"/>
    </row>
    <row r="916" ht="15.75" customHeight="1" s="86">
      <c r="T916" s="85" t="n"/>
      <c r="U916" s="85" t="n"/>
      <c r="V916" s="85" t="n"/>
      <c r="W916" s="85" t="n"/>
      <c r="X916" s="85" t="n"/>
      <c r="Y916" s="85" t="n"/>
      <c r="Z916" s="85" t="n"/>
    </row>
    <row r="917" ht="15.75" customHeight="1" s="86">
      <c r="T917" s="85" t="n"/>
      <c r="U917" s="85" t="n"/>
      <c r="V917" s="85" t="n"/>
      <c r="W917" s="85" t="n"/>
      <c r="X917" s="85" t="n"/>
      <c r="Y917" s="85" t="n"/>
      <c r="Z917" s="85" t="n"/>
    </row>
    <row r="918" ht="15.75" customHeight="1" s="86">
      <c r="T918" s="85" t="n"/>
      <c r="U918" s="85" t="n"/>
      <c r="V918" s="85" t="n"/>
      <c r="W918" s="85" t="n"/>
      <c r="X918" s="85" t="n"/>
      <c r="Y918" s="85" t="n"/>
      <c r="Z918" s="85" t="n"/>
    </row>
    <row r="919" ht="15.75" customHeight="1" s="86">
      <c r="T919" s="85" t="n"/>
      <c r="U919" s="85" t="n"/>
      <c r="V919" s="85" t="n"/>
      <c r="W919" s="85" t="n"/>
      <c r="X919" s="85" t="n"/>
      <c r="Y919" s="85" t="n"/>
      <c r="Z919" s="85" t="n"/>
    </row>
    <row r="920" ht="15.75" customHeight="1" s="86">
      <c r="T920" s="85" t="n"/>
      <c r="U920" s="85" t="n"/>
      <c r="V920" s="85" t="n"/>
      <c r="W920" s="85" t="n"/>
      <c r="X920" s="85" t="n"/>
      <c r="Y920" s="85" t="n"/>
      <c r="Z920" s="85" t="n"/>
    </row>
    <row r="921" ht="15.75" customHeight="1" s="86">
      <c r="T921" s="85" t="n"/>
      <c r="U921" s="85" t="n"/>
      <c r="V921" s="85" t="n"/>
      <c r="W921" s="85" t="n"/>
      <c r="X921" s="85" t="n"/>
      <c r="Y921" s="85" t="n"/>
      <c r="Z921" s="85" t="n"/>
    </row>
    <row r="922" ht="15.75" customHeight="1" s="86">
      <c r="T922" s="85" t="n"/>
      <c r="U922" s="85" t="n"/>
      <c r="V922" s="85" t="n"/>
      <c r="W922" s="85" t="n"/>
      <c r="X922" s="85" t="n"/>
      <c r="Y922" s="85" t="n"/>
      <c r="Z922" s="85" t="n"/>
    </row>
    <row r="923" ht="15.75" customHeight="1" s="86">
      <c r="T923" s="85" t="n"/>
      <c r="U923" s="85" t="n"/>
      <c r="V923" s="85" t="n"/>
      <c r="W923" s="85" t="n"/>
      <c r="X923" s="85" t="n"/>
      <c r="Y923" s="85" t="n"/>
      <c r="Z923" s="85" t="n"/>
    </row>
    <row r="924" ht="15.75" customHeight="1" s="86">
      <c r="T924" s="85" t="n"/>
      <c r="U924" s="85" t="n"/>
      <c r="V924" s="85" t="n"/>
      <c r="W924" s="85" t="n"/>
      <c r="X924" s="85" t="n"/>
      <c r="Y924" s="85" t="n"/>
      <c r="Z924" s="85" t="n"/>
    </row>
    <row r="925" ht="15.75" customHeight="1" s="86">
      <c r="T925" s="85" t="n"/>
      <c r="U925" s="85" t="n"/>
      <c r="V925" s="85" t="n"/>
      <c r="W925" s="85" t="n"/>
      <c r="X925" s="85" t="n"/>
      <c r="Y925" s="85" t="n"/>
      <c r="Z925" s="85" t="n"/>
    </row>
    <row r="926" ht="15.75" customHeight="1" s="86">
      <c r="T926" s="85" t="n"/>
      <c r="U926" s="85" t="n"/>
      <c r="V926" s="85" t="n"/>
      <c r="W926" s="85" t="n"/>
      <c r="X926" s="85" t="n"/>
      <c r="Y926" s="85" t="n"/>
      <c r="Z926" s="85" t="n"/>
    </row>
    <row r="927" ht="15.75" customHeight="1" s="86">
      <c r="T927" s="85" t="n"/>
      <c r="U927" s="85" t="n"/>
      <c r="V927" s="85" t="n"/>
      <c r="W927" s="85" t="n"/>
      <c r="X927" s="85" t="n"/>
      <c r="Y927" s="85" t="n"/>
      <c r="Z927" s="85" t="n"/>
    </row>
    <row r="928" ht="15.75" customHeight="1" s="86">
      <c r="T928" s="85" t="n"/>
      <c r="U928" s="85" t="n"/>
      <c r="V928" s="85" t="n"/>
      <c r="W928" s="85" t="n"/>
      <c r="X928" s="85" t="n"/>
      <c r="Y928" s="85" t="n"/>
      <c r="Z928" s="85" t="n"/>
    </row>
    <row r="929" ht="15.75" customHeight="1" s="86">
      <c r="T929" s="85" t="n"/>
      <c r="U929" s="85" t="n"/>
      <c r="V929" s="85" t="n"/>
      <c r="W929" s="85" t="n"/>
      <c r="X929" s="85" t="n"/>
      <c r="Y929" s="85" t="n"/>
      <c r="Z929" s="85" t="n"/>
    </row>
    <row r="930" ht="15.75" customHeight="1" s="86">
      <c r="T930" s="85" t="n"/>
      <c r="U930" s="85" t="n"/>
      <c r="V930" s="85" t="n"/>
      <c r="W930" s="85" t="n"/>
      <c r="X930" s="85" t="n"/>
      <c r="Y930" s="85" t="n"/>
      <c r="Z930" s="85" t="n"/>
    </row>
    <row r="931" ht="15.75" customHeight="1" s="86">
      <c r="T931" s="85" t="n"/>
      <c r="U931" s="85" t="n"/>
      <c r="V931" s="85" t="n"/>
      <c r="W931" s="85" t="n"/>
      <c r="X931" s="85" t="n"/>
      <c r="Y931" s="85" t="n"/>
      <c r="Z931" s="85" t="n"/>
    </row>
    <row r="932" ht="15.75" customHeight="1" s="86">
      <c r="T932" s="85" t="n"/>
      <c r="U932" s="85" t="n"/>
      <c r="V932" s="85" t="n"/>
      <c r="W932" s="85" t="n"/>
      <c r="X932" s="85" t="n"/>
      <c r="Y932" s="85" t="n"/>
      <c r="Z932" s="85" t="n"/>
    </row>
    <row r="933" ht="15.75" customHeight="1" s="86">
      <c r="T933" s="85" t="n"/>
      <c r="U933" s="85" t="n"/>
      <c r="V933" s="85" t="n"/>
      <c r="W933" s="85" t="n"/>
      <c r="X933" s="85" t="n"/>
      <c r="Y933" s="85" t="n"/>
      <c r="Z933" s="85" t="n"/>
    </row>
    <row r="934" ht="15.75" customHeight="1" s="86">
      <c r="T934" s="85" t="n"/>
      <c r="U934" s="85" t="n"/>
      <c r="V934" s="85" t="n"/>
      <c r="W934" s="85" t="n"/>
      <c r="X934" s="85" t="n"/>
      <c r="Y934" s="85" t="n"/>
      <c r="Z934" s="85" t="n"/>
    </row>
    <row r="935" ht="15.75" customHeight="1" s="86">
      <c r="T935" s="85" t="n"/>
      <c r="U935" s="85" t="n"/>
      <c r="V935" s="85" t="n"/>
      <c r="W935" s="85" t="n"/>
      <c r="X935" s="85" t="n"/>
      <c r="Y935" s="85" t="n"/>
      <c r="Z935" s="85" t="n"/>
    </row>
    <row r="936" ht="15.75" customHeight="1" s="86">
      <c r="T936" s="85" t="n"/>
      <c r="U936" s="85" t="n"/>
      <c r="V936" s="85" t="n"/>
      <c r="W936" s="85" t="n"/>
      <c r="X936" s="85" t="n"/>
      <c r="Y936" s="85" t="n"/>
      <c r="Z936" s="85" t="n"/>
    </row>
    <row r="937" ht="15.75" customHeight="1" s="86">
      <c r="T937" s="85" t="n"/>
      <c r="U937" s="85" t="n"/>
      <c r="V937" s="85" t="n"/>
      <c r="W937" s="85" t="n"/>
      <c r="X937" s="85" t="n"/>
      <c r="Y937" s="85" t="n"/>
      <c r="Z937" s="85" t="n"/>
    </row>
    <row r="938" ht="15.75" customHeight="1" s="86">
      <c r="T938" s="85" t="n"/>
      <c r="U938" s="85" t="n"/>
      <c r="V938" s="85" t="n"/>
      <c r="W938" s="85" t="n"/>
      <c r="X938" s="85" t="n"/>
      <c r="Y938" s="85" t="n"/>
      <c r="Z938" s="85" t="n"/>
    </row>
    <row r="939" ht="15.75" customHeight="1" s="86">
      <c r="T939" s="85" t="n"/>
      <c r="U939" s="85" t="n"/>
      <c r="V939" s="85" t="n"/>
      <c r="W939" s="85" t="n"/>
      <c r="X939" s="85" t="n"/>
      <c r="Y939" s="85" t="n"/>
      <c r="Z939" s="85" t="n"/>
    </row>
    <row r="940" ht="15.75" customHeight="1" s="86">
      <c r="T940" s="85" t="n"/>
      <c r="U940" s="85" t="n"/>
      <c r="V940" s="85" t="n"/>
      <c r="W940" s="85" t="n"/>
      <c r="X940" s="85" t="n"/>
      <c r="Y940" s="85" t="n"/>
      <c r="Z940" s="85" t="n"/>
    </row>
    <row r="941" ht="15.75" customHeight="1" s="86">
      <c r="T941" s="85" t="n"/>
      <c r="U941" s="85" t="n"/>
      <c r="V941" s="85" t="n"/>
      <c r="W941" s="85" t="n"/>
      <c r="X941" s="85" t="n"/>
      <c r="Y941" s="85" t="n"/>
      <c r="Z941" s="85" t="n"/>
    </row>
    <row r="942" ht="15.75" customHeight="1" s="86">
      <c r="T942" s="85" t="n"/>
      <c r="U942" s="85" t="n"/>
      <c r="V942" s="85" t="n"/>
      <c r="W942" s="85" t="n"/>
      <c r="X942" s="85" t="n"/>
      <c r="Y942" s="85" t="n"/>
      <c r="Z942" s="85" t="n"/>
    </row>
    <row r="943" ht="15.75" customHeight="1" s="86">
      <c r="T943" s="85" t="n"/>
      <c r="U943" s="85" t="n"/>
      <c r="V943" s="85" t="n"/>
      <c r="W943" s="85" t="n"/>
      <c r="X943" s="85" t="n"/>
      <c r="Y943" s="85" t="n"/>
      <c r="Z943" s="85" t="n"/>
    </row>
    <row r="944" ht="15.75" customHeight="1" s="86">
      <c r="T944" s="85" t="n"/>
      <c r="U944" s="85" t="n"/>
      <c r="V944" s="85" t="n"/>
      <c r="W944" s="85" t="n"/>
      <c r="X944" s="85" t="n"/>
      <c r="Y944" s="85" t="n"/>
      <c r="Z944" s="85" t="n"/>
    </row>
    <row r="945" ht="15.75" customHeight="1" s="86">
      <c r="T945" s="85" t="n"/>
      <c r="U945" s="85" t="n"/>
      <c r="V945" s="85" t="n"/>
      <c r="W945" s="85" t="n"/>
      <c r="X945" s="85" t="n"/>
      <c r="Y945" s="85" t="n"/>
      <c r="Z945" s="85" t="n"/>
    </row>
    <row r="946" ht="15.75" customHeight="1" s="86">
      <c r="T946" s="85" t="n"/>
      <c r="U946" s="85" t="n"/>
      <c r="V946" s="85" t="n"/>
      <c r="W946" s="85" t="n"/>
      <c r="X946" s="85" t="n"/>
      <c r="Y946" s="85" t="n"/>
      <c r="Z946" s="85" t="n"/>
    </row>
    <row r="947" ht="15.75" customHeight="1" s="86">
      <c r="T947" s="85" t="n"/>
      <c r="U947" s="85" t="n"/>
      <c r="V947" s="85" t="n"/>
      <c r="W947" s="85" t="n"/>
      <c r="X947" s="85" t="n"/>
      <c r="Y947" s="85" t="n"/>
      <c r="Z947" s="85" t="n"/>
    </row>
    <row r="948" ht="15.75" customHeight="1" s="86">
      <c r="T948" s="85" t="n"/>
      <c r="U948" s="85" t="n"/>
      <c r="V948" s="85" t="n"/>
      <c r="W948" s="85" t="n"/>
      <c r="X948" s="85" t="n"/>
      <c r="Y948" s="85" t="n"/>
      <c r="Z948" s="85" t="n"/>
    </row>
    <row r="949" ht="15.75" customHeight="1" s="86">
      <c r="T949" s="85" t="n"/>
      <c r="U949" s="85" t="n"/>
      <c r="V949" s="85" t="n"/>
      <c r="W949" s="85" t="n"/>
      <c r="X949" s="85" t="n"/>
      <c r="Y949" s="85" t="n"/>
      <c r="Z949" s="85" t="n"/>
    </row>
    <row r="950" ht="15.75" customHeight="1" s="86">
      <c r="T950" s="85" t="n"/>
      <c r="U950" s="85" t="n"/>
      <c r="V950" s="85" t="n"/>
      <c r="W950" s="85" t="n"/>
      <c r="X950" s="85" t="n"/>
      <c r="Y950" s="85" t="n"/>
      <c r="Z950" s="85" t="n"/>
    </row>
    <row r="951" ht="15.75" customHeight="1" s="86">
      <c r="T951" s="85" t="n"/>
      <c r="U951" s="85" t="n"/>
      <c r="V951" s="85" t="n"/>
      <c r="W951" s="85" t="n"/>
      <c r="X951" s="85" t="n"/>
      <c r="Y951" s="85" t="n"/>
      <c r="Z951" s="85" t="n"/>
    </row>
    <row r="952" ht="15.75" customHeight="1" s="86">
      <c r="T952" s="85" t="n"/>
      <c r="U952" s="85" t="n"/>
      <c r="V952" s="85" t="n"/>
      <c r="W952" s="85" t="n"/>
      <c r="X952" s="85" t="n"/>
      <c r="Y952" s="85" t="n"/>
      <c r="Z952" s="85" t="n"/>
    </row>
    <row r="953" ht="15.75" customHeight="1" s="86">
      <c r="T953" s="85" t="n"/>
      <c r="U953" s="85" t="n"/>
      <c r="V953" s="85" t="n"/>
      <c r="W953" s="85" t="n"/>
      <c r="X953" s="85" t="n"/>
      <c r="Y953" s="85" t="n"/>
      <c r="Z953" s="85" t="n"/>
    </row>
    <row r="954" ht="15.75" customHeight="1" s="86">
      <c r="T954" s="85" t="n"/>
      <c r="U954" s="85" t="n"/>
      <c r="V954" s="85" t="n"/>
      <c r="W954" s="85" t="n"/>
      <c r="X954" s="85" t="n"/>
      <c r="Y954" s="85" t="n"/>
      <c r="Z954" s="85" t="n"/>
    </row>
    <row r="955" ht="15.75" customHeight="1" s="86">
      <c r="T955" s="85" t="n"/>
      <c r="U955" s="85" t="n"/>
      <c r="V955" s="85" t="n"/>
      <c r="W955" s="85" t="n"/>
      <c r="X955" s="85" t="n"/>
      <c r="Y955" s="85" t="n"/>
      <c r="Z955" s="85" t="n"/>
    </row>
    <row r="956" ht="15.75" customHeight="1" s="86">
      <c r="T956" s="85" t="n"/>
      <c r="U956" s="85" t="n"/>
      <c r="V956" s="85" t="n"/>
      <c r="W956" s="85" t="n"/>
      <c r="X956" s="85" t="n"/>
      <c r="Y956" s="85" t="n"/>
      <c r="Z956" s="85" t="n"/>
    </row>
    <row r="957" ht="15.75" customHeight="1" s="86">
      <c r="T957" s="85" t="n"/>
      <c r="U957" s="85" t="n"/>
      <c r="V957" s="85" t="n"/>
      <c r="W957" s="85" t="n"/>
      <c r="X957" s="85" t="n"/>
      <c r="Y957" s="85" t="n"/>
      <c r="Z957" s="85" t="n"/>
    </row>
    <row r="958" ht="15.75" customHeight="1" s="86">
      <c r="T958" s="85" t="n"/>
      <c r="U958" s="85" t="n"/>
      <c r="V958" s="85" t="n"/>
      <c r="W958" s="85" t="n"/>
      <c r="X958" s="85" t="n"/>
      <c r="Y958" s="85" t="n"/>
      <c r="Z958" s="85" t="n"/>
    </row>
    <row r="959" ht="15.75" customHeight="1" s="86">
      <c r="T959" s="85" t="n"/>
      <c r="U959" s="85" t="n"/>
      <c r="V959" s="85" t="n"/>
      <c r="W959" s="85" t="n"/>
      <c r="X959" s="85" t="n"/>
      <c r="Y959" s="85" t="n"/>
      <c r="Z959" s="85" t="n"/>
    </row>
    <row r="960" ht="15.75" customHeight="1" s="86">
      <c r="T960" s="85" t="n"/>
      <c r="U960" s="85" t="n"/>
      <c r="V960" s="85" t="n"/>
      <c r="W960" s="85" t="n"/>
      <c r="X960" s="85" t="n"/>
      <c r="Y960" s="85" t="n"/>
      <c r="Z960" s="85" t="n"/>
    </row>
    <row r="961" ht="15.75" customHeight="1" s="86">
      <c r="T961" s="85" t="n"/>
      <c r="U961" s="85" t="n"/>
      <c r="V961" s="85" t="n"/>
      <c r="W961" s="85" t="n"/>
      <c r="X961" s="85" t="n"/>
      <c r="Y961" s="85" t="n"/>
      <c r="Z961" s="85" t="n"/>
    </row>
    <row r="962" ht="15.75" customHeight="1" s="86">
      <c r="T962" s="85" t="n"/>
      <c r="U962" s="85" t="n"/>
      <c r="V962" s="85" t="n"/>
      <c r="W962" s="85" t="n"/>
      <c r="X962" s="85" t="n"/>
      <c r="Y962" s="85" t="n"/>
      <c r="Z962" s="85" t="n"/>
    </row>
    <row r="963" ht="15.75" customHeight="1" s="86">
      <c r="T963" s="85" t="n"/>
      <c r="U963" s="85" t="n"/>
      <c r="V963" s="85" t="n"/>
      <c r="W963" s="85" t="n"/>
      <c r="X963" s="85" t="n"/>
      <c r="Y963" s="85" t="n"/>
      <c r="Z963" s="85" t="n"/>
    </row>
    <row r="964" ht="15.75" customHeight="1" s="86">
      <c r="T964" s="85" t="n"/>
      <c r="U964" s="85" t="n"/>
      <c r="V964" s="85" t="n"/>
      <c r="W964" s="85" t="n"/>
      <c r="X964" s="85" t="n"/>
      <c r="Y964" s="85" t="n"/>
      <c r="Z964" s="85" t="n"/>
    </row>
    <row r="965" ht="15.75" customHeight="1" s="86">
      <c r="T965" s="85" t="n"/>
      <c r="U965" s="85" t="n"/>
      <c r="V965" s="85" t="n"/>
      <c r="W965" s="85" t="n"/>
      <c r="X965" s="85" t="n"/>
      <c r="Y965" s="85" t="n"/>
      <c r="Z965" s="85" t="n"/>
    </row>
    <row r="966" ht="15.75" customHeight="1" s="86">
      <c r="T966" s="85" t="n"/>
      <c r="U966" s="85" t="n"/>
      <c r="V966" s="85" t="n"/>
      <c r="W966" s="85" t="n"/>
      <c r="X966" s="85" t="n"/>
      <c r="Y966" s="85" t="n"/>
      <c r="Z966" s="85" t="n"/>
    </row>
    <row r="967" ht="15.75" customHeight="1" s="86">
      <c r="T967" s="85" t="n"/>
      <c r="U967" s="85" t="n"/>
      <c r="V967" s="85" t="n"/>
      <c r="W967" s="85" t="n"/>
      <c r="X967" s="85" t="n"/>
      <c r="Y967" s="85" t="n"/>
      <c r="Z967" s="85" t="n"/>
    </row>
    <row r="968" ht="15.75" customHeight="1" s="86">
      <c r="T968" s="85" t="n"/>
      <c r="U968" s="85" t="n"/>
      <c r="V968" s="85" t="n"/>
      <c r="W968" s="85" t="n"/>
      <c r="X968" s="85" t="n"/>
      <c r="Y968" s="85" t="n"/>
      <c r="Z968" s="85" t="n"/>
    </row>
    <row r="969" ht="15.75" customHeight="1" s="86">
      <c r="T969" s="85" t="n"/>
      <c r="U969" s="85" t="n"/>
      <c r="V969" s="85" t="n"/>
      <c r="W969" s="85" t="n"/>
      <c r="X969" s="85" t="n"/>
      <c r="Y969" s="85" t="n"/>
      <c r="Z969" s="85" t="n"/>
    </row>
    <row r="970" ht="15.75" customHeight="1" s="86">
      <c r="T970" s="85" t="n"/>
      <c r="U970" s="85" t="n"/>
      <c r="V970" s="85" t="n"/>
      <c r="W970" s="85" t="n"/>
      <c r="X970" s="85" t="n"/>
      <c r="Y970" s="85" t="n"/>
      <c r="Z970" s="85" t="n"/>
    </row>
    <row r="971" ht="15.75" customHeight="1" s="86">
      <c r="T971" s="85" t="n"/>
      <c r="U971" s="85" t="n"/>
      <c r="V971" s="85" t="n"/>
      <c r="W971" s="85" t="n"/>
      <c r="X971" s="85" t="n"/>
      <c r="Y971" s="85" t="n"/>
      <c r="Z971" s="85" t="n"/>
    </row>
    <row r="972" ht="15.75" customHeight="1" s="86">
      <c r="T972" s="85" t="n"/>
      <c r="U972" s="85" t="n"/>
      <c r="V972" s="85" t="n"/>
      <c r="W972" s="85" t="n"/>
      <c r="X972" s="85" t="n"/>
      <c r="Y972" s="85" t="n"/>
      <c r="Z972" s="85" t="n"/>
    </row>
    <row r="973" ht="15.75" customHeight="1" s="86">
      <c r="T973" s="85" t="n"/>
      <c r="U973" s="85" t="n"/>
      <c r="V973" s="85" t="n"/>
      <c r="W973" s="85" t="n"/>
      <c r="X973" s="85" t="n"/>
      <c r="Y973" s="85" t="n"/>
      <c r="Z973" s="85" t="n"/>
    </row>
    <row r="974" ht="15.75" customHeight="1" s="86">
      <c r="T974" s="85" t="n"/>
      <c r="U974" s="85" t="n"/>
      <c r="V974" s="85" t="n"/>
      <c r="W974" s="85" t="n"/>
      <c r="X974" s="85" t="n"/>
      <c r="Y974" s="85" t="n"/>
      <c r="Z974" s="85" t="n"/>
    </row>
    <row r="975" ht="15.75" customHeight="1" s="86">
      <c r="T975" s="85" t="n"/>
      <c r="U975" s="85" t="n"/>
      <c r="V975" s="85" t="n"/>
      <c r="W975" s="85" t="n"/>
      <c r="X975" s="85" t="n"/>
      <c r="Y975" s="85" t="n"/>
      <c r="Z975" s="85" t="n"/>
    </row>
    <row r="976" ht="15.75" customHeight="1" s="86">
      <c r="T976" s="85" t="n"/>
      <c r="U976" s="85" t="n"/>
      <c r="V976" s="85" t="n"/>
      <c r="W976" s="85" t="n"/>
      <c r="X976" s="85" t="n"/>
      <c r="Y976" s="85" t="n"/>
      <c r="Z976" s="85" t="n"/>
    </row>
    <row r="977" ht="15.75" customHeight="1" s="86">
      <c r="T977" s="85" t="n"/>
      <c r="U977" s="85" t="n"/>
      <c r="V977" s="85" t="n"/>
      <c r="W977" s="85" t="n"/>
      <c r="X977" s="85" t="n"/>
      <c r="Y977" s="85" t="n"/>
      <c r="Z977" s="85" t="n"/>
    </row>
    <row r="978" ht="15.75" customHeight="1" s="86">
      <c r="T978" s="85" t="n"/>
      <c r="U978" s="85" t="n"/>
      <c r="V978" s="85" t="n"/>
      <c r="W978" s="85" t="n"/>
      <c r="X978" s="85" t="n"/>
      <c r="Y978" s="85" t="n"/>
      <c r="Z978" s="85" t="n"/>
    </row>
    <row r="979" ht="15.75" customHeight="1" s="86">
      <c r="T979" s="85" t="n"/>
      <c r="U979" s="85" t="n"/>
      <c r="V979" s="85" t="n"/>
      <c r="W979" s="85" t="n"/>
      <c r="X979" s="85" t="n"/>
      <c r="Y979" s="85" t="n"/>
      <c r="Z979" s="85" t="n"/>
    </row>
    <row r="980" ht="15.75" customHeight="1" s="86">
      <c r="T980" s="85" t="n"/>
      <c r="U980" s="85" t="n"/>
      <c r="V980" s="85" t="n"/>
      <c r="W980" s="85" t="n"/>
      <c r="X980" s="85" t="n"/>
      <c r="Y980" s="85" t="n"/>
      <c r="Z980" s="85" t="n"/>
    </row>
    <row r="981" ht="15.75" customHeight="1" s="86">
      <c r="T981" s="85" t="n"/>
      <c r="U981" s="85" t="n"/>
      <c r="V981" s="85" t="n"/>
      <c r="W981" s="85" t="n"/>
      <c r="X981" s="85" t="n"/>
      <c r="Y981" s="85" t="n"/>
      <c r="Z981" s="85" t="n"/>
    </row>
    <row r="982" ht="15.75" customHeight="1" s="86">
      <c r="T982" s="85" t="n"/>
      <c r="U982" s="85" t="n"/>
      <c r="V982" s="85" t="n"/>
      <c r="W982" s="85" t="n"/>
      <c r="X982" s="85" t="n"/>
      <c r="Y982" s="85" t="n"/>
      <c r="Z982" s="85" t="n"/>
    </row>
    <row r="983" ht="15.75" customHeight="1" s="86">
      <c r="T983" s="85" t="n"/>
      <c r="U983" s="85" t="n"/>
      <c r="V983" s="85" t="n"/>
      <c r="W983" s="85" t="n"/>
      <c r="X983" s="85" t="n"/>
      <c r="Y983" s="85" t="n"/>
      <c r="Z983" s="85" t="n"/>
    </row>
    <row r="984" ht="15.75" customHeight="1" s="86">
      <c r="T984" s="85" t="n"/>
      <c r="U984" s="85" t="n"/>
      <c r="V984" s="85" t="n"/>
      <c r="W984" s="85" t="n"/>
      <c r="X984" s="85" t="n"/>
      <c r="Y984" s="85" t="n"/>
      <c r="Z984" s="85" t="n"/>
    </row>
    <row r="985" ht="15.75" customHeight="1" s="86">
      <c r="T985" s="85" t="n"/>
      <c r="U985" s="85" t="n"/>
      <c r="V985" s="85" t="n"/>
      <c r="W985" s="85" t="n"/>
      <c r="X985" s="85" t="n"/>
      <c r="Y985" s="85" t="n"/>
      <c r="Z985" s="85" t="n"/>
    </row>
    <row r="986" ht="15.75" customHeight="1" s="86">
      <c r="T986" s="85" t="n"/>
      <c r="U986" s="85" t="n"/>
      <c r="V986" s="85" t="n"/>
      <c r="W986" s="85" t="n"/>
      <c r="X986" s="85" t="n"/>
      <c r="Y986" s="85" t="n"/>
      <c r="Z986" s="85" t="n"/>
    </row>
    <row r="987" ht="15.75" customHeight="1" s="86">
      <c r="T987" s="85" t="n"/>
      <c r="U987" s="85" t="n"/>
      <c r="V987" s="85" t="n"/>
      <c r="W987" s="85" t="n"/>
      <c r="X987" s="85" t="n"/>
      <c r="Y987" s="85" t="n"/>
      <c r="Z987" s="85" t="n"/>
    </row>
    <row r="988" ht="15.75" customHeight="1" s="86">
      <c r="T988" s="85" t="n"/>
      <c r="U988" s="85" t="n"/>
      <c r="V988" s="85" t="n"/>
      <c r="W988" s="85" t="n"/>
      <c r="X988" s="85" t="n"/>
      <c r="Y988" s="85" t="n"/>
      <c r="Z988" s="85" t="n"/>
    </row>
    <row r="989" ht="15.75" customHeight="1" s="86">
      <c r="T989" s="85" t="n"/>
      <c r="U989" s="85" t="n"/>
      <c r="V989" s="85" t="n"/>
      <c r="W989" s="85" t="n"/>
      <c r="X989" s="85" t="n"/>
      <c r="Y989" s="85" t="n"/>
      <c r="Z989" s="85" t="n"/>
    </row>
    <row r="990" ht="15.75" customHeight="1" s="86">
      <c r="T990" s="85" t="n"/>
      <c r="U990" s="85" t="n"/>
      <c r="V990" s="85" t="n"/>
      <c r="W990" s="85" t="n"/>
      <c r="X990" s="85" t="n"/>
      <c r="Y990" s="85" t="n"/>
      <c r="Z990" s="85" t="n"/>
    </row>
    <row r="991" ht="15.75" customHeight="1" s="86">
      <c r="T991" s="85" t="n"/>
      <c r="U991" s="85" t="n"/>
      <c r="V991" s="85" t="n"/>
      <c r="W991" s="85" t="n"/>
      <c r="X991" s="85" t="n"/>
      <c r="Y991" s="85" t="n"/>
      <c r="Z991" s="85" t="n"/>
    </row>
    <row r="992" ht="15.75" customHeight="1" s="86">
      <c r="T992" s="85" t="n"/>
      <c r="U992" s="85" t="n"/>
      <c r="V992" s="85" t="n"/>
      <c r="W992" s="85" t="n"/>
      <c r="X992" s="85" t="n"/>
      <c r="Y992" s="85" t="n"/>
      <c r="Z992" s="85" t="n"/>
    </row>
    <row r="993" ht="15.75" customHeight="1" s="86">
      <c r="T993" s="85" t="n"/>
      <c r="U993" s="85" t="n"/>
      <c r="V993" s="85" t="n"/>
      <c r="W993" s="85" t="n"/>
      <c r="X993" s="85" t="n"/>
      <c r="Y993" s="85" t="n"/>
      <c r="Z993" s="85" t="n"/>
    </row>
    <row r="994" ht="15.75" customHeight="1" s="86">
      <c r="T994" s="85" t="n"/>
      <c r="U994" s="85" t="n"/>
      <c r="V994" s="85" t="n"/>
      <c r="W994" s="85" t="n"/>
      <c r="X994" s="85" t="n"/>
      <c r="Y994" s="85" t="n"/>
      <c r="Z994" s="85" t="n"/>
    </row>
    <row r="995" ht="15.75" customHeight="1" s="86">
      <c r="T995" s="85" t="n"/>
      <c r="U995" s="85" t="n"/>
      <c r="V995" s="85" t="n"/>
      <c r="W995" s="85" t="n"/>
      <c r="X995" s="85" t="n"/>
      <c r="Y995" s="85" t="n"/>
      <c r="Z995" s="85" t="n"/>
    </row>
    <row r="996" ht="15.75" customHeight="1" s="86">
      <c r="T996" s="85" t="n"/>
      <c r="U996" s="85" t="n"/>
      <c r="V996" s="85" t="n"/>
      <c r="W996" s="85" t="n"/>
      <c r="X996" s="85" t="n"/>
      <c r="Y996" s="85" t="n"/>
      <c r="Z996" s="85" t="n"/>
    </row>
    <row r="997" ht="15.75" customHeight="1" s="86">
      <c r="T997" s="85" t="n"/>
      <c r="U997" s="85" t="n"/>
      <c r="V997" s="85" t="n"/>
      <c r="W997" s="85" t="n"/>
      <c r="X997" s="85" t="n"/>
      <c r="Y997" s="85" t="n"/>
      <c r="Z997" s="85" t="n"/>
    </row>
    <row r="998" ht="15.75" customHeight="1" s="86">
      <c r="T998" s="85" t="n"/>
      <c r="U998" s="85" t="n"/>
      <c r="V998" s="85" t="n"/>
      <c r="W998" s="85" t="n"/>
      <c r="X998" s="85" t="n"/>
      <c r="Y998" s="85" t="n"/>
      <c r="Z998" s="85" t="n"/>
    </row>
    <row r="999" ht="15.75" customHeight="1" s="86">
      <c r="T999" s="85" t="n"/>
      <c r="U999" s="85" t="n"/>
      <c r="V999" s="85" t="n"/>
      <c r="W999" s="85" t="n"/>
      <c r="X999" s="85" t="n"/>
      <c r="Y999" s="85" t="n"/>
      <c r="Z999" s="85" t="n"/>
    </row>
    <row r="1000" ht="15.75" customHeight="1" s="86">
      <c r="T1000" s="85" t="n"/>
      <c r="U1000" s="85" t="n"/>
      <c r="V1000" s="85" t="n"/>
      <c r="W1000" s="85" t="n"/>
      <c r="X1000" s="85" t="n"/>
      <c r="Y1000" s="85" t="n"/>
      <c r="Z1000" s="8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I1"/>
    <mergeCell ref="A2:I2"/>
  </mergeCells>
  <dataValidations count="7">
    <dataValidation sqref="C5:C504" showDropDown="0" showInputMessage="0" showErrorMessage="0" allowBlank="1" type="list" errorStyle="stop" operator="between">
      <formula1>Setup!$K$7:$K$31</formula1>
      <formula2>0</formula2>
    </dataValidation>
    <dataValidation sqref="B5:B504" showDropDown="0" showInputMessage="0" showErrorMessage="0" allowBlank="1" type="list" errorStyle="stop" operator="between">
      <formula1>"Income,Expense,Transfer"</formula1>
      <formula2>0</formula2>
    </dataValidation>
    <dataValidation sqref="D5:D504" showDropDown="0" showInputMessage="0" showErrorMessage="0" allowBlank="1" type="list" errorStyle="stop" operator="between">
      <formula1>Setup!$F$7:$F$10</formula1>
      <formula2>0</formula2>
    </dataValidation>
    <dataValidation sqref="E5:E504" showDropDown="0" showInputMessage="0" showErrorMessage="0" allowBlank="1" type="decimal" errorStyle="stop" operator="greaterThanOrEqual">
      <formula1>0</formula1>
      <formula2>0</formula2>
    </dataValidation>
    <dataValidation sqref="A5:A504" showDropDown="0" showInputMessage="0" showErrorMessage="1" allowBlank="1" errorTitle="Enter a date" error="Please pick or type a real date (not text)." type="date" errorStyle="stop" operator="between">
      <formula1>36526</formula1>
      <formula2>73415</formula2>
    </dataValidation>
    <dataValidation sqref="F5:F504" showDropDown="0" showInputMessage="0" showErrorMessage="0" allowBlank="1" type="list">
      <formula1>=Setup!$N$7:$N$9</formula1>
    </dataValidation>
    <dataValidation sqref="G5:G504" showDropDown="0" showInputMessage="0" showErrorMessage="0" allowBlank="1" type="list">
      <formula1>"Shared,Personal"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8" customWidth="1" style="85" min="1" max="1"/>
    <col width="9" customWidth="1" style="85" min="2" max="13"/>
    <col width="11" customWidth="1" style="85" min="14" max="14"/>
    <col width="10" customWidth="1" style="85" min="15" max="15"/>
    <col width="8.710000000000001" customWidth="1" style="85" min="16" max="19"/>
  </cols>
  <sheetData>
    <row r="1" ht="42" customHeight="1" s="86">
      <c r="A1" s="87" t="inlineStr">
        <is>
          <t>Annual Dashboard</t>
        </is>
      </c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  <c r="Z1" s="88" t="n"/>
    </row>
    <row r="2" ht="21.75" customHeight="1" s="86">
      <c r="A2" s="89" t="inlineStr">
        <is>
          <t>Your whole year at a glance. Nothing to fill in — it reads your Transactions.</t>
        </is>
      </c>
      <c r="Q2" s="88" t="n"/>
      <c r="R2" s="88" t="n"/>
      <c r="S2" s="88" t="n"/>
      <c r="T2" s="88" t="n"/>
      <c r="U2" s="88" t="n"/>
      <c r="V2" s="88" t="n"/>
      <c r="W2" s="88" t="n"/>
      <c r="X2" s="88" t="n"/>
      <c r="Y2" s="88" t="n"/>
      <c r="Z2" s="88" t="n"/>
    </row>
    <row r="3" ht="15" customHeight="1" s="86">
      <c r="A3" s="88" t="n"/>
      <c r="B3" s="88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</row>
    <row r="4" ht="15" customHeight="1" s="86">
      <c r="A4" s="91" t="inlineStr">
        <is>
          <t>Year</t>
        </is>
      </c>
      <c r="B4" s="114">
        <f>Setup!$F$4</f>
        <v/>
      </c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</row>
    <row r="5" ht="15" customHeight="1" s="86">
      <c r="A5" s="88" t="n"/>
      <c r="B5" s="88" t="n"/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</row>
    <row r="6" ht="15" customHeight="1" s="86">
      <c r="A6" s="88" t="n"/>
      <c r="B6" s="115" t="inlineStr">
        <is>
          <t>INCOME (YEAR)</t>
        </is>
      </c>
      <c r="E6" s="116" t="inlineStr">
        <is>
          <t>EXPENSES</t>
        </is>
      </c>
      <c r="H6" s="117" t="inlineStr">
        <is>
          <t>SAVED</t>
        </is>
      </c>
      <c r="K6" s="118" t="inlineStr">
        <is>
          <t>NET</t>
        </is>
      </c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</row>
    <row r="7" ht="30" customHeight="1" s="86">
      <c r="A7" s="88" t="n"/>
      <c r="B7" s="119">
        <f>SUMIFS(Transactions!$E$5:$E$504,Transactions!$B$5:$B$504,"Income",Transactions!$J$5:$J$504,Setup!$F$4)</f>
        <v/>
      </c>
      <c r="E7" s="120">
        <f>SUMIFS(Transactions!$E$5:$E$504,Transactions!$B$5:$B$504,"Expense",Transactions!$J$5:$J$504,Setup!$F$4)</f>
        <v/>
      </c>
      <c r="H7" s="121">
        <f>SUMIFS(Transactions!$E$5:$E$504,Transactions!$B$5:$B$504,"Transfer",Transactions!$J$5:$J$504,Setup!$F$4)</f>
        <v/>
      </c>
      <c r="K7" s="122">
        <f>B7-E7-H7</f>
        <v/>
      </c>
      <c r="N7" s="88" t="n"/>
      <c r="O7" s="88" t="n"/>
      <c r="P7" s="88" t="n"/>
      <c r="Q7" s="88" t="n"/>
      <c r="R7" s="88" t="n"/>
      <c r="S7" s="88" t="n"/>
      <c r="T7" s="88" t="n"/>
      <c r="U7" s="88" t="n"/>
      <c r="V7" s="88" t="n"/>
      <c r="W7" s="88" t="n"/>
      <c r="X7" s="88" t="n"/>
      <c r="Y7" s="88" t="n"/>
      <c r="Z7" s="88" t="n"/>
    </row>
    <row r="8" ht="15" customHeight="1" s="86">
      <c r="A8" s="88" t="n"/>
      <c r="B8" s="88" t="n"/>
      <c r="C8" s="88" t="n"/>
      <c r="D8" s="88" t="n"/>
      <c r="E8" s="88" t="n"/>
      <c r="F8" s="88" t="n"/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8" t="n"/>
      <c r="U8" s="88" t="n"/>
      <c r="V8" s="88" t="n"/>
      <c r="W8" s="88" t="n"/>
      <c r="X8" s="88" t="n"/>
      <c r="Y8" s="88" t="n"/>
      <c r="Z8" s="88" t="n"/>
    </row>
    <row r="9" ht="15" customHeight="1" s="86">
      <c r="A9" s="88" t="n"/>
      <c r="B9" s="88" t="n"/>
      <c r="C9" s="88" t="n"/>
      <c r="D9" s="88" t="n"/>
      <c r="E9" s="88" t="n"/>
      <c r="F9" s="88" t="n"/>
      <c r="G9" s="88" t="n"/>
      <c r="H9" s="88" t="n"/>
      <c r="I9" s="88" t="n"/>
      <c r="J9" s="88" t="n"/>
      <c r="K9" s="88" t="n"/>
      <c r="L9" s="88" t="n"/>
      <c r="M9" s="88" t="n"/>
      <c r="N9" s="88" t="n"/>
      <c r="O9" s="88" t="n"/>
      <c r="P9" s="88" t="n"/>
      <c r="Q9" s="88" t="n"/>
      <c r="R9" s="88" t="n"/>
      <c r="S9" s="88" t="n"/>
      <c r="T9" s="88" t="n"/>
      <c r="U9" s="88" t="n"/>
      <c r="V9" s="88" t="n"/>
      <c r="W9" s="88" t="n"/>
      <c r="X9" s="88" t="n"/>
      <c r="Y9" s="88" t="n"/>
      <c r="Z9" s="88" t="n"/>
    </row>
    <row r="10" ht="15" customHeight="1" s="86">
      <c r="A10" s="98" t="inlineStr">
        <is>
          <t>MONTH</t>
        </is>
      </c>
      <c r="B10" s="106" t="inlineStr">
        <is>
          <t>Jan</t>
        </is>
      </c>
      <c r="C10" s="106" t="inlineStr">
        <is>
          <t>Feb</t>
        </is>
      </c>
      <c r="D10" s="106" t="inlineStr">
        <is>
          <t>Mar</t>
        </is>
      </c>
      <c r="E10" s="106" t="inlineStr">
        <is>
          <t>Apr</t>
        </is>
      </c>
      <c r="F10" s="106" t="inlineStr">
        <is>
          <t>May</t>
        </is>
      </c>
      <c r="G10" s="106" t="inlineStr">
        <is>
          <t>Jun</t>
        </is>
      </c>
      <c r="H10" s="106" t="inlineStr">
        <is>
          <t>Jul</t>
        </is>
      </c>
      <c r="I10" s="106" t="inlineStr">
        <is>
          <t>Aug</t>
        </is>
      </c>
      <c r="J10" s="106" t="inlineStr">
        <is>
          <t>Sep</t>
        </is>
      </c>
      <c r="K10" s="106" t="inlineStr">
        <is>
          <t>Oct</t>
        </is>
      </c>
      <c r="L10" s="106" t="inlineStr">
        <is>
          <t>Nov</t>
        </is>
      </c>
      <c r="M10" s="106" t="inlineStr">
        <is>
          <t>Dec</t>
        </is>
      </c>
      <c r="N10" s="101" t="inlineStr">
        <is>
          <t>TOTAL</t>
        </is>
      </c>
      <c r="O10" s="88" t="n"/>
      <c r="P10" s="88" t="n"/>
      <c r="Q10" s="88" t="n"/>
      <c r="R10" s="88" t="n"/>
      <c r="S10" s="88" t="n"/>
      <c r="T10" s="88" t="n"/>
      <c r="U10" s="88" t="n"/>
      <c r="V10" s="88" t="n"/>
      <c r="W10" s="88" t="n"/>
      <c r="X10" s="88" t="n"/>
      <c r="Y10" s="88" t="n"/>
      <c r="Z10" s="88" t="n"/>
    </row>
    <row r="11" ht="15" customHeight="1" s="86">
      <c r="A11" s="123" t="inlineStr">
        <is>
          <t>Income</t>
        </is>
      </c>
      <c r="B11" s="124">
        <f>SUMIFS(Transactions!$E$5:$E$504,Transactions!$B$5:$B$504,"Income",Transactions!$I$5:$I$504,1,Transactions!$J$5:$J$504,Setup!$F$4)</f>
        <v/>
      </c>
      <c r="C11" s="124">
        <f>SUMIFS(Transactions!$E$5:$E$504,Transactions!$B$5:$B$504,"Income",Transactions!$I$5:$I$504,2,Transactions!$J$5:$J$504,Setup!$F$4)</f>
        <v/>
      </c>
      <c r="D11" s="124">
        <f>SUMIFS(Transactions!$E$5:$E$504,Transactions!$B$5:$B$504,"Income",Transactions!$I$5:$I$504,3,Transactions!$J$5:$J$504,Setup!$F$4)</f>
        <v/>
      </c>
      <c r="E11" s="124">
        <f>SUMIFS(Transactions!$E$5:$E$504,Transactions!$B$5:$B$504,"Income",Transactions!$I$5:$I$504,4,Transactions!$J$5:$J$504,Setup!$F$4)</f>
        <v/>
      </c>
      <c r="F11" s="124">
        <f>SUMIFS(Transactions!$E$5:$E$504,Transactions!$B$5:$B$504,"Income",Transactions!$I$5:$I$504,5,Transactions!$J$5:$J$504,Setup!$F$4)</f>
        <v/>
      </c>
      <c r="G11" s="124">
        <f>SUMIFS(Transactions!$E$5:$E$504,Transactions!$B$5:$B$504,"Income",Transactions!$I$5:$I$504,6,Transactions!$J$5:$J$504,Setup!$F$4)</f>
        <v/>
      </c>
      <c r="H11" s="124">
        <f>SUMIFS(Transactions!$E$5:$E$504,Transactions!$B$5:$B$504,"Income",Transactions!$I$5:$I$504,7,Transactions!$J$5:$J$504,Setup!$F$4)</f>
        <v/>
      </c>
      <c r="I11" s="124">
        <f>SUMIFS(Transactions!$E$5:$E$504,Transactions!$B$5:$B$504,"Income",Transactions!$I$5:$I$504,8,Transactions!$J$5:$J$504,Setup!$F$4)</f>
        <v/>
      </c>
      <c r="J11" s="124">
        <f>SUMIFS(Transactions!$E$5:$E$504,Transactions!$B$5:$B$504,"Income",Transactions!$I$5:$I$504,9,Transactions!$J$5:$J$504,Setup!$F$4)</f>
        <v/>
      </c>
      <c r="K11" s="124">
        <f>SUMIFS(Transactions!$E$5:$E$504,Transactions!$B$5:$B$504,"Income",Transactions!$I$5:$I$504,10,Transactions!$J$5:$J$504,Setup!$F$4)</f>
        <v/>
      </c>
      <c r="L11" s="124">
        <f>SUMIFS(Transactions!$E$5:$E$504,Transactions!$B$5:$B$504,"Income",Transactions!$I$5:$I$504,11,Transactions!$J$5:$J$504,Setup!$F$4)</f>
        <v/>
      </c>
      <c r="M11" s="124">
        <f>SUMIFS(Transactions!$E$5:$E$504,Transactions!$B$5:$B$504,"Income",Transactions!$I$5:$I$504,12,Transactions!$J$5:$J$504,Setup!$F$4)</f>
        <v/>
      </c>
      <c r="N11" s="125">
        <f>SUM(B11:M11)</f>
        <v/>
      </c>
      <c r="O11" s="88" t="n"/>
      <c r="P11" s="88" t="n"/>
      <c r="Q11" s="88" t="n"/>
      <c r="R11" s="88" t="n"/>
      <c r="S11" s="88" t="n"/>
      <c r="T11" s="88" t="n"/>
      <c r="U11" s="88" t="n"/>
      <c r="V11" s="88" t="n"/>
      <c r="W11" s="88" t="n"/>
      <c r="X11" s="88" t="n"/>
      <c r="Y11" s="88" t="n"/>
      <c r="Z11" s="88" t="n"/>
    </row>
    <row r="12" ht="15" customHeight="1" s="86">
      <c r="A12" s="126" t="inlineStr">
        <is>
          <t>Expenses</t>
        </is>
      </c>
      <c r="B12" s="124">
        <f>SUMIFS(Transactions!$E$5:$E$504,Transactions!$B$5:$B$504,"Expense",Transactions!$I$5:$I$504,1,Transactions!$J$5:$J$504,Setup!$F$4)</f>
        <v/>
      </c>
      <c r="C12" s="124">
        <f>SUMIFS(Transactions!$E$5:$E$504,Transactions!$B$5:$B$504,"Expense",Transactions!$I$5:$I$504,2,Transactions!$J$5:$J$504,Setup!$F$4)</f>
        <v/>
      </c>
      <c r="D12" s="124">
        <f>SUMIFS(Transactions!$E$5:$E$504,Transactions!$B$5:$B$504,"Expense",Transactions!$I$5:$I$504,3,Transactions!$J$5:$J$504,Setup!$F$4)</f>
        <v/>
      </c>
      <c r="E12" s="124">
        <f>SUMIFS(Transactions!$E$5:$E$504,Transactions!$B$5:$B$504,"Expense",Transactions!$I$5:$I$504,4,Transactions!$J$5:$J$504,Setup!$F$4)</f>
        <v/>
      </c>
      <c r="F12" s="124">
        <f>SUMIFS(Transactions!$E$5:$E$504,Transactions!$B$5:$B$504,"Expense",Transactions!$I$5:$I$504,5,Transactions!$J$5:$J$504,Setup!$F$4)</f>
        <v/>
      </c>
      <c r="G12" s="124">
        <f>SUMIFS(Transactions!$E$5:$E$504,Transactions!$B$5:$B$504,"Expense",Transactions!$I$5:$I$504,6,Transactions!$J$5:$J$504,Setup!$F$4)</f>
        <v/>
      </c>
      <c r="H12" s="124">
        <f>SUMIFS(Transactions!$E$5:$E$504,Transactions!$B$5:$B$504,"Expense",Transactions!$I$5:$I$504,7,Transactions!$J$5:$J$504,Setup!$F$4)</f>
        <v/>
      </c>
      <c r="I12" s="124">
        <f>SUMIFS(Transactions!$E$5:$E$504,Transactions!$B$5:$B$504,"Expense",Transactions!$I$5:$I$504,8,Transactions!$J$5:$J$504,Setup!$F$4)</f>
        <v/>
      </c>
      <c r="J12" s="124">
        <f>SUMIFS(Transactions!$E$5:$E$504,Transactions!$B$5:$B$504,"Expense",Transactions!$I$5:$I$504,9,Transactions!$J$5:$J$504,Setup!$F$4)</f>
        <v/>
      </c>
      <c r="K12" s="124">
        <f>SUMIFS(Transactions!$E$5:$E$504,Transactions!$B$5:$B$504,"Expense",Transactions!$I$5:$I$504,10,Transactions!$J$5:$J$504,Setup!$F$4)</f>
        <v/>
      </c>
      <c r="L12" s="124">
        <f>SUMIFS(Transactions!$E$5:$E$504,Transactions!$B$5:$B$504,"Expense",Transactions!$I$5:$I$504,11,Transactions!$J$5:$J$504,Setup!$F$4)</f>
        <v/>
      </c>
      <c r="M12" s="124">
        <f>SUMIFS(Transactions!$E$5:$E$504,Transactions!$B$5:$B$504,"Expense",Transactions!$I$5:$I$504,12,Transactions!$J$5:$J$504,Setup!$F$4)</f>
        <v/>
      </c>
      <c r="N12" s="125">
        <f>SUM(B12:M12)</f>
        <v/>
      </c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 t="n"/>
      <c r="Z12" s="88" t="n"/>
    </row>
    <row r="13" ht="15" customHeight="1" s="86">
      <c r="A13" s="127" t="inlineStr">
        <is>
          <t>Saved</t>
        </is>
      </c>
      <c r="B13" s="124">
        <f>SUMIFS(Transactions!$E$5:$E$504,Transactions!$B$5:$B$504,"Transfer",Transactions!$I$5:$I$504,1,Transactions!$J$5:$J$504,Setup!$F$4)</f>
        <v/>
      </c>
      <c r="C13" s="124">
        <f>SUMIFS(Transactions!$E$5:$E$504,Transactions!$B$5:$B$504,"Transfer",Transactions!$I$5:$I$504,2,Transactions!$J$5:$J$504,Setup!$F$4)</f>
        <v/>
      </c>
      <c r="D13" s="124">
        <f>SUMIFS(Transactions!$E$5:$E$504,Transactions!$B$5:$B$504,"Transfer",Transactions!$I$5:$I$504,3,Transactions!$J$5:$J$504,Setup!$F$4)</f>
        <v/>
      </c>
      <c r="E13" s="124">
        <f>SUMIFS(Transactions!$E$5:$E$504,Transactions!$B$5:$B$504,"Transfer",Transactions!$I$5:$I$504,4,Transactions!$J$5:$J$504,Setup!$F$4)</f>
        <v/>
      </c>
      <c r="F13" s="124">
        <f>SUMIFS(Transactions!$E$5:$E$504,Transactions!$B$5:$B$504,"Transfer",Transactions!$I$5:$I$504,5,Transactions!$J$5:$J$504,Setup!$F$4)</f>
        <v/>
      </c>
      <c r="G13" s="124">
        <f>SUMIFS(Transactions!$E$5:$E$504,Transactions!$B$5:$B$504,"Transfer",Transactions!$I$5:$I$504,6,Transactions!$J$5:$J$504,Setup!$F$4)</f>
        <v/>
      </c>
      <c r="H13" s="124">
        <f>SUMIFS(Transactions!$E$5:$E$504,Transactions!$B$5:$B$504,"Transfer",Transactions!$I$5:$I$504,7,Transactions!$J$5:$J$504,Setup!$F$4)</f>
        <v/>
      </c>
      <c r="I13" s="124">
        <f>SUMIFS(Transactions!$E$5:$E$504,Transactions!$B$5:$B$504,"Transfer",Transactions!$I$5:$I$504,8,Transactions!$J$5:$J$504,Setup!$F$4)</f>
        <v/>
      </c>
      <c r="J13" s="124">
        <f>SUMIFS(Transactions!$E$5:$E$504,Transactions!$B$5:$B$504,"Transfer",Transactions!$I$5:$I$504,9,Transactions!$J$5:$J$504,Setup!$F$4)</f>
        <v/>
      </c>
      <c r="K13" s="124">
        <f>SUMIFS(Transactions!$E$5:$E$504,Transactions!$B$5:$B$504,"Transfer",Transactions!$I$5:$I$504,10,Transactions!$J$5:$J$504,Setup!$F$4)</f>
        <v/>
      </c>
      <c r="L13" s="124">
        <f>SUMIFS(Transactions!$E$5:$E$504,Transactions!$B$5:$B$504,"Transfer",Transactions!$I$5:$I$504,11,Transactions!$J$5:$J$504,Setup!$F$4)</f>
        <v/>
      </c>
      <c r="M13" s="124">
        <f>SUMIFS(Transactions!$E$5:$E$504,Transactions!$B$5:$B$504,"Transfer",Transactions!$I$5:$I$504,12,Transactions!$J$5:$J$504,Setup!$F$4)</f>
        <v/>
      </c>
      <c r="N13" s="125">
        <f>SUM(B13:M13)</f>
        <v/>
      </c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  <c r="Y13" s="88" t="n"/>
      <c r="Z13" s="88" t="n"/>
    </row>
    <row r="14" ht="15" customHeight="1" s="86">
      <c r="A14" s="128" t="inlineStr">
        <is>
          <t>Net</t>
        </is>
      </c>
      <c r="B14" s="125">
        <f>B11-B12-B13</f>
        <v/>
      </c>
      <c r="C14" s="125">
        <f>C11-C12-C13</f>
        <v/>
      </c>
      <c r="D14" s="125">
        <f>D11-D12-D13</f>
        <v/>
      </c>
      <c r="E14" s="125">
        <f>E11-E12-E13</f>
        <v/>
      </c>
      <c r="F14" s="125">
        <f>F11-F12-F13</f>
        <v/>
      </c>
      <c r="G14" s="125">
        <f>G11-G12-G13</f>
        <v/>
      </c>
      <c r="H14" s="125">
        <f>H11-H12-H13</f>
        <v/>
      </c>
      <c r="I14" s="125">
        <f>I11-I12-I13</f>
        <v/>
      </c>
      <c r="J14" s="125">
        <f>J11-J12-J13</f>
        <v/>
      </c>
      <c r="K14" s="125">
        <f>K11-K12-K13</f>
        <v/>
      </c>
      <c r="L14" s="125">
        <f>L11-L12-L13</f>
        <v/>
      </c>
      <c r="M14" s="125">
        <f>M11-M12-M13</f>
        <v/>
      </c>
      <c r="N14" s="125">
        <f>SUM(B14:M14)</f>
        <v/>
      </c>
      <c r="O14" s="88" t="n"/>
      <c r="P14" s="88" t="n"/>
      <c r="Q14" s="88" t="n"/>
      <c r="R14" s="88" t="n"/>
      <c r="S14" s="88" t="n"/>
      <c r="T14" s="88" t="n"/>
      <c r="U14" s="88" t="n"/>
      <c r="V14" s="88" t="n"/>
      <c r="W14" s="88" t="n"/>
      <c r="X14" s="88" t="n"/>
      <c r="Y14" s="88" t="n"/>
      <c r="Z14" s="88" t="n"/>
    </row>
    <row r="15" ht="15" customHeight="1" s="86">
      <c r="A15" s="88" t="n"/>
      <c r="B15" s="88" t="n"/>
      <c r="C15" s="88" t="n"/>
      <c r="D15" s="88" t="n"/>
      <c r="E15" s="88" t="n"/>
      <c r="F15" s="88" t="n"/>
      <c r="G15" s="88" t="n"/>
      <c r="H15" s="88" t="n"/>
      <c r="I15" s="88" t="n"/>
      <c r="J15" s="88" t="n"/>
      <c r="K15" s="88" t="n"/>
      <c r="L15" s="88" t="n"/>
      <c r="M15" s="88" t="n"/>
      <c r="N15" s="88" t="n"/>
      <c r="O15" s="88" t="n"/>
      <c r="P15" s="88" t="n"/>
      <c r="Q15" s="88" t="n"/>
      <c r="R15" s="88" t="n"/>
      <c r="S15" s="88" t="n"/>
      <c r="T15" s="88" t="n"/>
      <c r="U15" s="88" t="n"/>
      <c r="V15" s="88" t="n"/>
      <c r="W15" s="88" t="n"/>
      <c r="X15" s="88" t="n"/>
      <c r="Y15" s="88" t="n"/>
      <c r="Z15" s="88" t="n"/>
    </row>
    <row r="16" ht="23.25" customHeight="1" s="86">
      <c r="A16" s="99" t="inlineStr">
        <is>
          <t>SPENDING BY CATEGORY</t>
        </is>
      </c>
      <c r="B16" s="106" t="inlineStr">
        <is>
          <t>Jan</t>
        </is>
      </c>
      <c r="C16" s="106" t="inlineStr">
        <is>
          <t>Feb</t>
        </is>
      </c>
      <c r="D16" s="106" t="inlineStr">
        <is>
          <t>Mar</t>
        </is>
      </c>
      <c r="E16" s="106" t="inlineStr">
        <is>
          <t>Apr</t>
        </is>
      </c>
      <c r="F16" s="106" t="inlineStr">
        <is>
          <t>May</t>
        </is>
      </c>
      <c r="G16" s="106" t="inlineStr">
        <is>
          <t>Jun</t>
        </is>
      </c>
      <c r="H16" s="106" t="inlineStr">
        <is>
          <t>Jul</t>
        </is>
      </c>
      <c r="I16" s="106" t="inlineStr">
        <is>
          <t>Aug</t>
        </is>
      </c>
      <c r="J16" s="106" t="inlineStr">
        <is>
          <t>Sep</t>
        </is>
      </c>
      <c r="K16" s="106" t="inlineStr">
        <is>
          <t>Oct</t>
        </is>
      </c>
      <c r="L16" s="106" t="inlineStr">
        <is>
          <t>Nov</t>
        </is>
      </c>
      <c r="M16" s="106" t="inlineStr">
        <is>
          <t>Dec</t>
        </is>
      </c>
      <c r="N16" s="101" t="inlineStr">
        <is>
          <t>TOTAL</t>
        </is>
      </c>
      <c r="O16" s="101" t="inlineStr">
        <is>
          <t>AVG/mo</t>
        </is>
      </c>
      <c r="P16" s="88" t="n"/>
      <c r="Q16" s="88" t="n"/>
      <c r="R16" s="88" t="n"/>
      <c r="S16" s="88" t="n"/>
      <c r="T16" s="88" t="n"/>
      <c r="U16" s="88" t="n"/>
      <c r="V16" s="88" t="n"/>
      <c r="W16" s="88" t="n"/>
      <c r="X16" s="88" t="n"/>
      <c r="Y16" s="88" t="n"/>
      <c r="Z16" s="88" t="n"/>
    </row>
    <row r="17" ht="15" customHeight="1" s="86">
      <c r="A17" s="103">
        <f>IF(Setup!D7="","",Setup!D7)</f>
        <v/>
      </c>
      <c r="B17" s="129">
        <f>IF($A17="","",SUMIFS(Transactions!$E$5:$E$504,Transactions!$B$5:$B$504,"Expense",Transactions!$C$5:$C$504,$A17,Transactions!$I$5:$I$504,1,Transactions!$J$5:$J$504,Setup!$F$4))</f>
        <v/>
      </c>
      <c r="C17" s="129">
        <f>IF($A17="","",SUMIFS(Transactions!$E$5:$E$504,Transactions!$B$5:$B$504,"Expense",Transactions!$C$5:$C$504,$A17,Transactions!$I$5:$I$504,2,Transactions!$J$5:$J$504,Setup!$F$4))</f>
        <v/>
      </c>
      <c r="D17" s="129">
        <f>IF($A17="","",SUMIFS(Transactions!$E$5:$E$504,Transactions!$B$5:$B$504,"Expense",Transactions!$C$5:$C$504,$A17,Transactions!$I$5:$I$504,3,Transactions!$J$5:$J$504,Setup!$F$4))</f>
        <v/>
      </c>
      <c r="E17" s="129">
        <f>IF($A17="","",SUMIFS(Transactions!$E$5:$E$504,Transactions!$B$5:$B$504,"Expense",Transactions!$C$5:$C$504,$A17,Transactions!$I$5:$I$504,4,Transactions!$J$5:$J$504,Setup!$F$4))</f>
        <v/>
      </c>
      <c r="F17" s="129">
        <f>IF($A17="","",SUMIFS(Transactions!$E$5:$E$504,Transactions!$B$5:$B$504,"Expense",Transactions!$C$5:$C$504,$A17,Transactions!$I$5:$I$504,5,Transactions!$J$5:$J$504,Setup!$F$4))</f>
        <v/>
      </c>
      <c r="G17" s="129">
        <f>IF($A17="","",SUMIFS(Transactions!$E$5:$E$504,Transactions!$B$5:$B$504,"Expense",Transactions!$C$5:$C$504,$A17,Transactions!$I$5:$I$504,6,Transactions!$J$5:$J$504,Setup!$F$4))</f>
        <v/>
      </c>
      <c r="H17" s="129">
        <f>IF($A17="","",SUMIFS(Transactions!$E$5:$E$504,Transactions!$B$5:$B$504,"Expense",Transactions!$C$5:$C$504,$A17,Transactions!$I$5:$I$504,7,Transactions!$J$5:$J$504,Setup!$F$4))</f>
        <v/>
      </c>
      <c r="I17" s="129">
        <f>IF($A17="","",SUMIFS(Transactions!$E$5:$E$504,Transactions!$B$5:$B$504,"Expense",Transactions!$C$5:$C$504,$A17,Transactions!$I$5:$I$504,8,Transactions!$J$5:$J$504,Setup!$F$4))</f>
        <v/>
      </c>
      <c r="J17" s="129">
        <f>IF($A17="","",SUMIFS(Transactions!$E$5:$E$504,Transactions!$B$5:$B$504,"Expense",Transactions!$C$5:$C$504,$A17,Transactions!$I$5:$I$504,9,Transactions!$J$5:$J$504,Setup!$F$4))</f>
        <v/>
      </c>
      <c r="K17" s="129">
        <f>IF($A17="","",SUMIFS(Transactions!$E$5:$E$504,Transactions!$B$5:$B$504,"Expense",Transactions!$C$5:$C$504,$A17,Transactions!$I$5:$I$504,10,Transactions!$J$5:$J$504,Setup!$F$4))</f>
        <v/>
      </c>
      <c r="L17" s="129">
        <f>IF($A17="","",SUMIFS(Transactions!$E$5:$E$504,Transactions!$B$5:$B$504,"Expense",Transactions!$C$5:$C$504,$A17,Transactions!$I$5:$I$504,11,Transactions!$J$5:$J$504,Setup!$F$4))</f>
        <v/>
      </c>
      <c r="M17" s="129">
        <f>IF($A17="","",SUMIFS(Transactions!$E$5:$E$504,Transactions!$B$5:$B$504,"Expense",Transactions!$C$5:$C$504,$A17,Transactions!$I$5:$I$504,12,Transactions!$J$5:$J$504,Setup!$F$4))</f>
        <v/>
      </c>
      <c r="N17" s="130">
        <f>IF($A17="","",SUM(B17:M17))</f>
        <v/>
      </c>
      <c r="O17" s="129">
        <f>IF($A17="","",N17/12)</f>
        <v/>
      </c>
      <c r="P17" s="88" t="n"/>
      <c r="Q17" s="88" t="n"/>
      <c r="R17" s="88" t="n"/>
      <c r="S17" s="88" t="n"/>
      <c r="T17" s="88" t="n"/>
      <c r="U17" s="88" t="n"/>
      <c r="V17" s="88" t="n"/>
      <c r="W17" s="88" t="n"/>
      <c r="X17" s="88" t="n"/>
      <c r="Y17" s="88" t="n"/>
      <c r="Z17" s="88" t="n"/>
    </row>
    <row r="18" ht="15" customHeight="1" s="86">
      <c r="A18" s="103">
        <f>IF(Setup!D8="","",Setup!D8)</f>
        <v/>
      </c>
      <c r="B18" s="129">
        <f>IF($A18="","",SUMIFS(Transactions!$E$5:$E$504,Transactions!$B$5:$B$504,"Expense",Transactions!$C$5:$C$504,$A18,Transactions!$I$5:$I$504,1,Transactions!$J$5:$J$504,Setup!$F$4))</f>
        <v/>
      </c>
      <c r="C18" s="129">
        <f>IF($A18="","",SUMIFS(Transactions!$E$5:$E$504,Transactions!$B$5:$B$504,"Expense",Transactions!$C$5:$C$504,$A18,Transactions!$I$5:$I$504,2,Transactions!$J$5:$J$504,Setup!$F$4))</f>
        <v/>
      </c>
      <c r="D18" s="129">
        <f>IF($A18="","",SUMIFS(Transactions!$E$5:$E$504,Transactions!$B$5:$B$504,"Expense",Transactions!$C$5:$C$504,$A18,Transactions!$I$5:$I$504,3,Transactions!$J$5:$J$504,Setup!$F$4))</f>
        <v/>
      </c>
      <c r="E18" s="129">
        <f>IF($A18="","",SUMIFS(Transactions!$E$5:$E$504,Transactions!$B$5:$B$504,"Expense",Transactions!$C$5:$C$504,$A18,Transactions!$I$5:$I$504,4,Transactions!$J$5:$J$504,Setup!$F$4))</f>
        <v/>
      </c>
      <c r="F18" s="129">
        <f>IF($A18="","",SUMIFS(Transactions!$E$5:$E$504,Transactions!$B$5:$B$504,"Expense",Transactions!$C$5:$C$504,$A18,Transactions!$I$5:$I$504,5,Transactions!$J$5:$J$504,Setup!$F$4))</f>
        <v/>
      </c>
      <c r="G18" s="129">
        <f>IF($A18="","",SUMIFS(Transactions!$E$5:$E$504,Transactions!$B$5:$B$504,"Expense",Transactions!$C$5:$C$504,$A18,Transactions!$I$5:$I$504,6,Transactions!$J$5:$J$504,Setup!$F$4))</f>
        <v/>
      </c>
      <c r="H18" s="129">
        <f>IF($A18="","",SUMIFS(Transactions!$E$5:$E$504,Transactions!$B$5:$B$504,"Expense",Transactions!$C$5:$C$504,$A18,Transactions!$I$5:$I$504,7,Transactions!$J$5:$J$504,Setup!$F$4))</f>
        <v/>
      </c>
      <c r="I18" s="129">
        <f>IF($A18="","",SUMIFS(Transactions!$E$5:$E$504,Transactions!$B$5:$B$504,"Expense",Transactions!$C$5:$C$504,$A18,Transactions!$I$5:$I$504,8,Transactions!$J$5:$J$504,Setup!$F$4))</f>
        <v/>
      </c>
      <c r="J18" s="129">
        <f>IF($A18="","",SUMIFS(Transactions!$E$5:$E$504,Transactions!$B$5:$B$504,"Expense",Transactions!$C$5:$C$504,$A18,Transactions!$I$5:$I$504,9,Transactions!$J$5:$J$504,Setup!$F$4))</f>
        <v/>
      </c>
      <c r="K18" s="129">
        <f>IF($A18="","",SUMIFS(Transactions!$E$5:$E$504,Transactions!$B$5:$B$504,"Expense",Transactions!$C$5:$C$504,$A18,Transactions!$I$5:$I$504,10,Transactions!$J$5:$J$504,Setup!$F$4))</f>
        <v/>
      </c>
      <c r="L18" s="129">
        <f>IF($A18="","",SUMIFS(Transactions!$E$5:$E$504,Transactions!$B$5:$B$504,"Expense",Transactions!$C$5:$C$504,$A18,Transactions!$I$5:$I$504,11,Transactions!$J$5:$J$504,Setup!$F$4))</f>
        <v/>
      </c>
      <c r="M18" s="129">
        <f>IF($A18="","",SUMIFS(Transactions!$E$5:$E$504,Transactions!$B$5:$B$504,"Expense",Transactions!$C$5:$C$504,$A18,Transactions!$I$5:$I$504,12,Transactions!$J$5:$J$504,Setup!$F$4))</f>
        <v/>
      </c>
      <c r="N18" s="130">
        <f>IF($A18="","",SUM(B18:M18))</f>
        <v/>
      </c>
      <c r="O18" s="129">
        <f>IF($A18="","",N18/12)</f>
        <v/>
      </c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  <c r="Y18" s="88" t="n"/>
      <c r="Z18" s="88" t="n"/>
    </row>
    <row r="19" ht="15" customHeight="1" s="86">
      <c r="A19" s="103">
        <f>IF(Setup!D9="","",Setup!D9)</f>
        <v/>
      </c>
      <c r="B19" s="129">
        <f>IF($A19="","",SUMIFS(Transactions!$E$5:$E$504,Transactions!$B$5:$B$504,"Expense",Transactions!$C$5:$C$504,$A19,Transactions!$I$5:$I$504,1,Transactions!$J$5:$J$504,Setup!$F$4))</f>
        <v/>
      </c>
      <c r="C19" s="129">
        <f>IF($A19="","",SUMIFS(Transactions!$E$5:$E$504,Transactions!$B$5:$B$504,"Expense",Transactions!$C$5:$C$504,$A19,Transactions!$I$5:$I$504,2,Transactions!$J$5:$J$504,Setup!$F$4))</f>
        <v/>
      </c>
      <c r="D19" s="129">
        <f>IF($A19="","",SUMIFS(Transactions!$E$5:$E$504,Transactions!$B$5:$B$504,"Expense",Transactions!$C$5:$C$504,$A19,Transactions!$I$5:$I$504,3,Transactions!$J$5:$J$504,Setup!$F$4))</f>
        <v/>
      </c>
      <c r="E19" s="129">
        <f>IF($A19="","",SUMIFS(Transactions!$E$5:$E$504,Transactions!$B$5:$B$504,"Expense",Transactions!$C$5:$C$504,$A19,Transactions!$I$5:$I$504,4,Transactions!$J$5:$J$504,Setup!$F$4))</f>
        <v/>
      </c>
      <c r="F19" s="129">
        <f>IF($A19="","",SUMIFS(Transactions!$E$5:$E$504,Transactions!$B$5:$B$504,"Expense",Transactions!$C$5:$C$504,$A19,Transactions!$I$5:$I$504,5,Transactions!$J$5:$J$504,Setup!$F$4))</f>
        <v/>
      </c>
      <c r="G19" s="129">
        <f>IF($A19="","",SUMIFS(Transactions!$E$5:$E$504,Transactions!$B$5:$B$504,"Expense",Transactions!$C$5:$C$504,$A19,Transactions!$I$5:$I$504,6,Transactions!$J$5:$J$504,Setup!$F$4))</f>
        <v/>
      </c>
      <c r="H19" s="129">
        <f>IF($A19="","",SUMIFS(Transactions!$E$5:$E$504,Transactions!$B$5:$B$504,"Expense",Transactions!$C$5:$C$504,$A19,Transactions!$I$5:$I$504,7,Transactions!$J$5:$J$504,Setup!$F$4))</f>
        <v/>
      </c>
      <c r="I19" s="129">
        <f>IF($A19="","",SUMIFS(Transactions!$E$5:$E$504,Transactions!$B$5:$B$504,"Expense",Transactions!$C$5:$C$504,$A19,Transactions!$I$5:$I$504,8,Transactions!$J$5:$J$504,Setup!$F$4))</f>
        <v/>
      </c>
      <c r="J19" s="129">
        <f>IF($A19="","",SUMIFS(Transactions!$E$5:$E$504,Transactions!$B$5:$B$504,"Expense",Transactions!$C$5:$C$504,$A19,Transactions!$I$5:$I$504,9,Transactions!$J$5:$J$504,Setup!$F$4))</f>
        <v/>
      </c>
      <c r="K19" s="129">
        <f>IF($A19="","",SUMIFS(Transactions!$E$5:$E$504,Transactions!$B$5:$B$504,"Expense",Transactions!$C$5:$C$504,$A19,Transactions!$I$5:$I$504,10,Transactions!$J$5:$J$504,Setup!$F$4))</f>
        <v/>
      </c>
      <c r="L19" s="129">
        <f>IF($A19="","",SUMIFS(Transactions!$E$5:$E$504,Transactions!$B$5:$B$504,"Expense",Transactions!$C$5:$C$504,$A19,Transactions!$I$5:$I$504,11,Transactions!$J$5:$J$504,Setup!$F$4))</f>
        <v/>
      </c>
      <c r="M19" s="129">
        <f>IF($A19="","",SUMIFS(Transactions!$E$5:$E$504,Transactions!$B$5:$B$504,"Expense",Transactions!$C$5:$C$504,$A19,Transactions!$I$5:$I$504,12,Transactions!$J$5:$J$504,Setup!$F$4))</f>
        <v/>
      </c>
      <c r="N19" s="130">
        <f>IF($A19="","",SUM(B19:M19))</f>
        <v/>
      </c>
      <c r="O19" s="129">
        <f>IF($A19="","",N19/12)</f>
        <v/>
      </c>
      <c r="P19" s="88" t="n"/>
      <c r="Q19" s="88" t="n"/>
      <c r="R19" s="88" t="n"/>
      <c r="S19" s="88" t="n"/>
      <c r="T19" s="88" t="n"/>
      <c r="U19" s="88" t="n"/>
      <c r="V19" s="88" t="n"/>
      <c r="W19" s="88" t="n"/>
      <c r="X19" s="88" t="n"/>
      <c r="Y19" s="88" t="n"/>
      <c r="Z19" s="88" t="n"/>
    </row>
    <row r="20" ht="15" customHeight="1" s="86">
      <c r="A20" s="103">
        <f>IF(Setup!D10="","",Setup!D10)</f>
        <v/>
      </c>
      <c r="B20" s="129">
        <f>IF($A20="","",SUMIFS(Transactions!$E$5:$E$504,Transactions!$B$5:$B$504,"Expense",Transactions!$C$5:$C$504,$A20,Transactions!$I$5:$I$504,1,Transactions!$J$5:$J$504,Setup!$F$4))</f>
        <v/>
      </c>
      <c r="C20" s="129">
        <f>IF($A20="","",SUMIFS(Transactions!$E$5:$E$504,Transactions!$B$5:$B$504,"Expense",Transactions!$C$5:$C$504,$A20,Transactions!$I$5:$I$504,2,Transactions!$J$5:$J$504,Setup!$F$4))</f>
        <v/>
      </c>
      <c r="D20" s="129">
        <f>IF($A20="","",SUMIFS(Transactions!$E$5:$E$504,Transactions!$B$5:$B$504,"Expense",Transactions!$C$5:$C$504,$A20,Transactions!$I$5:$I$504,3,Transactions!$J$5:$J$504,Setup!$F$4))</f>
        <v/>
      </c>
      <c r="E20" s="129">
        <f>IF($A20="","",SUMIFS(Transactions!$E$5:$E$504,Transactions!$B$5:$B$504,"Expense",Transactions!$C$5:$C$504,$A20,Transactions!$I$5:$I$504,4,Transactions!$J$5:$J$504,Setup!$F$4))</f>
        <v/>
      </c>
      <c r="F20" s="129">
        <f>IF($A20="","",SUMIFS(Transactions!$E$5:$E$504,Transactions!$B$5:$B$504,"Expense",Transactions!$C$5:$C$504,$A20,Transactions!$I$5:$I$504,5,Transactions!$J$5:$J$504,Setup!$F$4))</f>
        <v/>
      </c>
      <c r="G20" s="129">
        <f>IF($A20="","",SUMIFS(Transactions!$E$5:$E$504,Transactions!$B$5:$B$504,"Expense",Transactions!$C$5:$C$504,$A20,Transactions!$I$5:$I$504,6,Transactions!$J$5:$J$504,Setup!$F$4))</f>
        <v/>
      </c>
      <c r="H20" s="129">
        <f>IF($A20="","",SUMIFS(Transactions!$E$5:$E$504,Transactions!$B$5:$B$504,"Expense",Transactions!$C$5:$C$504,$A20,Transactions!$I$5:$I$504,7,Transactions!$J$5:$J$504,Setup!$F$4))</f>
        <v/>
      </c>
      <c r="I20" s="129">
        <f>IF($A20="","",SUMIFS(Transactions!$E$5:$E$504,Transactions!$B$5:$B$504,"Expense",Transactions!$C$5:$C$504,$A20,Transactions!$I$5:$I$504,8,Transactions!$J$5:$J$504,Setup!$F$4))</f>
        <v/>
      </c>
      <c r="J20" s="129">
        <f>IF($A20="","",SUMIFS(Transactions!$E$5:$E$504,Transactions!$B$5:$B$504,"Expense",Transactions!$C$5:$C$504,$A20,Transactions!$I$5:$I$504,9,Transactions!$J$5:$J$504,Setup!$F$4))</f>
        <v/>
      </c>
      <c r="K20" s="129">
        <f>IF($A20="","",SUMIFS(Transactions!$E$5:$E$504,Transactions!$B$5:$B$504,"Expense",Transactions!$C$5:$C$504,$A20,Transactions!$I$5:$I$504,10,Transactions!$J$5:$J$504,Setup!$F$4))</f>
        <v/>
      </c>
      <c r="L20" s="129">
        <f>IF($A20="","",SUMIFS(Transactions!$E$5:$E$504,Transactions!$B$5:$B$504,"Expense",Transactions!$C$5:$C$504,$A20,Transactions!$I$5:$I$504,11,Transactions!$J$5:$J$504,Setup!$F$4))</f>
        <v/>
      </c>
      <c r="M20" s="129">
        <f>IF($A20="","",SUMIFS(Transactions!$E$5:$E$504,Transactions!$B$5:$B$504,"Expense",Transactions!$C$5:$C$504,$A20,Transactions!$I$5:$I$504,12,Transactions!$J$5:$J$504,Setup!$F$4))</f>
        <v/>
      </c>
      <c r="N20" s="130">
        <f>IF($A20="","",SUM(B20:M20))</f>
        <v/>
      </c>
      <c r="O20" s="129">
        <f>IF($A20="","",N20/12)</f>
        <v/>
      </c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  <c r="Z20" s="88" t="n"/>
    </row>
    <row r="21" ht="15" customHeight="1" s="86">
      <c r="A21" s="103">
        <f>IF(Setup!D11="","",Setup!D11)</f>
        <v/>
      </c>
      <c r="B21" s="129">
        <f>IF($A21="","",SUMIFS(Transactions!$E$5:$E$504,Transactions!$B$5:$B$504,"Expense",Transactions!$C$5:$C$504,$A21,Transactions!$I$5:$I$504,1,Transactions!$J$5:$J$504,Setup!$F$4))</f>
        <v/>
      </c>
      <c r="C21" s="129">
        <f>IF($A21="","",SUMIFS(Transactions!$E$5:$E$504,Transactions!$B$5:$B$504,"Expense",Transactions!$C$5:$C$504,$A21,Transactions!$I$5:$I$504,2,Transactions!$J$5:$J$504,Setup!$F$4))</f>
        <v/>
      </c>
      <c r="D21" s="129">
        <f>IF($A21="","",SUMIFS(Transactions!$E$5:$E$504,Transactions!$B$5:$B$504,"Expense",Transactions!$C$5:$C$504,$A21,Transactions!$I$5:$I$504,3,Transactions!$J$5:$J$504,Setup!$F$4))</f>
        <v/>
      </c>
      <c r="E21" s="129">
        <f>IF($A21="","",SUMIFS(Transactions!$E$5:$E$504,Transactions!$B$5:$B$504,"Expense",Transactions!$C$5:$C$504,$A21,Transactions!$I$5:$I$504,4,Transactions!$J$5:$J$504,Setup!$F$4))</f>
        <v/>
      </c>
      <c r="F21" s="129">
        <f>IF($A21="","",SUMIFS(Transactions!$E$5:$E$504,Transactions!$B$5:$B$504,"Expense",Transactions!$C$5:$C$504,$A21,Transactions!$I$5:$I$504,5,Transactions!$J$5:$J$504,Setup!$F$4))</f>
        <v/>
      </c>
      <c r="G21" s="129">
        <f>IF($A21="","",SUMIFS(Transactions!$E$5:$E$504,Transactions!$B$5:$B$504,"Expense",Transactions!$C$5:$C$504,$A21,Transactions!$I$5:$I$504,6,Transactions!$J$5:$J$504,Setup!$F$4))</f>
        <v/>
      </c>
      <c r="H21" s="129">
        <f>IF($A21="","",SUMIFS(Transactions!$E$5:$E$504,Transactions!$B$5:$B$504,"Expense",Transactions!$C$5:$C$504,$A21,Transactions!$I$5:$I$504,7,Transactions!$J$5:$J$504,Setup!$F$4))</f>
        <v/>
      </c>
      <c r="I21" s="129">
        <f>IF($A21="","",SUMIFS(Transactions!$E$5:$E$504,Transactions!$B$5:$B$504,"Expense",Transactions!$C$5:$C$504,$A21,Transactions!$I$5:$I$504,8,Transactions!$J$5:$J$504,Setup!$F$4))</f>
        <v/>
      </c>
      <c r="J21" s="129">
        <f>IF($A21="","",SUMIFS(Transactions!$E$5:$E$504,Transactions!$B$5:$B$504,"Expense",Transactions!$C$5:$C$504,$A21,Transactions!$I$5:$I$504,9,Transactions!$J$5:$J$504,Setup!$F$4))</f>
        <v/>
      </c>
      <c r="K21" s="129">
        <f>IF($A21="","",SUMIFS(Transactions!$E$5:$E$504,Transactions!$B$5:$B$504,"Expense",Transactions!$C$5:$C$504,$A21,Transactions!$I$5:$I$504,10,Transactions!$J$5:$J$504,Setup!$F$4))</f>
        <v/>
      </c>
      <c r="L21" s="129">
        <f>IF($A21="","",SUMIFS(Transactions!$E$5:$E$504,Transactions!$B$5:$B$504,"Expense",Transactions!$C$5:$C$504,$A21,Transactions!$I$5:$I$504,11,Transactions!$J$5:$J$504,Setup!$F$4))</f>
        <v/>
      </c>
      <c r="M21" s="129">
        <f>IF($A21="","",SUMIFS(Transactions!$E$5:$E$504,Transactions!$B$5:$B$504,"Expense",Transactions!$C$5:$C$504,$A21,Transactions!$I$5:$I$504,12,Transactions!$J$5:$J$504,Setup!$F$4))</f>
        <v/>
      </c>
      <c r="N21" s="130">
        <f>IF($A21="","",SUM(B21:M21))</f>
        <v/>
      </c>
      <c r="O21" s="129">
        <f>IF($A21="","",N21/12)</f>
        <v/>
      </c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</row>
    <row r="22" ht="15" customHeight="1" s="86">
      <c r="A22" s="103">
        <f>IF(Setup!D12="","",Setup!D12)</f>
        <v/>
      </c>
      <c r="B22" s="129">
        <f>IF($A22="","",SUMIFS(Transactions!$E$5:$E$504,Transactions!$B$5:$B$504,"Expense",Transactions!$C$5:$C$504,$A22,Transactions!$I$5:$I$504,1,Transactions!$J$5:$J$504,Setup!$F$4))</f>
        <v/>
      </c>
      <c r="C22" s="129">
        <f>IF($A22="","",SUMIFS(Transactions!$E$5:$E$504,Transactions!$B$5:$B$504,"Expense",Transactions!$C$5:$C$504,$A22,Transactions!$I$5:$I$504,2,Transactions!$J$5:$J$504,Setup!$F$4))</f>
        <v/>
      </c>
      <c r="D22" s="129">
        <f>IF($A22="","",SUMIFS(Transactions!$E$5:$E$504,Transactions!$B$5:$B$504,"Expense",Transactions!$C$5:$C$504,$A22,Transactions!$I$5:$I$504,3,Transactions!$J$5:$J$504,Setup!$F$4))</f>
        <v/>
      </c>
      <c r="E22" s="129">
        <f>IF($A22="","",SUMIFS(Transactions!$E$5:$E$504,Transactions!$B$5:$B$504,"Expense",Transactions!$C$5:$C$504,$A22,Transactions!$I$5:$I$504,4,Transactions!$J$5:$J$504,Setup!$F$4))</f>
        <v/>
      </c>
      <c r="F22" s="129">
        <f>IF($A22="","",SUMIFS(Transactions!$E$5:$E$504,Transactions!$B$5:$B$504,"Expense",Transactions!$C$5:$C$504,$A22,Transactions!$I$5:$I$504,5,Transactions!$J$5:$J$504,Setup!$F$4))</f>
        <v/>
      </c>
      <c r="G22" s="129">
        <f>IF($A22="","",SUMIFS(Transactions!$E$5:$E$504,Transactions!$B$5:$B$504,"Expense",Transactions!$C$5:$C$504,$A22,Transactions!$I$5:$I$504,6,Transactions!$J$5:$J$504,Setup!$F$4))</f>
        <v/>
      </c>
      <c r="H22" s="129">
        <f>IF($A22="","",SUMIFS(Transactions!$E$5:$E$504,Transactions!$B$5:$B$504,"Expense",Transactions!$C$5:$C$504,$A22,Transactions!$I$5:$I$504,7,Transactions!$J$5:$J$504,Setup!$F$4))</f>
        <v/>
      </c>
      <c r="I22" s="129">
        <f>IF($A22="","",SUMIFS(Transactions!$E$5:$E$504,Transactions!$B$5:$B$504,"Expense",Transactions!$C$5:$C$504,$A22,Transactions!$I$5:$I$504,8,Transactions!$J$5:$J$504,Setup!$F$4))</f>
        <v/>
      </c>
      <c r="J22" s="129">
        <f>IF($A22="","",SUMIFS(Transactions!$E$5:$E$504,Transactions!$B$5:$B$504,"Expense",Transactions!$C$5:$C$504,$A22,Transactions!$I$5:$I$504,9,Transactions!$J$5:$J$504,Setup!$F$4))</f>
        <v/>
      </c>
      <c r="K22" s="129">
        <f>IF($A22="","",SUMIFS(Transactions!$E$5:$E$504,Transactions!$B$5:$B$504,"Expense",Transactions!$C$5:$C$504,$A22,Transactions!$I$5:$I$504,10,Transactions!$J$5:$J$504,Setup!$F$4))</f>
        <v/>
      </c>
      <c r="L22" s="129">
        <f>IF($A22="","",SUMIFS(Transactions!$E$5:$E$504,Transactions!$B$5:$B$504,"Expense",Transactions!$C$5:$C$504,$A22,Transactions!$I$5:$I$504,11,Transactions!$J$5:$J$504,Setup!$F$4))</f>
        <v/>
      </c>
      <c r="M22" s="129">
        <f>IF($A22="","",SUMIFS(Transactions!$E$5:$E$504,Transactions!$B$5:$B$504,"Expense",Transactions!$C$5:$C$504,$A22,Transactions!$I$5:$I$504,12,Transactions!$J$5:$J$504,Setup!$F$4))</f>
        <v/>
      </c>
      <c r="N22" s="130">
        <f>IF($A22="","",SUM(B22:M22))</f>
        <v/>
      </c>
      <c r="O22" s="129">
        <f>IF($A22="","",N22/12)</f>
        <v/>
      </c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</row>
    <row r="23" ht="15" customHeight="1" s="86">
      <c r="A23" s="103">
        <f>IF(Setup!D13="","",Setup!D13)</f>
        <v/>
      </c>
      <c r="B23" s="129">
        <f>IF($A23="","",SUMIFS(Transactions!$E$5:$E$504,Transactions!$B$5:$B$504,"Expense",Transactions!$C$5:$C$504,$A23,Transactions!$I$5:$I$504,1,Transactions!$J$5:$J$504,Setup!$F$4))</f>
        <v/>
      </c>
      <c r="C23" s="129">
        <f>IF($A23="","",SUMIFS(Transactions!$E$5:$E$504,Transactions!$B$5:$B$504,"Expense",Transactions!$C$5:$C$504,$A23,Transactions!$I$5:$I$504,2,Transactions!$J$5:$J$504,Setup!$F$4))</f>
        <v/>
      </c>
      <c r="D23" s="129">
        <f>IF($A23="","",SUMIFS(Transactions!$E$5:$E$504,Transactions!$B$5:$B$504,"Expense",Transactions!$C$5:$C$504,$A23,Transactions!$I$5:$I$504,3,Transactions!$J$5:$J$504,Setup!$F$4))</f>
        <v/>
      </c>
      <c r="E23" s="129">
        <f>IF($A23="","",SUMIFS(Transactions!$E$5:$E$504,Transactions!$B$5:$B$504,"Expense",Transactions!$C$5:$C$504,$A23,Transactions!$I$5:$I$504,4,Transactions!$J$5:$J$504,Setup!$F$4))</f>
        <v/>
      </c>
      <c r="F23" s="129">
        <f>IF($A23="","",SUMIFS(Transactions!$E$5:$E$504,Transactions!$B$5:$B$504,"Expense",Transactions!$C$5:$C$504,$A23,Transactions!$I$5:$I$504,5,Transactions!$J$5:$J$504,Setup!$F$4))</f>
        <v/>
      </c>
      <c r="G23" s="129">
        <f>IF($A23="","",SUMIFS(Transactions!$E$5:$E$504,Transactions!$B$5:$B$504,"Expense",Transactions!$C$5:$C$504,$A23,Transactions!$I$5:$I$504,6,Transactions!$J$5:$J$504,Setup!$F$4))</f>
        <v/>
      </c>
      <c r="H23" s="129">
        <f>IF($A23="","",SUMIFS(Transactions!$E$5:$E$504,Transactions!$B$5:$B$504,"Expense",Transactions!$C$5:$C$504,$A23,Transactions!$I$5:$I$504,7,Transactions!$J$5:$J$504,Setup!$F$4))</f>
        <v/>
      </c>
      <c r="I23" s="129">
        <f>IF($A23="","",SUMIFS(Transactions!$E$5:$E$504,Transactions!$B$5:$B$504,"Expense",Transactions!$C$5:$C$504,$A23,Transactions!$I$5:$I$504,8,Transactions!$J$5:$J$504,Setup!$F$4))</f>
        <v/>
      </c>
      <c r="J23" s="129">
        <f>IF($A23="","",SUMIFS(Transactions!$E$5:$E$504,Transactions!$B$5:$B$504,"Expense",Transactions!$C$5:$C$504,$A23,Transactions!$I$5:$I$504,9,Transactions!$J$5:$J$504,Setup!$F$4))</f>
        <v/>
      </c>
      <c r="K23" s="129">
        <f>IF($A23="","",SUMIFS(Transactions!$E$5:$E$504,Transactions!$B$5:$B$504,"Expense",Transactions!$C$5:$C$504,$A23,Transactions!$I$5:$I$504,10,Transactions!$J$5:$J$504,Setup!$F$4))</f>
        <v/>
      </c>
      <c r="L23" s="129">
        <f>IF($A23="","",SUMIFS(Transactions!$E$5:$E$504,Transactions!$B$5:$B$504,"Expense",Transactions!$C$5:$C$504,$A23,Transactions!$I$5:$I$504,11,Transactions!$J$5:$J$504,Setup!$F$4))</f>
        <v/>
      </c>
      <c r="M23" s="129">
        <f>IF($A23="","",SUMIFS(Transactions!$E$5:$E$504,Transactions!$B$5:$B$504,"Expense",Transactions!$C$5:$C$504,$A23,Transactions!$I$5:$I$504,12,Transactions!$J$5:$J$504,Setup!$F$4))</f>
        <v/>
      </c>
      <c r="N23" s="130">
        <f>IF($A23="","",SUM(B23:M23))</f>
        <v/>
      </c>
      <c r="O23" s="129">
        <f>IF($A23="","",N23/12)</f>
        <v/>
      </c>
      <c r="P23" s="88" t="n"/>
      <c r="Q23" s="88" t="n"/>
      <c r="R23" s="88" t="n"/>
      <c r="S23" s="88" t="n"/>
      <c r="T23" s="88" t="n"/>
      <c r="U23" s="88" t="n"/>
      <c r="V23" s="88" t="n"/>
      <c r="W23" s="88" t="n"/>
      <c r="X23" s="88" t="n"/>
      <c r="Y23" s="88" t="n"/>
      <c r="Z23" s="88" t="n"/>
    </row>
    <row r="24" ht="15" customHeight="1" s="86">
      <c r="A24" s="103">
        <f>IF(Setup!D14="","",Setup!D14)</f>
        <v/>
      </c>
      <c r="B24" s="129">
        <f>IF($A24="","",SUMIFS(Transactions!$E$5:$E$504,Transactions!$B$5:$B$504,"Expense",Transactions!$C$5:$C$504,$A24,Transactions!$I$5:$I$504,1,Transactions!$J$5:$J$504,Setup!$F$4))</f>
        <v/>
      </c>
      <c r="C24" s="129">
        <f>IF($A24="","",SUMIFS(Transactions!$E$5:$E$504,Transactions!$B$5:$B$504,"Expense",Transactions!$C$5:$C$504,$A24,Transactions!$I$5:$I$504,2,Transactions!$J$5:$J$504,Setup!$F$4))</f>
        <v/>
      </c>
      <c r="D24" s="129">
        <f>IF($A24="","",SUMIFS(Transactions!$E$5:$E$504,Transactions!$B$5:$B$504,"Expense",Transactions!$C$5:$C$504,$A24,Transactions!$I$5:$I$504,3,Transactions!$J$5:$J$504,Setup!$F$4))</f>
        <v/>
      </c>
      <c r="E24" s="129">
        <f>IF($A24="","",SUMIFS(Transactions!$E$5:$E$504,Transactions!$B$5:$B$504,"Expense",Transactions!$C$5:$C$504,$A24,Transactions!$I$5:$I$504,4,Transactions!$J$5:$J$504,Setup!$F$4))</f>
        <v/>
      </c>
      <c r="F24" s="129">
        <f>IF($A24="","",SUMIFS(Transactions!$E$5:$E$504,Transactions!$B$5:$B$504,"Expense",Transactions!$C$5:$C$504,$A24,Transactions!$I$5:$I$504,5,Transactions!$J$5:$J$504,Setup!$F$4))</f>
        <v/>
      </c>
      <c r="G24" s="129">
        <f>IF($A24="","",SUMIFS(Transactions!$E$5:$E$504,Transactions!$B$5:$B$504,"Expense",Transactions!$C$5:$C$504,$A24,Transactions!$I$5:$I$504,6,Transactions!$J$5:$J$504,Setup!$F$4))</f>
        <v/>
      </c>
      <c r="H24" s="129">
        <f>IF($A24="","",SUMIFS(Transactions!$E$5:$E$504,Transactions!$B$5:$B$504,"Expense",Transactions!$C$5:$C$504,$A24,Transactions!$I$5:$I$504,7,Transactions!$J$5:$J$504,Setup!$F$4))</f>
        <v/>
      </c>
      <c r="I24" s="129">
        <f>IF($A24="","",SUMIFS(Transactions!$E$5:$E$504,Transactions!$B$5:$B$504,"Expense",Transactions!$C$5:$C$504,$A24,Transactions!$I$5:$I$504,8,Transactions!$J$5:$J$504,Setup!$F$4))</f>
        <v/>
      </c>
      <c r="J24" s="129">
        <f>IF($A24="","",SUMIFS(Transactions!$E$5:$E$504,Transactions!$B$5:$B$504,"Expense",Transactions!$C$5:$C$504,$A24,Transactions!$I$5:$I$504,9,Transactions!$J$5:$J$504,Setup!$F$4))</f>
        <v/>
      </c>
      <c r="K24" s="129">
        <f>IF($A24="","",SUMIFS(Transactions!$E$5:$E$504,Transactions!$B$5:$B$504,"Expense",Transactions!$C$5:$C$504,$A24,Transactions!$I$5:$I$504,10,Transactions!$J$5:$J$504,Setup!$F$4))</f>
        <v/>
      </c>
      <c r="L24" s="129">
        <f>IF($A24="","",SUMIFS(Transactions!$E$5:$E$504,Transactions!$B$5:$B$504,"Expense",Transactions!$C$5:$C$504,$A24,Transactions!$I$5:$I$504,11,Transactions!$J$5:$J$504,Setup!$F$4))</f>
        <v/>
      </c>
      <c r="M24" s="129">
        <f>IF($A24="","",SUMIFS(Transactions!$E$5:$E$504,Transactions!$B$5:$B$504,"Expense",Transactions!$C$5:$C$504,$A24,Transactions!$I$5:$I$504,12,Transactions!$J$5:$J$504,Setup!$F$4))</f>
        <v/>
      </c>
      <c r="N24" s="130">
        <f>IF($A24="","",SUM(B24:M24))</f>
        <v/>
      </c>
      <c r="O24" s="129">
        <f>IF($A24="","",N24/12)</f>
        <v/>
      </c>
      <c r="P24" s="88" t="n"/>
      <c r="Q24" s="88" t="n"/>
      <c r="R24" s="88" t="n"/>
      <c r="S24" s="88" t="n"/>
      <c r="T24" s="88" t="n"/>
      <c r="U24" s="88" t="n"/>
      <c r="V24" s="88" t="n"/>
      <c r="W24" s="88" t="n"/>
      <c r="X24" s="88" t="n"/>
      <c r="Y24" s="88" t="n"/>
      <c r="Z24" s="88" t="n"/>
    </row>
    <row r="25" ht="15" customHeight="1" s="86">
      <c r="A25" s="103">
        <f>IF(Setup!D15="","",Setup!D15)</f>
        <v/>
      </c>
      <c r="B25" s="129">
        <f>IF($A25="","",SUMIFS(Transactions!$E$5:$E$504,Transactions!$B$5:$B$504,"Expense",Transactions!$C$5:$C$504,$A25,Transactions!$I$5:$I$504,1,Transactions!$J$5:$J$504,Setup!$F$4))</f>
        <v/>
      </c>
      <c r="C25" s="129">
        <f>IF($A25="","",SUMIFS(Transactions!$E$5:$E$504,Transactions!$B$5:$B$504,"Expense",Transactions!$C$5:$C$504,$A25,Transactions!$I$5:$I$504,2,Transactions!$J$5:$J$504,Setup!$F$4))</f>
        <v/>
      </c>
      <c r="D25" s="129">
        <f>IF($A25="","",SUMIFS(Transactions!$E$5:$E$504,Transactions!$B$5:$B$504,"Expense",Transactions!$C$5:$C$504,$A25,Transactions!$I$5:$I$504,3,Transactions!$J$5:$J$504,Setup!$F$4))</f>
        <v/>
      </c>
      <c r="E25" s="129">
        <f>IF($A25="","",SUMIFS(Transactions!$E$5:$E$504,Transactions!$B$5:$B$504,"Expense",Transactions!$C$5:$C$504,$A25,Transactions!$I$5:$I$504,4,Transactions!$J$5:$J$504,Setup!$F$4))</f>
        <v/>
      </c>
      <c r="F25" s="129">
        <f>IF($A25="","",SUMIFS(Transactions!$E$5:$E$504,Transactions!$B$5:$B$504,"Expense",Transactions!$C$5:$C$504,$A25,Transactions!$I$5:$I$504,5,Transactions!$J$5:$J$504,Setup!$F$4))</f>
        <v/>
      </c>
      <c r="G25" s="129">
        <f>IF($A25="","",SUMIFS(Transactions!$E$5:$E$504,Transactions!$B$5:$B$504,"Expense",Transactions!$C$5:$C$504,$A25,Transactions!$I$5:$I$504,6,Transactions!$J$5:$J$504,Setup!$F$4))</f>
        <v/>
      </c>
      <c r="H25" s="129">
        <f>IF($A25="","",SUMIFS(Transactions!$E$5:$E$504,Transactions!$B$5:$B$504,"Expense",Transactions!$C$5:$C$504,$A25,Transactions!$I$5:$I$504,7,Transactions!$J$5:$J$504,Setup!$F$4))</f>
        <v/>
      </c>
      <c r="I25" s="129">
        <f>IF($A25="","",SUMIFS(Transactions!$E$5:$E$504,Transactions!$B$5:$B$504,"Expense",Transactions!$C$5:$C$504,$A25,Transactions!$I$5:$I$504,8,Transactions!$J$5:$J$504,Setup!$F$4))</f>
        <v/>
      </c>
      <c r="J25" s="129">
        <f>IF($A25="","",SUMIFS(Transactions!$E$5:$E$504,Transactions!$B$5:$B$504,"Expense",Transactions!$C$5:$C$504,$A25,Transactions!$I$5:$I$504,9,Transactions!$J$5:$J$504,Setup!$F$4))</f>
        <v/>
      </c>
      <c r="K25" s="129">
        <f>IF($A25="","",SUMIFS(Transactions!$E$5:$E$504,Transactions!$B$5:$B$504,"Expense",Transactions!$C$5:$C$504,$A25,Transactions!$I$5:$I$504,10,Transactions!$J$5:$J$504,Setup!$F$4))</f>
        <v/>
      </c>
      <c r="L25" s="129">
        <f>IF($A25="","",SUMIFS(Transactions!$E$5:$E$504,Transactions!$B$5:$B$504,"Expense",Transactions!$C$5:$C$504,$A25,Transactions!$I$5:$I$504,11,Transactions!$J$5:$J$504,Setup!$F$4))</f>
        <v/>
      </c>
      <c r="M25" s="129">
        <f>IF($A25="","",SUMIFS(Transactions!$E$5:$E$504,Transactions!$B$5:$B$504,"Expense",Transactions!$C$5:$C$504,$A25,Transactions!$I$5:$I$504,12,Transactions!$J$5:$J$504,Setup!$F$4))</f>
        <v/>
      </c>
      <c r="N25" s="130">
        <f>IF($A25="","",SUM(B25:M25))</f>
        <v/>
      </c>
      <c r="O25" s="129">
        <f>IF($A25="","",N25/12)</f>
        <v/>
      </c>
      <c r="P25" s="88" t="n"/>
      <c r="Q25" s="88" t="n"/>
      <c r="R25" s="88" t="n"/>
      <c r="S25" s="88" t="n"/>
      <c r="T25" s="88" t="n"/>
      <c r="U25" s="88" t="n"/>
      <c r="V25" s="88" t="n"/>
      <c r="W25" s="88" t="n"/>
      <c r="X25" s="88" t="n"/>
      <c r="Y25" s="88" t="n"/>
      <c r="Z25" s="88" t="n"/>
    </row>
    <row r="26" ht="15" customHeight="1" s="86">
      <c r="A26" s="103">
        <f>IF(Setup!D16="","",Setup!D16)</f>
        <v/>
      </c>
      <c r="B26" s="129">
        <f>IF($A26="","",SUMIFS(Transactions!$E$5:$E$504,Transactions!$B$5:$B$504,"Expense",Transactions!$C$5:$C$504,$A26,Transactions!$I$5:$I$504,1,Transactions!$J$5:$J$504,Setup!$F$4))</f>
        <v/>
      </c>
      <c r="C26" s="129">
        <f>IF($A26="","",SUMIFS(Transactions!$E$5:$E$504,Transactions!$B$5:$B$504,"Expense",Transactions!$C$5:$C$504,$A26,Transactions!$I$5:$I$504,2,Transactions!$J$5:$J$504,Setup!$F$4))</f>
        <v/>
      </c>
      <c r="D26" s="129">
        <f>IF($A26="","",SUMIFS(Transactions!$E$5:$E$504,Transactions!$B$5:$B$504,"Expense",Transactions!$C$5:$C$504,$A26,Transactions!$I$5:$I$504,3,Transactions!$J$5:$J$504,Setup!$F$4))</f>
        <v/>
      </c>
      <c r="E26" s="129">
        <f>IF($A26="","",SUMIFS(Transactions!$E$5:$E$504,Transactions!$B$5:$B$504,"Expense",Transactions!$C$5:$C$504,$A26,Transactions!$I$5:$I$504,4,Transactions!$J$5:$J$504,Setup!$F$4))</f>
        <v/>
      </c>
      <c r="F26" s="129">
        <f>IF($A26="","",SUMIFS(Transactions!$E$5:$E$504,Transactions!$B$5:$B$504,"Expense",Transactions!$C$5:$C$504,$A26,Transactions!$I$5:$I$504,5,Transactions!$J$5:$J$504,Setup!$F$4))</f>
        <v/>
      </c>
      <c r="G26" s="129">
        <f>IF($A26="","",SUMIFS(Transactions!$E$5:$E$504,Transactions!$B$5:$B$504,"Expense",Transactions!$C$5:$C$504,$A26,Transactions!$I$5:$I$504,6,Transactions!$J$5:$J$504,Setup!$F$4))</f>
        <v/>
      </c>
      <c r="H26" s="129">
        <f>IF($A26="","",SUMIFS(Transactions!$E$5:$E$504,Transactions!$B$5:$B$504,"Expense",Transactions!$C$5:$C$504,$A26,Transactions!$I$5:$I$504,7,Transactions!$J$5:$J$504,Setup!$F$4))</f>
        <v/>
      </c>
      <c r="I26" s="129">
        <f>IF($A26="","",SUMIFS(Transactions!$E$5:$E$504,Transactions!$B$5:$B$504,"Expense",Transactions!$C$5:$C$504,$A26,Transactions!$I$5:$I$504,8,Transactions!$J$5:$J$504,Setup!$F$4))</f>
        <v/>
      </c>
      <c r="J26" s="129">
        <f>IF($A26="","",SUMIFS(Transactions!$E$5:$E$504,Transactions!$B$5:$B$504,"Expense",Transactions!$C$5:$C$504,$A26,Transactions!$I$5:$I$504,9,Transactions!$J$5:$J$504,Setup!$F$4))</f>
        <v/>
      </c>
      <c r="K26" s="129">
        <f>IF($A26="","",SUMIFS(Transactions!$E$5:$E$504,Transactions!$B$5:$B$504,"Expense",Transactions!$C$5:$C$504,$A26,Transactions!$I$5:$I$504,10,Transactions!$J$5:$J$504,Setup!$F$4))</f>
        <v/>
      </c>
      <c r="L26" s="129">
        <f>IF($A26="","",SUMIFS(Transactions!$E$5:$E$504,Transactions!$B$5:$B$504,"Expense",Transactions!$C$5:$C$504,$A26,Transactions!$I$5:$I$504,11,Transactions!$J$5:$J$504,Setup!$F$4))</f>
        <v/>
      </c>
      <c r="M26" s="129">
        <f>IF($A26="","",SUMIFS(Transactions!$E$5:$E$504,Transactions!$B$5:$B$504,"Expense",Transactions!$C$5:$C$504,$A26,Transactions!$I$5:$I$504,12,Transactions!$J$5:$J$504,Setup!$F$4))</f>
        <v/>
      </c>
      <c r="N26" s="130">
        <f>IF($A26="","",SUM(B26:M26))</f>
        <v/>
      </c>
      <c r="O26" s="129">
        <f>IF($A26="","",N26/12)</f>
        <v/>
      </c>
      <c r="P26" s="88" t="n"/>
      <c r="Q26" s="88" t="n"/>
      <c r="R26" s="88" t="n"/>
      <c r="S26" s="88" t="n"/>
      <c r="T26" s="88" t="n"/>
      <c r="U26" s="88" t="n"/>
      <c r="V26" s="88" t="n"/>
      <c r="W26" s="88" t="n"/>
      <c r="X26" s="88" t="n"/>
      <c r="Y26" s="88" t="n"/>
      <c r="Z26" s="88" t="n"/>
    </row>
    <row r="27" ht="15" customHeight="1" s="86">
      <c r="A27" s="103">
        <f>IF(Setup!D17="","",Setup!D17)</f>
        <v/>
      </c>
      <c r="B27" s="129">
        <f>IF($A27="","",SUMIFS(Transactions!$E$5:$E$504,Transactions!$B$5:$B$504,"Expense",Transactions!$C$5:$C$504,$A27,Transactions!$I$5:$I$504,1,Transactions!$J$5:$J$504,Setup!$F$4))</f>
        <v/>
      </c>
      <c r="C27" s="129">
        <f>IF($A27="","",SUMIFS(Transactions!$E$5:$E$504,Transactions!$B$5:$B$504,"Expense",Transactions!$C$5:$C$504,$A27,Transactions!$I$5:$I$504,2,Transactions!$J$5:$J$504,Setup!$F$4))</f>
        <v/>
      </c>
      <c r="D27" s="129">
        <f>IF($A27="","",SUMIFS(Transactions!$E$5:$E$504,Transactions!$B$5:$B$504,"Expense",Transactions!$C$5:$C$504,$A27,Transactions!$I$5:$I$504,3,Transactions!$J$5:$J$504,Setup!$F$4))</f>
        <v/>
      </c>
      <c r="E27" s="129">
        <f>IF($A27="","",SUMIFS(Transactions!$E$5:$E$504,Transactions!$B$5:$B$504,"Expense",Transactions!$C$5:$C$504,$A27,Transactions!$I$5:$I$504,4,Transactions!$J$5:$J$504,Setup!$F$4))</f>
        <v/>
      </c>
      <c r="F27" s="129">
        <f>IF($A27="","",SUMIFS(Transactions!$E$5:$E$504,Transactions!$B$5:$B$504,"Expense",Transactions!$C$5:$C$504,$A27,Transactions!$I$5:$I$504,5,Transactions!$J$5:$J$504,Setup!$F$4))</f>
        <v/>
      </c>
      <c r="G27" s="129">
        <f>IF($A27="","",SUMIFS(Transactions!$E$5:$E$504,Transactions!$B$5:$B$504,"Expense",Transactions!$C$5:$C$504,$A27,Transactions!$I$5:$I$504,6,Transactions!$J$5:$J$504,Setup!$F$4))</f>
        <v/>
      </c>
      <c r="H27" s="129">
        <f>IF($A27="","",SUMIFS(Transactions!$E$5:$E$504,Transactions!$B$5:$B$504,"Expense",Transactions!$C$5:$C$504,$A27,Transactions!$I$5:$I$504,7,Transactions!$J$5:$J$504,Setup!$F$4))</f>
        <v/>
      </c>
      <c r="I27" s="129">
        <f>IF($A27="","",SUMIFS(Transactions!$E$5:$E$504,Transactions!$B$5:$B$504,"Expense",Transactions!$C$5:$C$504,$A27,Transactions!$I$5:$I$504,8,Transactions!$J$5:$J$504,Setup!$F$4))</f>
        <v/>
      </c>
      <c r="J27" s="129">
        <f>IF($A27="","",SUMIFS(Transactions!$E$5:$E$504,Transactions!$B$5:$B$504,"Expense",Transactions!$C$5:$C$504,$A27,Transactions!$I$5:$I$504,9,Transactions!$J$5:$J$504,Setup!$F$4))</f>
        <v/>
      </c>
      <c r="K27" s="129">
        <f>IF($A27="","",SUMIFS(Transactions!$E$5:$E$504,Transactions!$B$5:$B$504,"Expense",Transactions!$C$5:$C$504,$A27,Transactions!$I$5:$I$504,10,Transactions!$J$5:$J$504,Setup!$F$4))</f>
        <v/>
      </c>
      <c r="L27" s="129">
        <f>IF($A27="","",SUMIFS(Transactions!$E$5:$E$504,Transactions!$B$5:$B$504,"Expense",Transactions!$C$5:$C$504,$A27,Transactions!$I$5:$I$504,11,Transactions!$J$5:$J$504,Setup!$F$4))</f>
        <v/>
      </c>
      <c r="M27" s="129">
        <f>IF($A27="","",SUMIFS(Transactions!$E$5:$E$504,Transactions!$B$5:$B$504,"Expense",Transactions!$C$5:$C$504,$A27,Transactions!$I$5:$I$504,12,Transactions!$J$5:$J$504,Setup!$F$4))</f>
        <v/>
      </c>
      <c r="N27" s="130">
        <f>IF($A27="","",SUM(B27:M27))</f>
        <v/>
      </c>
      <c r="O27" s="129">
        <f>IF($A27="","",N27/12)</f>
        <v/>
      </c>
      <c r="P27" s="88" t="n"/>
      <c r="Q27" s="88" t="n"/>
      <c r="R27" s="88" t="n"/>
      <c r="S27" s="88" t="n"/>
      <c r="T27" s="88" t="n"/>
      <c r="U27" s="88" t="n"/>
      <c r="V27" s="88" t="n"/>
      <c r="W27" s="88" t="n"/>
      <c r="X27" s="88" t="n"/>
      <c r="Y27" s="88" t="n"/>
      <c r="Z27" s="88" t="n"/>
    </row>
    <row r="28" ht="15" customHeight="1" s="86">
      <c r="A28" s="103">
        <f>IF(Setup!D18="","",Setup!D18)</f>
        <v/>
      </c>
      <c r="B28" s="129">
        <f>IF($A28="","",SUMIFS(Transactions!$E$5:$E$504,Transactions!$B$5:$B$504,"Expense",Transactions!$C$5:$C$504,$A28,Transactions!$I$5:$I$504,1,Transactions!$J$5:$J$504,Setup!$F$4))</f>
        <v/>
      </c>
      <c r="C28" s="129">
        <f>IF($A28="","",SUMIFS(Transactions!$E$5:$E$504,Transactions!$B$5:$B$504,"Expense",Transactions!$C$5:$C$504,$A28,Transactions!$I$5:$I$504,2,Transactions!$J$5:$J$504,Setup!$F$4))</f>
        <v/>
      </c>
      <c r="D28" s="129">
        <f>IF($A28="","",SUMIFS(Transactions!$E$5:$E$504,Transactions!$B$5:$B$504,"Expense",Transactions!$C$5:$C$504,$A28,Transactions!$I$5:$I$504,3,Transactions!$J$5:$J$504,Setup!$F$4))</f>
        <v/>
      </c>
      <c r="E28" s="129">
        <f>IF($A28="","",SUMIFS(Transactions!$E$5:$E$504,Transactions!$B$5:$B$504,"Expense",Transactions!$C$5:$C$504,$A28,Transactions!$I$5:$I$504,4,Transactions!$J$5:$J$504,Setup!$F$4))</f>
        <v/>
      </c>
      <c r="F28" s="129">
        <f>IF($A28="","",SUMIFS(Transactions!$E$5:$E$504,Transactions!$B$5:$B$504,"Expense",Transactions!$C$5:$C$504,$A28,Transactions!$I$5:$I$504,5,Transactions!$J$5:$J$504,Setup!$F$4))</f>
        <v/>
      </c>
      <c r="G28" s="129">
        <f>IF($A28="","",SUMIFS(Transactions!$E$5:$E$504,Transactions!$B$5:$B$504,"Expense",Transactions!$C$5:$C$504,$A28,Transactions!$I$5:$I$504,6,Transactions!$J$5:$J$504,Setup!$F$4))</f>
        <v/>
      </c>
      <c r="H28" s="129">
        <f>IF($A28="","",SUMIFS(Transactions!$E$5:$E$504,Transactions!$B$5:$B$504,"Expense",Transactions!$C$5:$C$504,$A28,Transactions!$I$5:$I$504,7,Transactions!$J$5:$J$504,Setup!$F$4))</f>
        <v/>
      </c>
      <c r="I28" s="129">
        <f>IF($A28="","",SUMIFS(Transactions!$E$5:$E$504,Transactions!$B$5:$B$504,"Expense",Transactions!$C$5:$C$504,$A28,Transactions!$I$5:$I$504,8,Transactions!$J$5:$J$504,Setup!$F$4))</f>
        <v/>
      </c>
      <c r="J28" s="129">
        <f>IF($A28="","",SUMIFS(Transactions!$E$5:$E$504,Transactions!$B$5:$B$504,"Expense",Transactions!$C$5:$C$504,$A28,Transactions!$I$5:$I$504,9,Transactions!$J$5:$J$504,Setup!$F$4))</f>
        <v/>
      </c>
      <c r="K28" s="129">
        <f>IF($A28="","",SUMIFS(Transactions!$E$5:$E$504,Transactions!$B$5:$B$504,"Expense",Transactions!$C$5:$C$504,$A28,Transactions!$I$5:$I$504,10,Transactions!$J$5:$J$504,Setup!$F$4))</f>
        <v/>
      </c>
      <c r="L28" s="129">
        <f>IF($A28="","",SUMIFS(Transactions!$E$5:$E$504,Transactions!$B$5:$B$504,"Expense",Transactions!$C$5:$C$504,$A28,Transactions!$I$5:$I$504,11,Transactions!$J$5:$J$504,Setup!$F$4))</f>
        <v/>
      </c>
      <c r="M28" s="129">
        <f>IF($A28="","",SUMIFS(Transactions!$E$5:$E$504,Transactions!$B$5:$B$504,"Expense",Transactions!$C$5:$C$504,$A28,Transactions!$I$5:$I$504,12,Transactions!$J$5:$J$504,Setup!$F$4))</f>
        <v/>
      </c>
      <c r="N28" s="130">
        <f>IF($A28="","",SUM(B28:M28))</f>
        <v/>
      </c>
      <c r="O28" s="129">
        <f>IF($A28="","",N28/12)</f>
        <v/>
      </c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  <c r="Z28" s="88" t="n"/>
    </row>
    <row r="29" ht="15" customHeight="1" s="86">
      <c r="A29" s="103">
        <f>IF(Setup!D19="","",Setup!D19)</f>
        <v/>
      </c>
      <c r="B29" s="129">
        <f>IF($A29="","",SUMIFS(Transactions!$E$5:$E$504,Transactions!$B$5:$B$504,"Expense",Transactions!$C$5:$C$504,$A29,Transactions!$I$5:$I$504,1,Transactions!$J$5:$J$504,Setup!$F$4))</f>
        <v/>
      </c>
      <c r="C29" s="129">
        <f>IF($A29="","",SUMIFS(Transactions!$E$5:$E$504,Transactions!$B$5:$B$504,"Expense",Transactions!$C$5:$C$504,$A29,Transactions!$I$5:$I$504,2,Transactions!$J$5:$J$504,Setup!$F$4))</f>
        <v/>
      </c>
      <c r="D29" s="129">
        <f>IF($A29="","",SUMIFS(Transactions!$E$5:$E$504,Transactions!$B$5:$B$504,"Expense",Transactions!$C$5:$C$504,$A29,Transactions!$I$5:$I$504,3,Transactions!$J$5:$J$504,Setup!$F$4))</f>
        <v/>
      </c>
      <c r="E29" s="129">
        <f>IF($A29="","",SUMIFS(Transactions!$E$5:$E$504,Transactions!$B$5:$B$504,"Expense",Transactions!$C$5:$C$504,$A29,Transactions!$I$5:$I$504,4,Transactions!$J$5:$J$504,Setup!$F$4))</f>
        <v/>
      </c>
      <c r="F29" s="129">
        <f>IF($A29="","",SUMIFS(Transactions!$E$5:$E$504,Transactions!$B$5:$B$504,"Expense",Transactions!$C$5:$C$504,$A29,Transactions!$I$5:$I$504,5,Transactions!$J$5:$J$504,Setup!$F$4))</f>
        <v/>
      </c>
      <c r="G29" s="129">
        <f>IF($A29="","",SUMIFS(Transactions!$E$5:$E$504,Transactions!$B$5:$B$504,"Expense",Transactions!$C$5:$C$504,$A29,Transactions!$I$5:$I$504,6,Transactions!$J$5:$J$504,Setup!$F$4))</f>
        <v/>
      </c>
      <c r="H29" s="129">
        <f>IF($A29="","",SUMIFS(Transactions!$E$5:$E$504,Transactions!$B$5:$B$504,"Expense",Transactions!$C$5:$C$504,$A29,Transactions!$I$5:$I$504,7,Transactions!$J$5:$J$504,Setup!$F$4))</f>
        <v/>
      </c>
      <c r="I29" s="129">
        <f>IF($A29="","",SUMIFS(Transactions!$E$5:$E$504,Transactions!$B$5:$B$504,"Expense",Transactions!$C$5:$C$504,$A29,Transactions!$I$5:$I$504,8,Transactions!$J$5:$J$504,Setup!$F$4))</f>
        <v/>
      </c>
      <c r="J29" s="129">
        <f>IF($A29="","",SUMIFS(Transactions!$E$5:$E$504,Transactions!$B$5:$B$504,"Expense",Transactions!$C$5:$C$504,$A29,Transactions!$I$5:$I$504,9,Transactions!$J$5:$J$504,Setup!$F$4))</f>
        <v/>
      </c>
      <c r="K29" s="129">
        <f>IF($A29="","",SUMIFS(Transactions!$E$5:$E$504,Transactions!$B$5:$B$504,"Expense",Transactions!$C$5:$C$504,$A29,Transactions!$I$5:$I$504,10,Transactions!$J$5:$J$504,Setup!$F$4))</f>
        <v/>
      </c>
      <c r="L29" s="129">
        <f>IF($A29="","",SUMIFS(Transactions!$E$5:$E$504,Transactions!$B$5:$B$504,"Expense",Transactions!$C$5:$C$504,$A29,Transactions!$I$5:$I$504,11,Transactions!$J$5:$J$504,Setup!$F$4))</f>
        <v/>
      </c>
      <c r="M29" s="129">
        <f>IF($A29="","",SUMIFS(Transactions!$E$5:$E$504,Transactions!$B$5:$B$504,"Expense",Transactions!$C$5:$C$504,$A29,Transactions!$I$5:$I$504,12,Transactions!$J$5:$J$504,Setup!$F$4))</f>
        <v/>
      </c>
      <c r="N29" s="130">
        <f>IF($A29="","",SUM(B29:M29))</f>
        <v/>
      </c>
      <c r="O29" s="129">
        <f>IF($A29="","",N29/12)</f>
        <v/>
      </c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8" t="n"/>
      <c r="Z29" s="88" t="n"/>
    </row>
    <row r="30" ht="15" customHeight="1" s="86">
      <c r="A30" s="103">
        <f>IF(Setup!D20="","",Setup!D20)</f>
        <v/>
      </c>
      <c r="B30" s="129">
        <f>IF($A30="","",SUMIFS(Transactions!$E$5:$E$504,Transactions!$B$5:$B$504,"Expense",Transactions!$C$5:$C$504,$A30,Transactions!$I$5:$I$504,1,Transactions!$J$5:$J$504,Setup!$F$4))</f>
        <v/>
      </c>
      <c r="C30" s="129">
        <f>IF($A30="","",SUMIFS(Transactions!$E$5:$E$504,Transactions!$B$5:$B$504,"Expense",Transactions!$C$5:$C$504,$A30,Transactions!$I$5:$I$504,2,Transactions!$J$5:$J$504,Setup!$F$4))</f>
        <v/>
      </c>
      <c r="D30" s="129">
        <f>IF($A30="","",SUMIFS(Transactions!$E$5:$E$504,Transactions!$B$5:$B$504,"Expense",Transactions!$C$5:$C$504,$A30,Transactions!$I$5:$I$504,3,Transactions!$J$5:$J$504,Setup!$F$4))</f>
        <v/>
      </c>
      <c r="E30" s="129">
        <f>IF($A30="","",SUMIFS(Transactions!$E$5:$E$504,Transactions!$B$5:$B$504,"Expense",Transactions!$C$5:$C$504,$A30,Transactions!$I$5:$I$504,4,Transactions!$J$5:$J$504,Setup!$F$4))</f>
        <v/>
      </c>
      <c r="F30" s="129">
        <f>IF($A30="","",SUMIFS(Transactions!$E$5:$E$504,Transactions!$B$5:$B$504,"Expense",Transactions!$C$5:$C$504,$A30,Transactions!$I$5:$I$504,5,Transactions!$J$5:$J$504,Setup!$F$4))</f>
        <v/>
      </c>
      <c r="G30" s="129">
        <f>IF($A30="","",SUMIFS(Transactions!$E$5:$E$504,Transactions!$B$5:$B$504,"Expense",Transactions!$C$5:$C$504,$A30,Transactions!$I$5:$I$504,6,Transactions!$J$5:$J$504,Setup!$F$4))</f>
        <v/>
      </c>
      <c r="H30" s="129">
        <f>IF($A30="","",SUMIFS(Transactions!$E$5:$E$504,Transactions!$B$5:$B$504,"Expense",Transactions!$C$5:$C$504,$A30,Transactions!$I$5:$I$504,7,Transactions!$J$5:$J$504,Setup!$F$4))</f>
        <v/>
      </c>
      <c r="I30" s="129">
        <f>IF($A30="","",SUMIFS(Transactions!$E$5:$E$504,Transactions!$B$5:$B$504,"Expense",Transactions!$C$5:$C$504,$A30,Transactions!$I$5:$I$504,8,Transactions!$J$5:$J$504,Setup!$F$4))</f>
        <v/>
      </c>
      <c r="J30" s="129">
        <f>IF($A30="","",SUMIFS(Transactions!$E$5:$E$504,Transactions!$B$5:$B$504,"Expense",Transactions!$C$5:$C$504,$A30,Transactions!$I$5:$I$504,9,Transactions!$J$5:$J$504,Setup!$F$4))</f>
        <v/>
      </c>
      <c r="K30" s="129">
        <f>IF($A30="","",SUMIFS(Transactions!$E$5:$E$504,Transactions!$B$5:$B$504,"Expense",Transactions!$C$5:$C$504,$A30,Transactions!$I$5:$I$504,10,Transactions!$J$5:$J$504,Setup!$F$4))</f>
        <v/>
      </c>
      <c r="L30" s="129">
        <f>IF($A30="","",SUMIFS(Transactions!$E$5:$E$504,Transactions!$B$5:$B$504,"Expense",Transactions!$C$5:$C$504,$A30,Transactions!$I$5:$I$504,11,Transactions!$J$5:$J$504,Setup!$F$4))</f>
        <v/>
      </c>
      <c r="M30" s="129">
        <f>IF($A30="","",SUMIFS(Transactions!$E$5:$E$504,Transactions!$B$5:$B$504,"Expense",Transactions!$C$5:$C$504,$A30,Transactions!$I$5:$I$504,12,Transactions!$J$5:$J$504,Setup!$F$4))</f>
        <v/>
      </c>
      <c r="N30" s="130">
        <f>IF($A30="","",SUM(B30:M30))</f>
        <v/>
      </c>
      <c r="O30" s="129">
        <f>IF($A30="","",N30/12)</f>
        <v/>
      </c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  <c r="Y30" s="88" t="n"/>
      <c r="Z30" s="88" t="n"/>
    </row>
    <row r="31" ht="15" customHeight="1" s="86">
      <c r="A31" s="88" t="n"/>
      <c r="B31" s="88" t="n"/>
      <c r="C31" s="88" t="n"/>
      <c r="D31" s="88" t="n"/>
      <c r="E31" s="88" t="n"/>
      <c r="F31" s="88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  <c r="Y31" s="88" t="n"/>
      <c r="Z31" s="88" t="n"/>
    </row>
    <row r="32" ht="15" customHeight="1" s="86">
      <c r="A32" s="100" t="inlineStr">
        <is>
          <t>50 / 30 / 20 (year)</t>
        </is>
      </c>
      <c r="B32" s="131" t="n"/>
      <c r="C32" s="131" t="n"/>
      <c r="D32" s="132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8" t="n"/>
      <c r="W32" s="88" t="n"/>
      <c r="X32" s="88" t="n"/>
      <c r="Y32" s="88" t="n"/>
      <c r="Z32" s="88" t="n"/>
    </row>
    <row r="33" ht="15" customHeight="1" s="86">
      <c r="A33" s="88" t="n"/>
      <c r="B33" s="106" t="inlineStr">
        <is>
          <t>Actual</t>
        </is>
      </c>
      <c r="C33" s="106" t="inlineStr">
        <is>
          <t>Target</t>
        </is>
      </c>
      <c r="D33" s="106" t="inlineStr">
        <is>
          <t>Diff</t>
        </is>
      </c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8" t="n"/>
      <c r="W33" s="88" t="n"/>
      <c r="X33" s="88" t="n"/>
      <c r="Y33" s="88" t="n"/>
      <c r="Z33" s="88" t="n"/>
    </row>
    <row r="34" ht="15" customHeight="1" s="86">
      <c r="A34" s="133" t="inlineStr">
        <is>
          <t>Needs</t>
        </is>
      </c>
      <c r="B34" s="124">
        <f>SUMIFS(Transactions!$E$5:$E$504,Transactions!$B$5:$B$504,"Expense",Transactions!$K$5:$K$504,"needs",Transactions!$J$5:$J$504,Setup!$F$4)+IF("needs"="savings",SUMIFS(Transactions!$E$5:$E$504,Transactions!$B$5:$B$504,"Transfer",Transactions!$J$5:$J$504,Setup!$F$4),0)</f>
        <v/>
      </c>
      <c r="C34" s="124">
        <f>IF(Setup!$J$4=0,$B$7*0.5,Setup!$J$4*12*0.5)</f>
        <v/>
      </c>
      <c r="D34" s="124">
        <f>C34-B34</f>
        <v/>
      </c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8" t="n"/>
      <c r="W34" s="88" t="n"/>
      <c r="X34" s="88" t="n"/>
      <c r="Y34" s="88" t="n"/>
      <c r="Z34" s="88" t="n"/>
    </row>
    <row r="35" ht="15" customHeight="1" s="86">
      <c r="A35" s="133" t="inlineStr">
        <is>
          <t>Wants</t>
        </is>
      </c>
      <c r="B35" s="124">
        <f>SUMIFS(Transactions!$E$5:$E$504,Transactions!$B$5:$B$504,"Expense",Transactions!$K$5:$K$504,"wants",Transactions!$J$5:$J$504,Setup!$F$4)+IF("wants"="savings",SUMIFS(Transactions!$E$5:$E$504,Transactions!$B$5:$B$504,"Transfer",Transactions!$J$5:$J$504,Setup!$F$4),0)</f>
        <v/>
      </c>
      <c r="C35" s="124">
        <f>IF(Setup!$J$4=0,$B$7*0.3,Setup!$J$4*12*0.3)</f>
        <v/>
      </c>
      <c r="D35" s="124">
        <f>C35-B35</f>
        <v/>
      </c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8" t="n"/>
      <c r="X35" s="88" t="n"/>
      <c r="Y35" s="88" t="n"/>
      <c r="Z35" s="88" t="n"/>
    </row>
    <row r="36" ht="15" customHeight="1" s="86">
      <c r="A36" s="133" t="inlineStr">
        <is>
          <t>Savings</t>
        </is>
      </c>
      <c r="B36" s="124">
        <f>SUMIFS(Transactions!$E$5:$E$504,Transactions!$B$5:$B$504,"Expense",Transactions!$K$5:$K$504,"savings",Transactions!$J$5:$J$504,Setup!$F$4)+IF("savings"="savings",SUMIFS(Transactions!$E$5:$E$504,Transactions!$B$5:$B$504,"Transfer",Transactions!$J$5:$J$504,Setup!$F$4),0)</f>
        <v/>
      </c>
      <c r="C36" s="124">
        <f>IF(Setup!$J$4=0,$B$7*0.2,Setup!$J$4*12*0.2)</f>
        <v/>
      </c>
      <c r="D36" s="124">
        <f>C36-B36</f>
        <v/>
      </c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  <c r="Y36" s="88" t="n"/>
      <c r="Z36" s="88" t="n"/>
    </row>
    <row r="37" ht="15" customHeight="1" s="86">
      <c r="A37" s="88" t="n"/>
      <c r="B37" s="88" t="n"/>
      <c r="C37" s="88" t="n"/>
      <c r="D37" s="88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8" t="n"/>
      <c r="X37" s="88" t="n"/>
      <c r="Y37" s="88" t="n"/>
      <c r="Z37" s="88" t="n"/>
    </row>
    <row r="38" ht="15" customHeight="1" s="86">
      <c r="A38" s="88" t="n"/>
      <c r="B38" s="88" t="n"/>
      <c r="C38" s="88" t="n"/>
      <c r="D38" s="88" t="n"/>
      <c r="E38" s="88" t="n"/>
      <c r="F38" s="88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8" t="n"/>
      <c r="W38" s="88" t="n"/>
      <c r="X38" s="88" t="n"/>
      <c r="Y38" s="88" t="n"/>
      <c r="Z38" s="88" t="n"/>
    </row>
    <row r="39" ht="15" customHeight="1" s="86">
      <c r="A39" s="88" t="n"/>
      <c r="B39" s="88" t="n"/>
      <c r="C39" s="88" t="n"/>
      <c r="D39" s="88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8" t="n"/>
      <c r="X39" s="88" t="n"/>
      <c r="Y39" s="88" t="n"/>
      <c r="Z39" s="88" t="n"/>
    </row>
    <row r="40" ht="15" customHeight="1" s="86">
      <c r="A40" s="88" t="n"/>
      <c r="B40" s="88" t="n"/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8" t="n"/>
      <c r="X40" s="88" t="n"/>
      <c r="Y40" s="88" t="n"/>
      <c r="Z40" s="88" t="n"/>
    </row>
    <row r="41" ht="15" customHeight="1" s="86">
      <c r="A41" s="88" t="n"/>
      <c r="B41" s="88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8" t="n"/>
      <c r="X41" s="88" t="n"/>
      <c r="Y41" s="88" t="n"/>
      <c r="Z41" s="88" t="n"/>
    </row>
    <row r="42" ht="15" customHeight="1" s="86">
      <c r="A42" s="88" t="n"/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8" t="n"/>
      <c r="X42" s="88" t="n"/>
      <c r="Y42" s="88" t="n"/>
      <c r="Z42" s="88" t="n"/>
    </row>
    <row r="43" ht="15" customHeight="1" s="86">
      <c r="A43" s="88" t="n"/>
      <c r="B43" s="88" t="n"/>
      <c r="C43" s="88" t="n"/>
      <c r="D43" s="88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8" t="n"/>
      <c r="W43" s="88" t="n"/>
      <c r="X43" s="88" t="n"/>
      <c r="Y43" s="88" t="n"/>
      <c r="Z43" s="88" t="n"/>
    </row>
    <row r="44" ht="15" customHeight="1" s="86">
      <c r="A44" s="88" t="n"/>
      <c r="B44" s="88" t="n"/>
      <c r="C44" s="88" t="n"/>
      <c r="D44" s="88" t="n"/>
      <c r="E44" s="88" t="n"/>
      <c r="F44" s="88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8" t="n"/>
      <c r="W44" s="88" t="n"/>
      <c r="X44" s="88" t="n"/>
      <c r="Y44" s="88" t="n"/>
      <c r="Z44" s="88" t="n"/>
    </row>
    <row r="45" ht="15" customHeight="1" s="86">
      <c r="A45" s="88" t="n"/>
      <c r="B45" s="88" t="n"/>
      <c r="C45" s="88" t="n"/>
      <c r="D45" s="88" t="n"/>
      <c r="E45" s="88" t="n"/>
      <c r="F45" s="88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8" t="n"/>
      <c r="W45" s="88" t="n"/>
      <c r="X45" s="88" t="n"/>
      <c r="Y45" s="88" t="n"/>
      <c r="Z45" s="88" t="n"/>
    </row>
    <row r="46" ht="15" customHeight="1" s="86">
      <c r="A46" s="88" t="n"/>
      <c r="B46" s="88" t="n"/>
      <c r="C46" s="88" t="n"/>
      <c r="D46" s="88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8" t="n"/>
      <c r="W46" s="88" t="n"/>
      <c r="X46" s="88" t="n"/>
      <c r="Y46" s="88" t="n"/>
      <c r="Z46" s="88" t="n"/>
    </row>
    <row r="47" ht="15" customHeight="1" s="86">
      <c r="A47" s="88" t="n"/>
      <c r="B47" s="88" t="n"/>
      <c r="C47" s="88" t="n"/>
      <c r="D47" s="88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8" t="n"/>
      <c r="X47" s="88" t="n"/>
      <c r="Y47" s="88" t="n"/>
      <c r="Z47" s="88" t="n"/>
    </row>
    <row r="48" ht="15" customHeight="1" s="86">
      <c r="A48" s="88" t="n"/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</row>
    <row r="49" ht="15" customHeight="1" s="86">
      <c r="A49" s="88" t="n"/>
      <c r="B49" s="88" t="n"/>
      <c r="C49" s="88" t="n"/>
      <c r="D49" s="88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8" t="n"/>
      <c r="X49" s="88" t="n"/>
      <c r="Y49" s="88" t="n"/>
      <c r="Z49" s="88" t="n"/>
    </row>
    <row r="50" ht="15" customHeight="1" s="86">
      <c r="A50" s="88" t="n"/>
      <c r="B50" s="88" t="n"/>
      <c r="C50" s="88" t="n"/>
      <c r="D50" s="88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8" t="n"/>
      <c r="X50" s="88" t="n"/>
      <c r="Y50" s="88" t="n"/>
      <c r="Z50" s="88" t="n"/>
    </row>
    <row r="51" ht="15" customHeight="1" s="86">
      <c r="A51" s="88" t="n"/>
      <c r="B51" s="88" t="n"/>
      <c r="C51" s="88" t="n"/>
      <c r="D51" s="88" t="n"/>
      <c r="E51" s="88" t="n"/>
      <c r="F51" s="88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8" t="n"/>
      <c r="X51" s="88" t="n"/>
      <c r="Y51" s="88" t="n"/>
      <c r="Z51" s="88" t="n"/>
    </row>
    <row r="52" ht="15" customHeight="1" s="86">
      <c r="A52" s="88" t="n"/>
      <c r="B52" s="88" t="n"/>
      <c r="C52" s="88" t="n"/>
      <c r="D52" s="88" t="n"/>
      <c r="E52" s="88" t="n"/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8" t="n"/>
      <c r="X52" s="88" t="n"/>
      <c r="Y52" s="88" t="n"/>
      <c r="Z52" s="88" t="n"/>
    </row>
    <row r="53" ht="15" customHeight="1" s="86">
      <c r="A53" s="88" t="n"/>
      <c r="B53" s="88" t="n"/>
      <c r="C53" s="88" t="n"/>
      <c r="D53" s="88" t="n"/>
      <c r="E53" s="88" t="n"/>
      <c r="F53" s="88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8" t="n"/>
      <c r="W53" s="88" t="n"/>
      <c r="X53" s="88" t="n"/>
      <c r="Y53" s="88" t="n"/>
      <c r="Z53" s="88" t="n"/>
    </row>
    <row r="54" ht="15" customHeight="1" s="86">
      <c r="A54" s="88" t="n"/>
      <c r="B54" s="88" t="n"/>
      <c r="C54" s="88" t="n"/>
      <c r="D54" s="88" t="n"/>
      <c r="E54" s="88" t="n"/>
      <c r="F54" s="88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8" t="n"/>
      <c r="W54" s="88" t="n"/>
      <c r="X54" s="88" t="n"/>
      <c r="Y54" s="88" t="n"/>
      <c r="Z54" s="88" t="n"/>
    </row>
    <row r="55" ht="15" customHeight="1" s="86">
      <c r="A55" s="88" t="n"/>
      <c r="B55" s="88" t="n"/>
      <c r="C55" s="88" t="n"/>
      <c r="D55" s="88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8" t="n"/>
      <c r="Y55" s="88" t="n"/>
      <c r="Z55" s="88" t="n"/>
    </row>
    <row r="56" ht="15" customHeight="1" s="86">
      <c r="A56" s="88" t="n"/>
      <c r="B56" s="88" t="n"/>
      <c r="C56" s="88" t="n"/>
      <c r="D56" s="88" t="n"/>
      <c r="E56" s="88" t="n"/>
      <c r="F56" s="88" t="n"/>
      <c r="G56" s="88" t="n"/>
      <c r="H56" s="88" t="n"/>
      <c r="I56" s="88" t="n"/>
      <c r="J56" s="88" t="n"/>
      <c r="K56" s="88" t="n"/>
      <c r="L56" s="88" t="n"/>
      <c r="M56" s="88" t="n"/>
      <c r="N56" s="88" t="n"/>
      <c r="O56" s="88" t="n"/>
      <c r="P56" s="88" t="n"/>
      <c r="Q56" s="88" t="n"/>
      <c r="R56" s="88" t="n"/>
      <c r="S56" s="88" t="n"/>
      <c r="T56" s="88" t="n"/>
      <c r="U56" s="88" t="n"/>
      <c r="V56" s="88" t="n"/>
      <c r="W56" s="88" t="n"/>
      <c r="X56" s="88" t="n"/>
      <c r="Y56" s="88" t="n"/>
      <c r="Z56" s="88" t="n"/>
    </row>
    <row r="57" ht="15" customHeight="1" s="86">
      <c r="A57" s="88" t="n"/>
      <c r="B57" s="88" t="n"/>
      <c r="C57" s="88" t="n"/>
      <c r="D57" s="88" t="n"/>
      <c r="E57" s="88" t="n"/>
      <c r="F57" s="88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88" t="n"/>
      <c r="Q57" s="88" t="n"/>
      <c r="R57" s="88" t="n"/>
      <c r="S57" s="88" t="n"/>
      <c r="T57" s="88" t="n"/>
      <c r="U57" s="88" t="n"/>
      <c r="V57" s="88" t="n"/>
      <c r="W57" s="88" t="n"/>
      <c r="X57" s="88" t="n"/>
      <c r="Y57" s="88" t="n"/>
      <c r="Z57" s="88" t="n"/>
    </row>
    <row r="58" ht="15" customHeight="1" s="86">
      <c r="A58" s="88" t="n"/>
      <c r="B58" s="88" t="n"/>
      <c r="C58" s="88" t="n"/>
      <c r="D58" s="88" t="n"/>
      <c r="E58" s="88" t="n"/>
      <c r="F58" s="88" t="n"/>
      <c r="G58" s="88" t="n"/>
      <c r="H58" s="88" t="n"/>
      <c r="I58" s="88" t="n"/>
      <c r="J58" s="88" t="n"/>
      <c r="K58" s="88" t="n"/>
      <c r="L58" s="88" t="n"/>
      <c r="M58" s="88" t="n"/>
      <c r="N58" s="88" t="n"/>
      <c r="O58" s="88" t="n"/>
      <c r="P58" s="88" t="n"/>
      <c r="Q58" s="88" t="n"/>
      <c r="R58" s="88" t="n"/>
      <c r="S58" s="88" t="n"/>
      <c r="T58" s="88" t="n"/>
      <c r="U58" s="88" t="n"/>
      <c r="V58" s="88" t="n"/>
      <c r="W58" s="88" t="n"/>
      <c r="X58" s="88" t="n"/>
      <c r="Y58" s="88" t="n"/>
      <c r="Z58" s="88" t="n"/>
    </row>
    <row r="59" ht="15" customHeight="1" s="86">
      <c r="A59" s="88" t="n"/>
      <c r="B59" s="88" t="n"/>
      <c r="C59" s="88" t="n"/>
      <c r="D59" s="88" t="n"/>
      <c r="E59" s="88" t="n"/>
      <c r="F59" s="88" t="n"/>
      <c r="G59" s="88" t="n"/>
      <c r="H59" s="88" t="n"/>
      <c r="I59" s="88" t="n"/>
      <c r="J59" s="88" t="n"/>
      <c r="K59" s="88" t="n"/>
      <c r="L59" s="88" t="n"/>
      <c r="M59" s="88" t="n"/>
      <c r="N59" s="88" t="n"/>
      <c r="O59" s="88" t="n"/>
      <c r="P59" s="88" t="n"/>
      <c r="Q59" s="88" t="n"/>
      <c r="R59" s="88" t="n"/>
      <c r="S59" s="88" t="n"/>
      <c r="T59" s="88" t="n"/>
      <c r="U59" s="88" t="n"/>
      <c r="V59" s="88" t="n"/>
      <c r="W59" s="88" t="n"/>
      <c r="X59" s="88" t="n"/>
      <c r="Y59" s="88" t="n"/>
      <c r="Z59" s="88" t="n"/>
    </row>
    <row r="60" ht="15" customHeight="1" s="86">
      <c r="A60" s="88" t="n"/>
      <c r="B60" s="88" t="n"/>
      <c r="C60" s="88" t="n"/>
      <c r="D60" s="88" t="n"/>
      <c r="E60" s="88" t="n"/>
      <c r="F60" s="88" t="n"/>
      <c r="G60" s="88" t="n"/>
      <c r="H60" s="88" t="n"/>
      <c r="I60" s="88" t="n"/>
      <c r="J60" s="88" t="n"/>
      <c r="K60" s="88" t="n"/>
      <c r="L60" s="88" t="n"/>
      <c r="M60" s="88" t="n"/>
      <c r="N60" s="88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  <c r="Y60" s="88" t="n"/>
      <c r="Z60" s="88" t="n"/>
    </row>
    <row r="61" ht="15" customHeight="1" s="86">
      <c r="A61" s="88" t="n"/>
      <c r="B61" s="88" t="n"/>
      <c r="C61" s="88" t="n"/>
      <c r="D61" s="88" t="n"/>
      <c r="E61" s="88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8" t="n"/>
      <c r="Y61" s="88" t="n"/>
      <c r="Z61" s="88" t="n"/>
    </row>
    <row r="62" ht="15" customHeight="1" s="86">
      <c r="A62" s="88" t="n"/>
      <c r="B62" s="88" t="n"/>
      <c r="C62" s="88" t="n"/>
      <c r="D62" s="88" t="n"/>
      <c r="E62" s="88" t="n"/>
      <c r="F62" s="88" t="n"/>
      <c r="G62" s="88" t="n"/>
      <c r="H62" s="88" t="n"/>
      <c r="I62" s="88" t="n"/>
      <c r="J62" s="88" t="n"/>
      <c r="K62" s="88" t="n"/>
      <c r="L62" s="88" t="n"/>
      <c r="M62" s="88" t="n"/>
      <c r="N62" s="88" t="n"/>
      <c r="O62" s="88" t="n"/>
      <c r="P62" s="88" t="n"/>
      <c r="Q62" s="88" t="n"/>
      <c r="R62" s="88" t="n"/>
      <c r="S62" s="88" t="n"/>
      <c r="T62" s="88" t="n"/>
      <c r="U62" s="88" t="n"/>
      <c r="V62" s="88" t="n"/>
      <c r="W62" s="88" t="n"/>
      <c r="X62" s="88" t="n"/>
      <c r="Y62" s="88" t="n"/>
      <c r="Z62" s="88" t="n"/>
    </row>
    <row r="63" ht="15" customHeight="1" s="86">
      <c r="A63" s="88" t="n"/>
      <c r="B63" s="88" t="n"/>
      <c r="C63" s="88" t="n"/>
      <c r="D63" s="88" t="n"/>
      <c r="E63" s="88" t="n"/>
      <c r="F63" s="88" t="n"/>
      <c r="G63" s="88" t="n"/>
      <c r="H63" s="88" t="n"/>
      <c r="I63" s="88" t="n"/>
      <c r="J63" s="88" t="n"/>
      <c r="K63" s="88" t="n"/>
      <c r="L63" s="88" t="n"/>
      <c r="M63" s="88" t="n"/>
      <c r="N63" s="88" t="n"/>
      <c r="O63" s="88" t="n"/>
      <c r="P63" s="88" t="n"/>
      <c r="Q63" s="88" t="n"/>
      <c r="R63" s="88" t="n"/>
      <c r="S63" s="88" t="n"/>
      <c r="T63" s="88" t="n"/>
      <c r="U63" s="88" t="n"/>
      <c r="V63" s="88" t="n"/>
      <c r="W63" s="88" t="n"/>
      <c r="X63" s="88" t="n"/>
      <c r="Y63" s="88" t="n"/>
      <c r="Z63" s="88" t="n"/>
    </row>
    <row r="64" ht="15.75" customHeight="1" s="86">
      <c r="T64" s="85" t="n"/>
      <c r="U64" s="85" t="n"/>
      <c r="V64" s="85" t="n"/>
      <c r="W64" s="85" t="n"/>
      <c r="X64" s="85" t="n"/>
      <c r="Y64" s="85" t="n"/>
      <c r="Z64" s="85" t="n"/>
    </row>
    <row r="65" ht="15.75" customHeight="1" s="86">
      <c r="T65" s="85" t="n"/>
      <c r="U65" s="85" t="n"/>
      <c r="V65" s="85" t="n"/>
      <c r="W65" s="85" t="n"/>
      <c r="X65" s="85" t="n"/>
      <c r="Y65" s="85" t="n"/>
      <c r="Z65" s="85" t="n"/>
    </row>
    <row r="66" ht="15.75" customHeight="1" s="86">
      <c r="T66" s="85" t="n"/>
      <c r="U66" s="85" t="n"/>
      <c r="V66" s="85" t="n"/>
      <c r="W66" s="85" t="n"/>
      <c r="X66" s="85" t="n"/>
      <c r="Y66" s="85" t="n"/>
      <c r="Z66" s="85" t="n"/>
    </row>
    <row r="67" ht="15.75" customHeight="1" s="86">
      <c r="T67" s="85" t="n"/>
      <c r="U67" s="85" t="n"/>
      <c r="V67" s="85" t="n"/>
      <c r="W67" s="85" t="n"/>
      <c r="X67" s="85" t="n"/>
      <c r="Y67" s="85" t="n"/>
      <c r="Z67" s="85" t="n"/>
    </row>
    <row r="68" ht="15.75" customHeight="1" s="86">
      <c r="T68" s="85" t="n"/>
      <c r="U68" s="85" t="n"/>
      <c r="V68" s="85" t="n"/>
      <c r="W68" s="85" t="n"/>
      <c r="X68" s="85" t="n"/>
      <c r="Y68" s="85" t="n"/>
      <c r="Z68" s="85" t="n"/>
    </row>
    <row r="69" ht="15.75" customHeight="1" s="86">
      <c r="T69" s="85" t="n"/>
      <c r="U69" s="85" t="n"/>
      <c r="V69" s="85" t="n"/>
      <c r="W69" s="85" t="n"/>
      <c r="X69" s="85" t="n"/>
      <c r="Y69" s="85" t="n"/>
      <c r="Z69" s="85" t="n"/>
    </row>
    <row r="70" ht="15.75" customHeight="1" s="86">
      <c r="T70" s="85" t="n"/>
      <c r="U70" s="85" t="n"/>
      <c r="V70" s="85" t="n"/>
      <c r="W70" s="85" t="n"/>
      <c r="X70" s="85" t="n"/>
      <c r="Y70" s="85" t="n"/>
      <c r="Z70" s="85" t="n"/>
    </row>
    <row r="71" ht="15.75" customHeight="1" s="86">
      <c r="T71" s="85" t="n"/>
      <c r="U71" s="85" t="n"/>
      <c r="V71" s="85" t="n"/>
      <c r="W71" s="85" t="n"/>
      <c r="X71" s="85" t="n"/>
      <c r="Y71" s="85" t="n"/>
      <c r="Z71" s="85" t="n"/>
    </row>
    <row r="72" ht="15.75" customHeight="1" s="86">
      <c r="T72" s="85" t="n"/>
      <c r="U72" s="85" t="n"/>
      <c r="V72" s="85" t="n"/>
      <c r="W72" s="85" t="n"/>
      <c r="X72" s="85" t="n"/>
      <c r="Y72" s="85" t="n"/>
      <c r="Z72" s="85" t="n"/>
    </row>
    <row r="73" ht="15.75" customHeight="1" s="86">
      <c r="T73" s="85" t="n"/>
      <c r="U73" s="85" t="n"/>
      <c r="V73" s="85" t="n"/>
      <c r="W73" s="85" t="n"/>
      <c r="X73" s="85" t="n"/>
      <c r="Y73" s="85" t="n"/>
      <c r="Z73" s="85" t="n"/>
    </row>
    <row r="74" ht="15.75" customHeight="1" s="86">
      <c r="T74" s="85" t="n"/>
      <c r="U74" s="85" t="n"/>
      <c r="V74" s="85" t="n"/>
      <c r="W74" s="85" t="n"/>
      <c r="X74" s="85" t="n"/>
      <c r="Y74" s="85" t="n"/>
      <c r="Z74" s="85" t="n"/>
    </row>
    <row r="75" ht="15.75" customHeight="1" s="86">
      <c r="T75" s="85" t="n"/>
      <c r="U75" s="85" t="n"/>
      <c r="V75" s="85" t="n"/>
      <c r="W75" s="85" t="n"/>
      <c r="X75" s="85" t="n"/>
      <c r="Y75" s="85" t="n"/>
      <c r="Z75" s="85" t="n"/>
    </row>
    <row r="76" ht="15.75" customHeight="1" s="86">
      <c r="T76" s="85" t="n"/>
      <c r="U76" s="85" t="n"/>
      <c r="V76" s="85" t="n"/>
      <c r="W76" s="85" t="n"/>
      <c r="X76" s="85" t="n"/>
      <c r="Y76" s="85" t="n"/>
      <c r="Z76" s="85" t="n"/>
    </row>
    <row r="77" ht="15.75" customHeight="1" s="86">
      <c r="T77" s="85" t="n"/>
      <c r="U77" s="85" t="n"/>
      <c r="V77" s="85" t="n"/>
      <c r="W77" s="85" t="n"/>
      <c r="X77" s="85" t="n"/>
      <c r="Y77" s="85" t="n"/>
      <c r="Z77" s="85" t="n"/>
    </row>
    <row r="78" ht="15.75" customHeight="1" s="86">
      <c r="T78" s="85" t="n"/>
      <c r="U78" s="85" t="n"/>
      <c r="V78" s="85" t="n"/>
      <c r="W78" s="85" t="n"/>
      <c r="X78" s="85" t="n"/>
      <c r="Y78" s="85" t="n"/>
      <c r="Z78" s="85" t="n"/>
    </row>
    <row r="79" ht="15.75" customHeight="1" s="86">
      <c r="T79" s="85" t="n"/>
      <c r="U79" s="85" t="n"/>
      <c r="V79" s="85" t="n"/>
      <c r="W79" s="85" t="n"/>
      <c r="X79" s="85" t="n"/>
      <c r="Y79" s="85" t="n"/>
      <c r="Z79" s="85" t="n"/>
    </row>
    <row r="80" ht="15.75" customHeight="1" s="86">
      <c r="T80" s="85" t="n"/>
      <c r="U80" s="85" t="n"/>
      <c r="V80" s="85" t="n"/>
      <c r="W80" s="85" t="n"/>
      <c r="X80" s="85" t="n"/>
      <c r="Y80" s="85" t="n"/>
      <c r="Z80" s="85" t="n"/>
    </row>
    <row r="81" ht="15.75" customHeight="1" s="86">
      <c r="T81" s="85" t="n"/>
      <c r="U81" s="85" t="n"/>
      <c r="V81" s="85" t="n"/>
      <c r="W81" s="85" t="n"/>
      <c r="X81" s="85" t="n"/>
      <c r="Y81" s="85" t="n"/>
      <c r="Z81" s="85" t="n"/>
    </row>
    <row r="82" ht="15.75" customHeight="1" s="86">
      <c r="T82" s="85" t="n"/>
      <c r="U82" s="85" t="n"/>
      <c r="V82" s="85" t="n"/>
      <c r="W82" s="85" t="n"/>
      <c r="X82" s="85" t="n"/>
      <c r="Y82" s="85" t="n"/>
      <c r="Z82" s="85" t="n"/>
    </row>
    <row r="83" ht="15.75" customHeight="1" s="86">
      <c r="T83" s="85" t="n"/>
      <c r="U83" s="85" t="n"/>
      <c r="V83" s="85" t="n"/>
      <c r="W83" s="85" t="n"/>
      <c r="X83" s="85" t="n"/>
      <c r="Y83" s="85" t="n"/>
      <c r="Z83" s="85" t="n"/>
    </row>
    <row r="84" ht="15.75" customHeight="1" s="86">
      <c r="T84" s="85" t="n"/>
      <c r="U84" s="85" t="n"/>
      <c r="V84" s="85" t="n"/>
      <c r="W84" s="85" t="n"/>
      <c r="X84" s="85" t="n"/>
      <c r="Y84" s="85" t="n"/>
      <c r="Z84" s="85" t="n"/>
    </row>
    <row r="85" ht="15.75" customHeight="1" s="86">
      <c r="T85" s="85" t="n"/>
      <c r="U85" s="85" t="n"/>
      <c r="V85" s="85" t="n"/>
      <c r="W85" s="85" t="n"/>
      <c r="X85" s="85" t="n"/>
      <c r="Y85" s="85" t="n"/>
      <c r="Z85" s="85" t="n"/>
    </row>
    <row r="86" ht="15.75" customHeight="1" s="86">
      <c r="T86" s="85" t="n"/>
      <c r="U86" s="85" t="n"/>
      <c r="V86" s="85" t="n"/>
      <c r="W86" s="85" t="n"/>
      <c r="X86" s="85" t="n"/>
      <c r="Y86" s="85" t="n"/>
      <c r="Z86" s="85" t="n"/>
    </row>
    <row r="87" ht="15.75" customHeight="1" s="86">
      <c r="T87" s="85" t="n"/>
      <c r="U87" s="85" t="n"/>
      <c r="V87" s="85" t="n"/>
      <c r="W87" s="85" t="n"/>
      <c r="X87" s="85" t="n"/>
      <c r="Y87" s="85" t="n"/>
      <c r="Z87" s="85" t="n"/>
    </row>
    <row r="88" ht="15.75" customHeight="1" s="86">
      <c r="T88" s="85" t="n"/>
      <c r="U88" s="85" t="n"/>
      <c r="V88" s="85" t="n"/>
      <c r="W88" s="85" t="n"/>
      <c r="X88" s="85" t="n"/>
      <c r="Y88" s="85" t="n"/>
      <c r="Z88" s="85" t="n"/>
    </row>
    <row r="89" ht="15.75" customHeight="1" s="86">
      <c r="T89" s="85" t="n"/>
      <c r="U89" s="85" t="n"/>
      <c r="V89" s="85" t="n"/>
      <c r="W89" s="85" t="n"/>
      <c r="X89" s="85" t="n"/>
      <c r="Y89" s="85" t="n"/>
      <c r="Z89" s="85" t="n"/>
    </row>
    <row r="90" ht="15.75" customHeight="1" s="86">
      <c r="T90" s="85" t="n"/>
      <c r="U90" s="85" t="n"/>
      <c r="V90" s="85" t="n"/>
      <c r="W90" s="85" t="n"/>
      <c r="X90" s="85" t="n"/>
      <c r="Y90" s="85" t="n"/>
      <c r="Z90" s="85" t="n"/>
    </row>
    <row r="91" ht="15.75" customHeight="1" s="86">
      <c r="T91" s="85" t="n"/>
      <c r="U91" s="85" t="n"/>
      <c r="V91" s="85" t="n"/>
      <c r="W91" s="85" t="n"/>
      <c r="X91" s="85" t="n"/>
      <c r="Y91" s="85" t="n"/>
      <c r="Z91" s="85" t="n"/>
    </row>
    <row r="92" ht="15.75" customHeight="1" s="86">
      <c r="T92" s="85" t="n"/>
      <c r="U92" s="85" t="n"/>
      <c r="V92" s="85" t="n"/>
      <c r="W92" s="85" t="n"/>
      <c r="X92" s="85" t="n"/>
      <c r="Y92" s="85" t="n"/>
      <c r="Z92" s="85" t="n"/>
    </row>
    <row r="93" ht="15.75" customHeight="1" s="86">
      <c r="T93" s="85" t="n"/>
      <c r="U93" s="85" t="n"/>
      <c r="V93" s="85" t="n"/>
      <c r="W93" s="85" t="n"/>
      <c r="X93" s="85" t="n"/>
      <c r="Y93" s="85" t="n"/>
      <c r="Z93" s="85" t="n"/>
    </row>
    <row r="94" ht="15.75" customHeight="1" s="86">
      <c r="T94" s="85" t="n"/>
      <c r="U94" s="85" t="n"/>
      <c r="V94" s="85" t="n"/>
      <c r="W94" s="85" t="n"/>
      <c r="X94" s="85" t="n"/>
      <c r="Y94" s="85" t="n"/>
      <c r="Z94" s="85" t="n"/>
    </row>
    <row r="95" ht="15.75" customHeight="1" s="86">
      <c r="T95" s="85" t="n"/>
      <c r="U95" s="85" t="n"/>
      <c r="V95" s="85" t="n"/>
      <c r="W95" s="85" t="n"/>
      <c r="X95" s="85" t="n"/>
      <c r="Y95" s="85" t="n"/>
      <c r="Z95" s="85" t="n"/>
    </row>
    <row r="96" ht="15.75" customHeight="1" s="86">
      <c r="T96" s="85" t="n"/>
      <c r="U96" s="85" t="n"/>
      <c r="V96" s="85" t="n"/>
      <c r="W96" s="85" t="n"/>
      <c r="X96" s="85" t="n"/>
      <c r="Y96" s="85" t="n"/>
      <c r="Z96" s="85" t="n"/>
    </row>
    <row r="97" ht="15.75" customHeight="1" s="86">
      <c r="T97" s="85" t="n"/>
      <c r="U97" s="85" t="n"/>
      <c r="V97" s="85" t="n"/>
      <c r="W97" s="85" t="n"/>
      <c r="X97" s="85" t="n"/>
      <c r="Y97" s="85" t="n"/>
      <c r="Z97" s="85" t="n"/>
    </row>
    <row r="98" ht="15.75" customHeight="1" s="86">
      <c r="T98" s="85" t="n"/>
      <c r="U98" s="85" t="n"/>
      <c r="V98" s="85" t="n"/>
      <c r="W98" s="85" t="n"/>
      <c r="X98" s="85" t="n"/>
      <c r="Y98" s="85" t="n"/>
      <c r="Z98" s="85" t="n"/>
    </row>
    <row r="99" ht="15.75" customHeight="1" s="86">
      <c r="T99" s="85" t="n"/>
      <c r="U99" s="85" t="n"/>
      <c r="V99" s="85" t="n"/>
      <c r="W99" s="85" t="n"/>
      <c r="X99" s="85" t="n"/>
      <c r="Y99" s="85" t="n"/>
      <c r="Z99" s="85" t="n"/>
    </row>
    <row r="100" ht="15.75" customHeight="1" s="86">
      <c r="T100" s="85" t="n"/>
      <c r="U100" s="85" t="n"/>
      <c r="V100" s="85" t="n"/>
      <c r="W100" s="85" t="n"/>
      <c r="X100" s="85" t="n"/>
      <c r="Y100" s="85" t="n"/>
      <c r="Z100" s="85" t="n"/>
    </row>
    <row r="101" ht="15.75" customHeight="1" s="86">
      <c r="T101" s="85" t="n"/>
      <c r="U101" s="85" t="n"/>
      <c r="V101" s="85" t="n"/>
      <c r="W101" s="85" t="n"/>
      <c r="X101" s="85" t="n"/>
      <c r="Y101" s="85" t="n"/>
      <c r="Z101" s="85" t="n"/>
    </row>
    <row r="102" ht="15.75" customHeight="1" s="86">
      <c r="T102" s="85" t="n"/>
      <c r="U102" s="85" t="n"/>
      <c r="V102" s="85" t="n"/>
      <c r="W102" s="85" t="n"/>
      <c r="X102" s="85" t="n"/>
      <c r="Y102" s="85" t="n"/>
      <c r="Z102" s="85" t="n"/>
    </row>
    <row r="103" ht="15.75" customHeight="1" s="86">
      <c r="T103" s="85" t="n"/>
      <c r="U103" s="85" t="n"/>
      <c r="V103" s="85" t="n"/>
      <c r="W103" s="85" t="n"/>
      <c r="X103" s="85" t="n"/>
      <c r="Y103" s="85" t="n"/>
      <c r="Z103" s="85" t="n"/>
    </row>
    <row r="104" ht="15.75" customHeight="1" s="86">
      <c r="T104" s="85" t="n"/>
      <c r="U104" s="85" t="n"/>
      <c r="V104" s="85" t="n"/>
      <c r="W104" s="85" t="n"/>
      <c r="X104" s="85" t="n"/>
      <c r="Y104" s="85" t="n"/>
      <c r="Z104" s="85" t="n"/>
    </row>
    <row r="105" ht="15.75" customHeight="1" s="86">
      <c r="T105" s="85" t="n"/>
      <c r="U105" s="85" t="n"/>
      <c r="V105" s="85" t="n"/>
      <c r="W105" s="85" t="n"/>
      <c r="X105" s="85" t="n"/>
      <c r="Y105" s="85" t="n"/>
      <c r="Z105" s="85" t="n"/>
    </row>
    <row r="106" ht="15.75" customHeight="1" s="86">
      <c r="T106" s="85" t="n"/>
      <c r="U106" s="85" t="n"/>
      <c r="V106" s="85" t="n"/>
      <c r="W106" s="85" t="n"/>
      <c r="X106" s="85" t="n"/>
      <c r="Y106" s="85" t="n"/>
      <c r="Z106" s="85" t="n"/>
    </row>
    <row r="107" ht="15.75" customHeight="1" s="86">
      <c r="T107" s="85" t="n"/>
      <c r="U107" s="85" t="n"/>
      <c r="V107" s="85" t="n"/>
      <c r="W107" s="85" t="n"/>
      <c r="X107" s="85" t="n"/>
      <c r="Y107" s="85" t="n"/>
      <c r="Z107" s="85" t="n"/>
    </row>
    <row r="108" ht="15.75" customHeight="1" s="86">
      <c r="T108" s="85" t="n"/>
      <c r="U108" s="85" t="n"/>
      <c r="V108" s="85" t="n"/>
      <c r="W108" s="85" t="n"/>
      <c r="X108" s="85" t="n"/>
      <c r="Y108" s="85" t="n"/>
      <c r="Z108" s="85" t="n"/>
    </row>
    <row r="109" ht="15.75" customHeight="1" s="86">
      <c r="T109" s="85" t="n"/>
      <c r="U109" s="85" t="n"/>
      <c r="V109" s="85" t="n"/>
      <c r="W109" s="85" t="n"/>
      <c r="X109" s="85" t="n"/>
      <c r="Y109" s="85" t="n"/>
      <c r="Z109" s="85" t="n"/>
    </row>
    <row r="110" ht="15.75" customHeight="1" s="86">
      <c r="T110" s="85" t="n"/>
      <c r="U110" s="85" t="n"/>
      <c r="V110" s="85" t="n"/>
      <c r="W110" s="85" t="n"/>
      <c r="X110" s="85" t="n"/>
      <c r="Y110" s="85" t="n"/>
      <c r="Z110" s="85" t="n"/>
    </row>
    <row r="111" ht="15.75" customHeight="1" s="86">
      <c r="T111" s="85" t="n"/>
      <c r="U111" s="85" t="n"/>
      <c r="V111" s="85" t="n"/>
      <c r="W111" s="85" t="n"/>
      <c r="X111" s="85" t="n"/>
      <c r="Y111" s="85" t="n"/>
      <c r="Z111" s="85" t="n"/>
    </row>
    <row r="112" ht="15.75" customHeight="1" s="86">
      <c r="T112" s="85" t="n"/>
      <c r="U112" s="85" t="n"/>
      <c r="V112" s="85" t="n"/>
      <c r="W112" s="85" t="n"/>
      <c r="X112" s="85" t="n"/>
      <c r="Y112" s="85" t="n"/>
      <c r="Z112" s="85" t="n"/>
    </row>
    <row r="113" ht="15.75" customHeight="1" s="86">
      <c r="T113" s="85" t="n"/>
      <c r="U113" s="85" t="n"/>
      <c r="V113" s="85" t="n"/>
      <c r="W113" s="85" t="n"/>
      <c r="X113" s="85" t="n"/>
      <c r="Y113" s="85" t="n"/>
      <c r="Z113" s="85" t="n"/>
    </row>
    <row r="114" ht="15.75" customHeight="1" s="86">
      <c r="T114" s="85" t="n"/>
      <c r="U114" s="85" t="n"/>
      <c r="V114" s="85" t="n"/>
      <c r="W114" s="85" t="n"/>
      <c r="X114" s="85" t="n"/>
      <c r="Y114" s="85" t="n"/>
      <c r="Z114" s="85" t="n"/>
    </row>
    <row r="115" ht="15.75" customHeight="1" s="86">
      <c r="T115" s="85" t="n"/>
      <c r="U115" s="85" t="n"/>
      <c r="V115" s="85" t="n"/>
      <c r="W115" s="85" t="n"/>
      <c r="X115" s="85" t="n"/>
      <c r="Y115" s="85" t="n"/>
      <c r="Z115" s="85" t="n"/>
    </row>
    <row r="116" ht="15.75" customHeight="1" s="86">
      <c r="T116" s="85" t="n"/>
      <c r="U116" s="85" t="n"/>
      <c r="V116" s="85" t="n"/>
      <c r="W116" s="85" t="n"/>
      <c r="X116" s="85" t="n"/>
      <c r="Y116" s="85" t="n"/>
      <c r="Z116" s="85" t="n"/>
    </row>
    <row r="117" ht="15.75" customHeight="1" s="86">
      <c r="T117" s="85" t="n"/>
      <c r="U117" s="85" t="n"/>
      <c r="V117" s="85" t="n"/>
      <c r="W117" s="85" t="n"/>
      <c r="X117" s="85" t="n"/>
      <c r="Y117" s="85" t="n"/>
      <c r="Z117" s="85" t="n"/>
    </row>
    <row r="118" ht="15.75" customHeight="1" s="86">
      <c r="T118" s="85" t="n"/>
      <c r="U118" s="85" t="n"/>
      <c r="V118" s="85" t="n"/>
      <c r="W118" s="85" t="n"/>
      <c r="X118" s="85" t="n"/>
      <c r="Y118" s="85" t="n"/>
      <c r="Z118" s="85" t="n"/>
    </row>
    <row r="119" ht="15.75" customHeight="1" s="86">
      <c r="T119" s="85" t="n"/>
      <c r="U119" s="85" t="n"/>
      <c r="V119" s="85" t="n"/>
      <c r="W119" s="85" t="n"/>
      <c r="X119" s="85" t="n"/>
      <c r="Y119" s="85" t="n"/>
      <c r="Z119" s="85" t="n"/>
    </row>
    <row r="120" ht="15.75" customHeight="1" s="86">
      <c r="T120" s="85" t="n"/>
      <c r="U120" s="85" t="n"/>
      <c r="V120" s="85" t="n"/>
      <c r="W120" s="85" t="n"/>
      <c r="X120" s="85" t="n"/>
      <c r="Y120" s="85" t="n"/>
      <c r="Z120" s="85" t="n"/>
    </row>
    <row r="121" ht="15.75" customHeight="1" s="86">
      <c r="T121" s="85" t="n"/>
      <c r="U121" s="85" t="n"/>
      <c r="V121" s="85" t="n"/>
      <c r="W121" s="85" t="n"/>
      <c r="X121" s="85" t="n"/>
      <c r="Y121" s="85" t="n"/>
      <c r="Z121" s="85" t="n"/>
    </row>
    <row r="122" ht="15.75" customHeight="1" s="86">
      <c r="T122" s="85" t="n"/>
      <c r="U122" s="85" t="n"/>
      <c r="V122" s="85" t="n"/>
      <c r="W122" s="85" t="n"/>
      <c r="X122" s="85" t="n"/>
      <c r="Y122" s="85" t="n"/>
      <c r="Z122" s="85" t="n"/>
    </row>
    <row r="123" ht="15.75" customHeight="1" s="86">
      <c r="T123" s="85" t="n"/>
      <c r="U123" s="85" t="n"/>
      <c r="V123" s="85" t="n"/>
      <c r="W123" s="85" t="n"/>
      <c r="X123" s="85" t="n"/>
      <c r="Y123" s="85" t="n"/>
      <c r="Z123" s="85" t="n"/>
    </row>
    <row r="124" ht="15.75" customHeight="1" s="86">
      <c r="T124" s="85" t="n"/>
      <c r="U124" s="85" t="n"/>
      <c r="V124" s="85" t="n"/>
      <c r="W124" s="85" t="n"/>
      <c r="X124" s="85" t="n"/>
      <c r="Y124" s="85" t="n"/>
      <c r="Z124" s="85" t="n"/>
    </row>
    <row r="125" ht="15.75" customHeight="1" s="86">
      <c r="T125" s="85" t="n"/>
      <c r="U125" s="85" t="n"/>
      <c r="V125" s="85" t="n"/>
      <c r="W125" s="85" t="n"/>
      <c r="X125" s="85" t="n"/>
      <c r="Y125" s="85" t="n"/>
      <c r="Z125" s="85" t="n"/>
    </row>
    <row r="126" ht="15.75" customHeight="1" s="86">
      <c r="T126" s="85" t="n"/>
      <c r="U126" s="85" t="n"/>
      <c r="V126" s="85" t="n"/>
      <c r="W126" s="85" t="n"/>
      <c r="X126" s="85" t="n"/>
      <c r="Y126" s="85" t="n"/>
      <c r="Z126" s="85" t="n"/>
    </row>
    <row r="127" ht="15.75" customHeight="1" s="86">
      <c r="T127" s="85" t="n"/>
      <c r="U127" s="85" t="n"/>
      <c r="V127" s="85" t="n"/>
      <c r="W127" s="85" t="n"/>
      <c r="X127" s="85" t="n"/>
      <c r="Y127" s="85" t="n"/>
      <c r="Z127" s="85" t="n"/>
    </row>
    <row r="128" ht="15.75" customHeight="1" s="86">
      <c r="T128" s="85" t="n"/>
      <c r="U128" s="85" t="n"/>
      <c r="V128" s="85" t="n"/>
      <c r="W128" s="85" t="n"/>
      <c r="X128" s="85" t="n"/>
      <c r="Y128" s="85" t="n"/>
      <c r="Z128" s="85" t="n"/>
    </row>
    <row r="129" ht="15.75" customHeight="1" s="86">
      <c r="T129" s="85" t="n"/>
      <c r="U129" s="85" t="n"/>
      <c r="V129" s="85" t="n"/>
      <c r="W129" s="85" t="n"/>
      <c r="X129" s="85" t="n"/>
      <c r="Y129" s="85" t="n"/>
      <c r="Z129" s="85" t="n"/>
    </row>
    <row r="130" ht="15.75" customHeight="1" s="86">
      <c r="T130" s="85" t="n"/>
      <c r="U130" s="85" t="n"/>
      <c r="V130" s="85" t="n"/>
      <c r="W130" s="85" t="n"/>
      <c r="X130" s="85" t="n"/>
      <c r="Y130" s="85" t="n"/>
      <c r="Z130" s="85" t="n"/>
    </row>
    <row r="131" ht="15.75" customHeight="1" s="86">
      <c r="T131" s="85" t="n"/>
      <c r="U131" s="85" t="n"/>
      <c r="V131" s="85" t="n"/>
      <c r="W131" s="85" t="n"/>
      <c r="X131" s="85" t="n"/>
      <c r="Y131" s="85" t="n"/>
      <c r="Z131" s="85" t="n"/>
    </row>
    <row r="132" ht="15.75" customHeight="1" s="86">
      <c r="T132" s="85" t="n"/>
      <c r="U132" s="85" t="n"/>
      <c r="V132" s="85" t="n"/>
      <c r="W132" s="85" t="n"/>
      <c r="X132" s="85" t="n"/>
      <c r="Y132" s="85" t="n"/>
      <c r="Z132" s="85" t="n"/>
    </row>
    <row r="133" ht="15.75" customHeight="1" s="86">
      <c r="T133" s="85" t="n"/>
      <c r="U133" s="85" t="n"/>
      <c r="V133" s="85" t="n"/>
      <c r="W133" s="85" t="n"/>
      <c r="X133" s="85" t="n"/>
      <c r="Y133" s="85" t="n"/>
      <c r="Z133" s="85" t="n"/>
    </row>
    <row r="134" ht="15.75" customHeight="1" s="86">
      <c r="T134" s="85" t="n"/>
      <c r="U134" s="85" t="n"/>
      <c r="V134" s="85" t="n"/>
      <c r="W134" s="85" t="n"/>
      <c r="X134" s="85" t="n"/>
      <c r="Y134" s="85" t="n"/>
      <c r="Z134" s="85" t="n"/>
    </row>
    <row r="135" ht="15.75" customHeight="1" s="86">
      <c r="T135" s="85" t="n"/>
      <c r="U135" s="85" t="n"/>
      <c r="V135" s="85" t="n"/>
      <c r="W135" s="85" t="n"/>
      <c r="X135" s="85" t="n"/>
      <c r="Y135" s="85" t="n"/>
      <c r="Z135" s="85" t="n"/>
    </row>
    <row r="136" ht="15.75" customHeight="1" s="86">
      <c r="T136" s="85" t="n"/>
      <c r="U136" s="85" t="n"/>
      <c r="V136" s="85" t="n"/>
      <c r="W136" s="85" t="n"/>
      <c r="X136" s="85" t="n"/>
      <c r="Y136" s="85" t="n"/>
      <c r="Z136" s="85" t="n"/>
    </row>
    <row r="137" ht="15.75" customHeight="1" s="86">
      <c r="T137" s="85" t="n"/>
      <c r="U137" s="85" t="n"/>
      <c r="V137" s="85" t="n"/>
      <c r="W137" s="85" t="n"/>
      <c r="X137" s="85" t="n"/>
      <c r="Y137" s="85" t="n"/>
      <c r="Z137" s="85" t="n"/>
    </row>
    <row r="138" ht="15.75" customHeight="1" s="86">
      <c r="T138" s="85" t="n"/>
      <c r="U138" s="85" t="n"/>
      <c r="V138" s="85" t="n"/>
      <c r="W138" s="85" t="n"/>
      <c r="X138" s="85" t="n"/>
      <c r="Y138" s="85" t="n"/>
      <c r="Z138" s="85" t="n"/>
    </row>
    <row r="139" ht="15.75" customHeight="1" s="86">
      <c r="T139" s="85" t="n"/>
      <c r="U139" s="85" t="n"/>
      <c r="V139" s="85" t="n"/>
      <c r="W139" s="85" t="n"/>
      <c r="X139" s="85" t="n"/>
      <c r="Y139" s="85" t="n"/>
      <c r="Z139" s="85" t="n"/>
    </row>
    <row r="140" ht="15.75" customHeight="1" s="86">
      <c r="T140" s="85" t="n"/>
      <c r="U140" s="85" t="n"/>
      <c r="V140" s="85" t="n"/>
      <c r="W140" s="85" t="n"/>
      <c r="X140" s="85" t="n"/>
      <c r="Y140" s="85" t="n"/>
      <c r="Z140" s="85" t="n"/>
    </row>
    <row r="141" ht="15.75" customHeight="1" s="86">
      <c r="T141" s="85" t="n"/>
      <c r="U141" s="85" t="n"/>
      <c r="V141" s="85" t="n"/>
      <c r="W141" s="85" t="n"/>
      <c r="X141" s="85" t="n"/>
      <c r="Y141" s="85" t="n"/>
      <c r="Z141" s="85" t="n"/>
    </row>
    <row r="142" ht="15.75" customHeight="1" s="86">
      <c r="T142" s="85" t="n"/>
      <c r="U142" s="85" t="n"/>
      <c r="V142" s="85" t="n"/>
      <c r="W142" s="85" t="n"/>
      <c r="X142" s="85" t="n"/>
      <c r="Y142" s="85" t="n"/>
      <c r="Z142" s="85" t="n"/>
    </row>
    <row r="143" ht="15.75" customHeight="1" s="86">
      <c r="T143" s="85" t="n"/>
      <c r="U143" s="85" t="n"/>
      <c r="V143" s="85" t="n"/>
      <c r="W143" s="85" t="n"/>
      <c r="X143" s="85" t="n"/>
      <c r="Y143" s="85" t="n"/>
      <c r="Z143" s="85" t="n"/>
    </row>
    <row r="144" ht="15.75" customHeight="1" s="86">
      <c r="T144" s="85" t="n"/>
      <c r="U144" s="85" t="n"/>
      <c r="V144" s="85" t="n"/>
      <c r="W144" s="85" t="n"/>
      <c r="X144" s="85" t="n"/>
      <c r="Y144" s="85" t="n"/>
      <c r="Z144" s="85" t="n"/>
    </row>
    <row r="145" ht="15.75" customHeight="1" s="86">
      <c r="T145" s="85" t="n"/>
      <c r="U145" s="85" t="n"/>
      <c r="V145" s="85" t="n"/>
      <c r="W145" s="85" t="n"/>
      <c r="X145" s="85" t="n"/>
      <c r="Y145" s="85" t="n"/>
      <c r="Z145" s="85" t="n"/>
    </row>
    <row r="146" ht="15.75" customHeight="1" s="86">
      <c r="T146" s="85" t="n"/>
      <c r="U146" s="85" t="n"/>
      <c r="V146" s="85" t="n"/>
      <c r="W146" s="85" t="n"/>
      <c r="X146" s="85" t="n"/>
      <c r="Y146" s="85" t="n"/>
      <c r="Z146" s="85" t="n"/>
    </row>
    <row r="147" ht="15.75" customHeight="1" s="86">
      <c r="T147" s="85" t="n"/>
      <c r="U147" s="85" t="n"/>
      <c r="V147" s="85" t="n"/>
      <c r="W147" s="85" t="n"/>
      <c r="X147" s="85" t="n"/>
      <c r="Y147" s="85" t="n"/>
      <c r="Z147" s="85" t="n"/>
    </row>
    <row r="148" ht="15.75" customHeight="1" s="86">
      <c r="T148" s="85" t="n"/>
      <c r="U148" s="85" t="n"/>
      <c r="V148" s="85" t="n"/>
      <c r="W148" s="85" t="n"/>
      <c r="X148" s="85" t="n"/>
      <c r="Y148" s="85" t="n"/>
      <c r="Z148" s="85" t="n"/>
    </row>
    <row r="149" ht="15.75" customHeight="1" s="86">
      <c r="T149" s="85" t="n"/>
      <c r="U149" s="85" t="n"/>
      <c r="V149" s="85" t="n"/>
      <c r="W149" s="85" t="n"/>
      <c r="X149" s="85" t="n"/>
      <c r="Y149" s="85" t="n"/>
      <c r="Z149" s="85" t="n"/>
    </row>
    <row r="150" ht="15.75" customHeight="1" s="86">
      <c r="T150" s="85" t="n"/>
      <c r="U150" s="85" t="n"/>
      <c r="V150" s="85" t="n"/>
      <c r="W150" s="85" t="n"/>
      <c r="X150" s="85" t="n"/>
      <c r="Y150" s="85" t="n"/>
      <c r="Z150" s="85" t="n"/>
    </row>
    <row r="151" ht="15.75" customHeight="1" s="86">
      <c r="T151" s="85" t="n"/>
      <c r="U151" s="85" t="n"/>
      <c r="V151" s="85" t="n"/>
      <c r="W151" s="85" t="n"/>
      <c r="X151" s="85" t="n"/>
      <c r="Y151" s="85" t="n"/>
      <c r="Z151" s="85" t="n"/>
    </row>
    <row r="152" ht="15.75" customHeight="1" s="86">
      <c r="T152" s="85" t="n"/>
      <c r="U152" s="85" t="n"/>
      <c r="V152" s="85" t="n"/>
      <c r="W152" s="85" t="n"/>
      <c r="X152" s="85" t="n"/>
      <c r="Y152" s="85" t="n"/>
      <c r="Z152" s="85" t="n"/>
    </row>
    <row r="153" ht="15.75" customHeight="1" s="86">
      <c r="T153" s="85" t="n"/>
      <c r="U153" s="85" t="n"/>
      <c r="V153" s="85" t="n"/>
      <c r="W153" s="85" t="n"/>
      <c r="X153" s="85" t="n"/>
      <c r="Y153" s="85" t="n"/>
      <c r="Z153" s="85" t="n"/>
    </row>
    <row r="154" ht="15.75" customHeight="1" s="86">
      <c r="T154" s="85" t="n"/>
      <c r="U154" s="85" t="n"/>
      <c r="V154" s="85" t="n"/>
      <c r="W154" s="85" t="n"/>
      <c r="X154" s="85" t="n"/>
      <c r="Y154" s="85" t="n"/>
      <c r="Z154" s="85" t="n"/>
    </row>
    <row r="155" ht="15.75" customHeight="1" s="86">
      <c r="T155" s="85" t="n"/>
      <c r="U155" s="85" t="n"/>
      <c r="V155" s="85" t="n"/>
      <c r="W155" s="85" t="n"/>
      <c r="X155" s="85" t="n"/>
      <c r="Y155" s="85" t="n"/>
      <c r="Z155" s="85" t="n"/>
    </row>
    <row r="156" ht="15.75" customHeight="1" s="86">
      <c r="T156" s="85" t="n"/>
      <c r="U156" s="85" t="n"/>
      <c r="V156" s="85" t="n"/>
      <c r="W156" s="85" t="n"/>
      <c r="X156" s="85" t="n"/>
      <c r="Y156" s="85" t="n"/>
      <c r="Z156" s="85" t="n"/>
    </row>
    <row r="157" ht="15.75" customHeight="1" s="86">
      <c r="T157" s="85" t="n"/>
      <c r="U157" s="85" t="n"/>
      <c r="V157" s="85" t="n"/>
      <c r="W157" s="85" t="n"/>
      <c r="X157" s="85" t="n"/>
      <c r="Y157" s="85" t="n"/>
      <c r="Z157" s="85" t="n"/>
    </row>
    <row r="158" ht="15.75" customHeight="1" s="86">
      <c r="T158" s="85" t="n"/>
      <c r="U158" s="85" t="n"/>
      <c r="V158" s="85" t="n"/>
      <c r="W158" s="85" t="n"/>
      <c r="X158" s="85" t="n"/>
      <c r="Y158" s="85" t="n"/>
      <c r="Z158" s="85" t="n"/>
    </row>
    <row r="159" ht="15.75" customHeight="1" s="86">
      <c r="T159" s="85" t="n"/>
      <c r="U159" s="85" t="n"/>
      <c r="V159" s="85" t="n"/>
      <c r="W159" s="85" t="n"/>
      <c r="X159" s="85" t="n"/>
      <c r="Y159" s="85" t="n"/>
      <c r="Z159" s="85" t="n"/>
    </row>
    <row r="160" ht="15.75" customHeight="1" s="86">
      <c r="T160" s="85" t="n"/>
      <c r="U160" s="85" t="n"/>
      <c r="V160" s="85" t="n"/>
      <c r="W160" s="85" t="n"/>
      <c r="X160" s="85" t="n"/>
      <c r="Y160" s="85" t="n"/>
      <c r="Z160" s="85" t="n"/>
    </row>
    <row r="161" ht="15.75" customHeight="1" s="86">
      <c r="T161" s="85" t="n"/>
      <c r="U161" s="85" t="n"/>
      <c r="V161" s="85" t="n"/>
      <c r="W161" s="85" t="n"/>
      <c r="X161" s="85" t="n"/>
      <c r="Y161" s="85" t="n"/>
      <c r="Z161" s="85" t="n"/>
    </row>
    <row r="162" ht="15.75" customHeight="1" s="86">
      <c r="T162" s="85" t="n"/>
      <c r="U162" s="85" t="n"/>
      <c r="V162" s="85" t="n"/>
      <c r="W162" s="85" t="n"/>
      <c r="X162" s="85" t="n"/>
      <c r="Y162" s="85" t="n"/>
      <c r="Z162" s="85" t="n"/>
    </row>
    <row r="163" ht="15.75" customHeight="1" s="86">
      <c r="T163" s="85" t="n"/>
      <c r="U163" s="85" t="n"/>
      <c r="V163" s="85" t="n"/>
      <c r="W163" s="85" t="n"/>
      <c r="X163" s="85" t="n"/>
      <c r="Y163" s="85" t="n"/>
      <c r="Z163" s="85" t="n"/>
    </row>
    <row r="164" ht="15.75" customHeight="1" s="86">
      <c r="T164" s="85" t="n"/>
      <c r="U164" s="85" t="n"/>
      <c r="V164" s="85" t="n"/>
      <c r="W164" s="85" t="n"/>
      <c r="X164" s="85" t="n"/>
      <c r="Y164" s="85" t="n"/>
      <c r="Z164" s="85" t="n"/>
    </row>
    <row r="165" ht="15.75" customHeight="1" s="86">
      <c r="T165" s="85" t="n"/>
      <c r="U165" s="85" t="n"/>
      <c r="V165" s="85" t="n"/>
      <c r="W165" s="85" t="n"/>
      <c r="X165" s="85" t="n"/>
      <c r="Y165" s="85" t="n"/>
      <c r="Z165" s="85" t="n"/>
    </row>
    <row r="166" ht="15.75" customHeight="1" s="86">
      <c r="T166" s="85" t="n"/>
      <c r="U166" s="85" t="n"/>
      <c r="V166" s="85" t="n"/>
      <c r="W166" s="85" t="n"/>
      <c r="X166" s="85" t="n"/>
      <c r="Y166" s="85" t="n"/>
      <c r="Z166" s="85" t="n"/>
    </row>
    <row r="167" ht="15.75" customHeight="1" s="86">
      <c r="T167" s="85" t="n"/>
      <c r="U167" s="85" t="n"/>
      <c r="V167" s="85" t="n"/>
      <c r="W167" s="85" t="n"/>
      <c r="X167" s="85" t="n"/>
      <c r="Y167" s="85" t="n"/>
      <c r="Z167" s="85" t="n"/>
    </row>
    <row r="168" ht="15.75" customHeight="1" s="86">
      <c r="T168" s="85" t="n"/>
      <c r="U168" s="85" t="n"/>
      <c r="V168" s="85" t="n"/>
      <c r="W168" s="85" t="n"/>
      <c r="X168" s="85" t="n"/>
      <c r="Y168" s="85" t="n"/>
      <c r="Z168" s="85" t="n"/>
    </row>
    <row r="169" ht="15.75" customHeight="1" s="86">
      <c r="T169" s="85" t="n"/>
      <c r="U169" s="85" t="n"/>
      <c r="V169" s="85" t="n"/>
      <c r="W169" s="85" t="n"/>
      <c r="X169" s="85" t="n"/>
      <c r="Y169" s="85" t="n"/>
      <c r="Z169" s="85" t="n"/>
    </row>
    <row r="170" ht="15.75" customHeight="1" s="86">
      <c r="T170" s="85" t="n"/>
      <c r="U170" s="85" t="n"/>
      <c r="V170" s="85" t="n"/>
      <c r="W170" s="85" t="n"/>
      <c r="X170" s="85" t="n"/>
      <c r="Y170" s="85" t="n"/>
      <c r="Z170" s="85" t="n"/>
    </row>
    <row r="171" ht="15.75" customHeight="1" s="86">
      <c r="T171" s="85" t="n"/>
      <c r="U171" s="85" t="n"/>
      <c r="V171" s="85" t="n"/>
      <c r="W171" s="85" t="n"/>
      <c r="X171" s="85" t="n"/>
      <c r="Y171" s="85" t="n"/>
      <c r="Z171" s="85" t="n"/>
    </row>
    <row r="172" ht="15.75" customHeight="1" s="86">
      <c r="T172" s="85" t="n"/>
      <c r="U172" s="85" t="n"/>
      <c r="V172" s="85" t="n"/>
      <c r="W172" s="85" t="n"/>
      <c r="X172" s="85" t="n"/>
      <c r="Y172" s="85" t="n"/>
      <c r="Z172" s="85" t="n"/>
    </row>
    <row r="173" ht="15.75" customHeight="1" s="86">
      <c r="T173" s="85" t="n"/>
      <c r="U173" s="85" t="n"/>
      <c r="V173" s="85" t="n"/>
      <c r="W173" s="85" t="n"/>
      <c r="X173" s="85" t="n"/>
      <c r="Y173" s="85" t="n"/>
      <c r="Z173" s="85" t="n"/>
    </row>
    <row r="174" ht="15.75" customHeight="1" s="86">
      <c r="T174" s="85" t="n"/>
      <c r="U174" s="85" t="n"/>
      <c r="V174" s="85" t="n"/>
      <c r="W174" s="85" t="n"/>
      <c r="X174" s="85" t="n"/>
      <c r="Y174" s="85" t="n"/>
      <c r="Z174" s="85" t="n"/>
    </row>
    <row r="175" ht="15.75" customHeight="1" s="86">
      <c r="T175" s="85" t="n"/>
      <c r="U175" s="85" t="n"/>
      <c r="V175" s="85" t="n"/>
      <c r="W175" s="85" t="n"/>
      <c r="X175" s="85" t="n"/>
      <c r="Y175" s="85" t="n"/>
      <c r="Z175" s="85" t="n"/>
    </row>
    <row r="176" ht="15.75" customHeight="1" s="86">
      <c r="T176" s="85" t="n"/>
      <c r="U176" s="85" t="n"/>
      <c r="V176" s="85" t="n"/>
      <c r="W176" s="85" t="n"/>
      <c r="X176" s="85" t="n"/>
      <c r="Y176" s="85" t="n"/>
      <c r="Z176" s="85" t="n"/>
    </row>
    <row r="177" ht="15.75" customHeight="1" s="86">
      <c r="T177" s="85" t="n"/>
      <c r="U177" s="85" t="n"/>
      <c r="V177" s="85" t="n"/>
      <c r="W177" s="85" t="n"/>
      <c r="X177" s="85" t="n"/>
      <c r="Y177" s="85" t="n"/>
      <c r="Z177" s="85" t="n"/>
    </row>
    <row r="178" ht="15.75" customHeight="1" s="86">
      <c r="T178" s="85" t="n"/>
      <c r="U178" s="85" t="n"/>
      <c r="V178" s="85" t="n"/>
      <c r="W178" s="85" t="n"/>
      <c r="X178" s="85" t="n"/>
      <c r="Y178" s="85" t="n"/>
      <c r="Z178" s="85" t="n"/>
    </row>
    <row r="179" ht="15.75" customHeight="1" s="86">
      <c r="T179" s="85" t="n"/>
      <c r="U179" s="85" t="n"/>
      <c r="V179" s="85" t="n"/>
      <c r="W179" s="85" t="n"/>
      <c r="X179" s="85" t="n"/>
      <c r="Y179" s="85" t="n"/>
      <c r="Z179" s="85" t="n"/>
    </row>
    <row r="180" ht="15.75" customHeight="1" s="86">
      <c r="T180" s="85" t="n"/>
      <c r="U180" s="85" t="n"/>
      <c r="V180" s="85" t="n"/>
      <c r="W180" s="85" t="n"/>
      <c r="X180" s="85" t="n"/>
      <c r="Y180" s="85" t="n"/>
      <c r="Z180" s="85" t="n"/>
    </row>
    <row r="181" ht="15.75" customHeight="1" s="86">
      <c r="T181" s="85" t="n"/>
      <c r="U181" s="85" t="n"/>
      <c r="V181" s="85" t="n"/>
      <c r="W181" s="85" t="n"/>
      <c r="X181" s="85" t="n"/>
      <c r="Y181" s="85" t="n"/>
      <c r="Z181" s="85" t="n"/>
    </row>
    <row r="182" ht="15.75" customHeight="1" s="86">
      <c r="T182" s="85" t="n"/>
      <c r="U182" s="85" t="n"/>
      <c r="V182" s="85" t="n"/>
      <c r="W182" s="85" t="n"/>
      <c r="X182" s="85" t="n"/>
      <c r="Y182" s="85" t="n"/>
      <c r="Z182" s="85" t="n"/>
    </row>
    <row r="183" ht="15.75" customHeight="1" s="86">
      <c r="T183" s="85" t="n"/>
      <c r="U183" s="85" t="n"/>
      <c r="V183" s="85" t="n"/>
      <c r="W183" s="85" t="n"/>
      <c r="X183" s="85" t="n"/>
      <c r="Y183" s="85" t="n"/>
      <c r="Z183" s="85" t="n"/>
    </row>
    <row r="184" ht="15.75" customHeight="1" s="86">
      <c r="T184" s="85" t="n"/>
      <c r="U184" s="85" t="n"/>
      <c r="V184" s="85" t="n"/>
      <c r="W184" s="85" t="n"/>
      <c r="X184" s="85" t="n"/>
      <c r="Y184" s="85" t="n"/>
      <c r="Z184" s="85" t="n"/>
    </row>
    <row r="185" ht="15.75" customHeight="1" s="86">
      <c r="T185" s="85" t="n"/>
      <c r="U185" s="85" t="n"/>
      <c r="V185" s="85" t="n"/>
      <c r="W185" s="85" t="n"/>
      <c r="X185" s="85" t="n"/>
      <c r="Y185" s="85" t="n"/>
      <c r="Z185" s="85" t="n"/>
    </row>
    <row r="186" ht="15.75" customHeight="1" s="86">
      <c r="T186" s="85" t="n"/>
      <c r="U186" s="85" t="n"/>
      <c r="V186" s="85" t="n"/>
      <c r="W186" s="85" t="n"/>
      <c r="X186" s="85" t="n"/>
      <c r="Y186" s="85" t="n"/>
      <c r="Z186" s="85" t="n"/>
    </row>
    <row r="187" ht="15.75" customHeight="1" s="86">
      <c r="T187" s="85" t="n"/>
      <c r="U187" s="85" t="n"/>
      <c r="V187" s="85" t="n"/>
      <c r="W187" s="85" t="n"/>
      <c r="X187" s="85" t="n"/>
      <c r="Y187" s="85" t="n"/>
      <c r="Z187" s="85" t="n"/>
    </row>
    <row r="188" ht="15.75" customHeight="1" s="86">
      <c r="T188" s="85" t="n"/>
      <c r="U188" s="85" t="n"/>
      <c r="V188" s="85" t="n"/>
      <c r="W188" s="85" t="n"/>
      <c r="X188" s="85" t="n"/>
      <c r="Y188" s="85" t="n"/>
      <c r="Z188" s="85" t="n"/>
    </row>
    <row r="189" ht="15.75" customHeight="1" s="86">
      <c r="T189" s="85" t="n"/>
      <c r="U189" s="85" t="n"/>
      <c r="V189" s="85" t="n"/>
      <c r="W189" s="85" t="n"/>
      <c r="X189" s="85" t="n"/>
      <c r="Y189" s="85" t="n"/>
      <c r="Z189" s="85" t="n"/>
    </row>
    <row r="190" ht="15.75" customHeight="1" s="86">
      <c r="T190" s="85" t="n"/>
      <c r="U190" s="85" t="n"/>
      <c r="V190" s="85" t="n"/>
      <c r="W190" s="85" t="n"/>
      <c r="X190" s="85" t="n"/>
      <c r="Y190" s="85" t="n"/>
      <c r="Z190" s="85" t="n"/>
    </row>
    <row r="191" ht="15.75" customHeight="1" s="86">
      <c r="T191" s="85" t="n"/>
      <c r="U191" s="85" t="n"/>
      <c r="V191" s="85" t="n"/>
      <c r="W191" s="85" t="n"/>
      <c r="X191" s="85" t="n"/>
      <c r="Y191" s="85" t="n"/>
      <c r="Z191" s="85" t="n"/>
    </row>
    <row r="192" ht="15.75" customHeight="1" s="86">
      <c r="T192" s="85" t="n"/>
      <c r="U192" s="85" t="n"/>
      <c r="V192" s="85" t="n"/>
      <c r="W192" s="85" t="n"/>
      <c r="X192" s="85" t="n"/>
      <c r="Y192" s="85" t="n"/>
      <c r="Z192" s="85" t="n"/>
    </row>
    <row r="193" ht="15.75" customHeight="1" s="86">
      <c r="T193" s="85" t="n"/>
      <c r="U193" s="85" t="n"/>
      <c r="V193" s="85" t="n"/>
      <c r="W193" s="85" t="n"/>
      <c r="X193" s="85" t="n"/>
      <c r="Y193" s="85" t="n"/>
      <c r="Z193" s="85" t="n"/>
    </row>
    <row r="194" ht="15.75" customHeight="1" s="86">
      <c r="T194" s="85" t="n"/>
      <c r="U194" s="85" t="n"/>
      <c r="V194" s="85" t="n"/>
      <c r="W194" s="85" t="n"/>
      <c r="X194" s="85" t="n"/>
      <c r="Y194" s="85" t="n"/>
      <c r="Z194" s="85" t="n"/>
    </row>
    <row r="195" ht="15.75" customHeight="1" s="86">
      <c r="T195" s="85" t="n"/>
      <c r="U195" s="85" t="n"/>
      <c r="V195" s="85" t="n"/>
      <c r="W195" s="85" t="n"/>
      <c r="X195" s="85" t="n"/>
      <c r="Y195" s="85" t="n"/>
      <c r="Z195" s="85" t="n"/>
    </row>
    <row r="196" ht="15.75" customHeight="1" s="86">
      <c r="T196" s="85" t="n"/>
      <c r="U196" s="85" t="n"/>
      <c r="V196" s="85" t="n"/>
      <c r="W196" s="85" t="n"/>
      <c r="X196" s="85" t="n"/>
      <c r="Y196" s="85" t="n"/>
      <c r="Z196" s="85" t="n"/>
    </row>
    <row r="197" ht="15.75" customHeight="1" s="86">
      <c r="T197" s="85" t="n"/>
      <c r="U197" s="85" t="n"/>
      <c r="V197" s="85" t="n"/>
      <c r="W197" s="85" t="n"/>
      <c r="X197" s="85" t="n"/>
      <c r="Y197" s="85" t="n"/>
      <c r="Z197" s="85" t="n"/>
    </row>
    <row r="198" ht="15.75" customHeight="1" s="86">
      <c r="T198" s="85" t="n"/>
      <c r="U198" s="85" t="n"/>
      <c r="V198" s="85" t="n"/>
      <c r="W198" s="85" t="n"/>
      <c r="X198" s="85" t="n"/>
      <c r="Y198" s="85" t="n"/>
      <c r="Z198" s="85" t="n"/>
    </row>
    <row r="199" ht="15.75" customHeight="1" s="86">
      <c r="T199" s="85" t="n"/>
      <c r="U199" s="85" t="n"/>
      <c r="V199" s="85" t="n"/>
      <c r="W199" s="85" t="n"/>
      <c r="X199" s="85" t="n"/>
      <c r="Y199" s="85" t="n"/>
      <c r="Z199" s="85" t="n"/>
    </row>
    <row r="200" ht="15.75" customHeight="1" s="86">
      <c r="T200" s="85" t="n"/>
      <c r="U200" s="85" t="n"/>
      <c r="V200" s="85" t="n"/>
      <c r="W200" s="85" t="n"/>
      <c r="X200" s="85" t="n"/>
      <c r="Y200" s="85" t="n"/>
      <c r="Z200" s="85" t="n"/>
    </row>
    <row r="201" ht="15.75" customHeight="1" s="86">
      <c r="T201" s="85" t="n"/>
      <c r="U201" s="85" t="n"/>
      <c r="V201" s="85" t="n"/>
      <c r="W201" s="85" t="n"/>
      <c r="X201" s="85" t="n"/>
      <c r="Y201" s="85" t="n"/>
      <c r="Z201" s="85" t="n"/>
    </row>
    <row r="202" ht="15.75" customHeight="1" s="86">
      <c r="T202" s="85" t="n"/>
      <c r="U202" s="85" t="n"/>
      <c r="V202" s="85" t="n"/>
      <c r="W202" s="85" t="n"/>
      <c r="X202" s="85" t="n"/>
      <c r="Y202" s="85" t="n"/>
      <c r="Z202" s="85" t="n"/>
    </row>
    <row r="203" ht="15.75" customHeight="1" s="86">
      <c r="T203" s="85" t="n"/>
      <c r="U203" s="85" t="n"/>
      <c r="V203" s="85" t="n"/>
      <c r="W203" s="85" t="n"/>
      <c r="X203" s="85" t="n"/>
      <c r="Y203" s="85" t="n"/>
      <c r="Z203" s="85" t="n"/>
    </row>
    <row r="204" ht="15.75" customHeight="1" s="86">
      <c r="T204" s="85" t="n"/>
      <c r="U204" s="85" t="n"/>
      <c r="V204" s="85" t="n"/>
      <c r="W204" s="85" t="n"/>
      <c r="X204" s="85" t="n"/>
      <c r="Y204" s="85" t="n"/>
      <c r="Z204" s="85" t="n"/>
    </row>
    <row r="205" ht="15.75" customHeight="1" s="86">
      <c r="T205" s="85" t="n"/>
      <c r="U205" s="85" t="n"/>
      <c r="V205" s="85" t="n"/>
      <c r="W205" s="85" t="n"/>
      <c r="X205" s="85" t="n"/>
      <c r="Y205" s="85" t="n"/>
      <c r="Z205" s="85" t="n"/>
    </row>
    <row r="206" ht="15.75" customHeight="1" s="86">
      <c r="T206" s="85" t="n"/>
      <c r="U206" s="85" t="n"/>
      <c r="V206" s="85" t="n"/>
      <c r="W206" s="85" t="n"/>
      <c r="X206" s="85" t="n"/>
      <c r="Y206" s="85" t="n"/>
      <c r="Z206" s="85" t="n"/>
    </row>
    <row r="207" ht="15.75" customHeight="1" s="86">
      <c r="T207" s="85" t="n"/>
      <c r="U207" s="85" t="n"/>
      <c r="V207" s="85" t="n"/>
      <c r="W207" s="85" t="n"/>
      <c r="X207" s="85" t="n"/>
      <c r="Y207" s="85" t="n"/>
      <c r="Z207" s="85" t="n"/>
    </row>
    <row r="208" ht="15.75" customHeight="1" s="86">
      <c r="T208" s="85" t="n"/>
      <c r="U208" s="85" t="n"/>
      <c r="V208" s="85" t="n"/>
      <c r="W208" s="85" t="n"/>
      <c r="X208" s="85" t="n"/>
      <c r="Y208" s="85" t="n"/>
      <c r="Z208" s="85" t="n"/>
    </row>
    <row r="209" ht="15.75" customHeight="1" s="86">
      <c r="T209" s="85" t="n"/>
      <c r="U209" s="85" t="n"/>
      <c r="V209" s="85" t="n"/>
      <c r="W209" s="85" t="n"/>
      <c r="X209" s="85" t="n"/>
      <c r="Y209" s="85" t="n"/>
      <c r="Z209" s="85" t="n"/>
    </row>
    <row r="210" ht="15.75" customHeight="1" s="86">
      <c r="T210" s="85" t="n"/>
      <c r="U210" s="85" t="n"/>
      <c r="V210" s="85" t="n"/>
      <c r="W210" s="85" t="n"/>
      <c r="X210" s="85" t="n"/>
      <c r="Y210" s="85" t="n"/>
      <c r="Z210" s="85" t="n"/>
    </row>
    <row r="211" ht="15.75" customHeight="1" s="86">
      <c r="T211" s="85" t="n"/>
      <c r="U211" s="85" t="n"/>
      <c r="V211" s="85" t="n"/>
      <c r="W211" s="85" t="n"/>
      <c r="X211" s="85" t="n"/>
      <c r="Y211" s="85" t="n"/>
      <c r="Z211" s="85" t="n"/>
    </row>
    <row r="212" ht="15.75" customHeight="1" s="86">
      <c r="T212" s="85" t="n"/>
      <c r="U212" s="85" t="n"/>
      <c r="V212" s="85" t="n"/>
      <c r="W212" s="85" t="n"/>
      <c r="X212" s="85" t="n"/>
      <c r="Y212" s="85" t="n"/>
      <c r="Z212" s="85" t="n"/>
    </row>
    <row r="213" ht="15.75" customHeight="1" s="86">
      <c r="T213" s="85" t="n"/>
      <c r="U213" s="85" t="n"/>
      <c r="V213" s="85" t="n"/>
      <c r="W213" s="85" t="n"/>
      <c r="X213" s="85" t="n"/>
      <c r="Y213" s="85" t="n"/>
      <c r="Z213" s="85" t="n"/>
    </row>
    <row r="214" ht="15.75" customHeight="1" s="86">
      <c r="T214" s="85" t="n"/>
      <c r="U214" s="85" t="n"/>
      <c r="V214" s="85" t="n"/>
      <c r="W214" s="85" t="n"/>
      <c r="X214" s="85" t="n"/>
      <c r="Y214" s="85" t="n"/>
      <c r="Z214" s="85" t="n"/>
    </row>
    <row r="215" ht="15.75" customHeight="1" s="86">
      <c r="T215" s="85" t="n"/>
      <c r="U215" s="85" t="n"/>
      <c r="V215" s="85" t="n"/>
      <c r="W215" s="85" t="n"/>
      <c r="X215" s="85" t="n"/>
      <c r="Y215" s="85" t="n"/>
      <c r="Z215" s="85" t="n"/>
    </row>
    <row r="216" ht="15.75" customHeight="1" s="86">
      <c r="T216" s="85" t="n"/>
      <c r="U216" s="85" t="n"/>
      <c r="V216" s="85" t="n"/>
      <c r="W216" s="85" t="n"/>
      <c r="X216" s="85" t="n"/>
      <c r="Y216" s="85" t="n"/>
      <c r="Z216" s="85" t="n"/>
    </row>
    <row r="217" ht="15.75" customHeight="1" s="86">
      <c r="T217" s="85" t="n"/>
      <c r="U217" s="85" t="n"/>
      <c r="V217" s="85" t="n"/>
      <c r="W217" s="85" t="n"/>
      <c r="X217" s="85" t="n"/>
      <c r="Y217" s="85" t="n"/>
      <c r="Z217" s="85" t="n"/>
    </row>
    <row r="218" ht="15.75" customHeight="1" s="86">
      <c r="T218" s="85" t="n"/>
      <c r="U218" s="85" t="n"/>
      <c r="V218" s="85" t="n"/>
      <c r="W218" s="85" t="n"/>
      <c r="X218" s="85" t="n"/>
      <c r="Y218" s="85" t="n"/>
      <c r="Z218" s="85" t="n"/>
    </row>
    <row r="219" ht="15.75" customHeight="1" s="86">
      <c r="T219" s="85" t="n"/>
      <c r="U219" s="85" t="n"/>
      <c r="V219" s="85" t="n"/>
      <c r="W219" s="85" t="n"/>
      <c r="X219" s="85" t="n"/>
      <c r="Y219" s="85" t="n"/>
      <c r="Z219" s="85" t="n"/>
    </row>
    <row r="220" ht="15.75" customHeight="1" s="86">
      <c r="T220" s="85" t="n"/>
      <c r="U220" s="85" t="n"/>
      <c r="V220" s="85" t="n"/>
      <c r="W220" s="85" t="n"/>
      <c r="X220" s="85" t="n"/>
      <c r="Y220" s="85" t="n"/>
      <c r="Z220" s="85" t="n"/>
    </row>
    <row r="221" ht="15.75" customHeight="1" s="86">
      <c r="T221" s="85" t="n"/>
      <c r="U221" s="85" t="n"/>
      <c r="V221" s="85" t="n"/>
      <c r="W221" s="85" t="n"/>
      <c r="X221" s="85" t="n"/>
      <c r="Y221" s="85" t="n"/>
      <c r="Z221" s="85" t="n"/>
    </row>
    <row r="222" ht="15.75" customHeight="1" s="86">
      <c r="T222" s="85" t="n"/>
      <c r="U222" s="85" t="n"/>
      <c r="V222" s="85" t="n"/>
      <c r="W222" s="85" t="n"/>
      <c r="X222" s="85" t="n"/>
      <c r="Y222" s="85" t="n"/>
      <c r="Z222" s="85" t="n"/>
    </row>
    <row r="223" ht="15.75" customHeight="1" s="86">
      <c r="T223" s="85" t="n"/>
      <c r="U223" s="85" t="n"/>
      <c r="V223" s="85" t="n"/>
      <c r="W223" s="85" t="n"/>
      <c r="X223" s="85" t="n"/>
      <c r="Y223" s="85" t="n"/>
      <c r="Z223" s="85" t="n"/>
    </row>
    <row r="224" ht="15.75" customHeight="1" s="86">
      <c r="T224" s="85" t="n"/>
      <c r="U224" s="85" t="n"/>
      <c r="V224" s="85" t="n"/>
      <c r="W224" s="85" t="n"/>
      <c r="X224" s="85" t="n"/>
      <c r="Y224" s="85" t="n"/>
      <c r="Z224" s="85" t="n"/>
    </row>
    <row r="225" ht="15.75" customHeight="1" s="86">
      <c r="T225" s="85" t="n"/>
      <c r="U225" s="85" t="n"/>
      <c r="V225" s="85" t="n"/>
      <c r="W225" s="85" t="n"/>
      <c r="X225" s="85" t="n"/>
      <c r="Y225" s="85" t="n"/>
      <c r="Z225" s="85" t="n"/>
    </row>
    <row r="226" ht="15.75" customHeight="1" s="86">
      <c r="T226" s="85" t="n"/>
      <c r="U226" s="85" t="n"/>
      <c r="V226" s="85" t="n"/>
      <c r="W226" s="85" t="n"/>
      <c r="X226" s="85" t="n"/>
      <c r="Y226" s="85" t="n"/>
      <c r="Z226" s="85" t="n"/>
    </row>
    <row r="227" ht="15.75" customHeight="1" s="86">
      <c r="T227" s="85" t="n"/>
      <c r="U227" s="85" t="n"/>
      <c r="V227" s="85" t="n"/>
      <c r="W227" s="85" t="n"/>
      <c r="X227" s="85" t="n"/>
      <c r="Y227" s="85" t="n"/>
      <c r="Z227" s="85" t="n"/>
    </row>
    <row r="228" ht="15.75" customHeight="1" s="86">
      <c r="T228" s="85" t="n"/>
      <c r="U228" s="85" t="n"/>
      <c r="V228" s="85" t="n"/>
      <c r="W228" s="85" t="n"/>
      <c r="X228" s="85" t="n"/>
      <c r="Y228" s="85" t="n"/>
      <c r="Z228" s="85" t="n"/>
    </row>
    <row r="229" ht="15.75" customHeight="1" s="86">
      <c r="T229" s="85" t="n"/>
      <c r="U229" s="85" t="n"/>
      <c r="V229" s="85" t="n"/>
      <c r="W229" s="85" t="n"/>
      <c r="X229" s="85" t="n"/>
      <c r="Y229" s="85" t="n"/>
      <c r="Z229" s="85" t="n"/>
    </row>
    <row r="230" ht="15.75" customHeight="1" s="86">
      <c r="T230" s="85" t="n"/>
      <c r="U230" s="85" t="n"/>
      <c r="V230" s="85" t="n"/>
      <c r="W230" s="85" t="n"/>
      <c r="X230" s="85" t="n"/>
      <c r="Y230" s="85" t="n"/>
      <c r="Z230" s="85" t="n"/>
    </row>
    <row r="231" ht="15.75" customHeight="1" s="86">
      <c r="T231" s="85" t="n"/>
      <c r="U231" s="85" t="n"/>
      <c r="V231" s="85" t="n"/>
      <c r="W231" s="85" t="n"/>
      <c r="X231" s="85" t="n"/>
      <c r="Y231" s="85" t="n"/>
      <c r="Z231" s="85" t="n"/>
    </row>
    <row r="232" ht="15.75" customHeight="1" s="86">
      <c r="T232" s="85" t="n"/>
      <c r="U232" s="85" t="n"/>
      <c r="V232" s="85" t="n"/>
      <c r="W232" s="85" t="n"/>
      <c r="X232" s="85" t="n"/>
      <c r="Y232" s="85" t="n"/>
      <c r="Z232" s="85" t="n"/>
    </row>
    <row r="233" ht="15.75" customHeight="1" s="86">
      <c r="T233" s="85" t="n"/>
      <c r="U233" s="85" t="n"/>
      <c r="V233" s="85" t="n"/>
      <c r="W233" s="85" t="n"/>
      <c r="X233" s="85" t="n"/>
      <c r="Y233" s="85" t="n"/>
      <c r="Z233" s="85" t="n"/>
    </row>
    <row r="234" ht="15.75" customHeight="1" s="86">
      <c r="T234" s="85" t="n"/>
      <c r="U234" s="85" t="n"/>
      <c r="V234" s="85" t="n"/>
      <c r="W234" s="85" t="n"/>
      <c r="X234" s="85" t="n"/>
      <c r="Y234" s="85" t="n"/>
      <c r="Z234" s="85" t="n"/>
    </row>
    <row r="235" ht="15.75" customHeight="1" s="86">
      <c r="T235" s="85" t="n"/>
      <c r="U235" s="85" t="n"/>
      <c r="V235" s="85" t="n"/>
      <c r="W235" s="85" t="n"/>
      <c r="X235" s="85" t="n"/>
      <c r="Y235" s="85" t="n"/>
      <c r="Z235" s="85" t="n"/>
    </row>
    <row r="236" ht="15.75" customHeight="1" s="86">
      <c r="T236" s="85" t="n"/>
      <c r="U236" s="85" t="n"/>
      <c r="V236" s="85" t="n"/>
      <c r="W236" s="85" t="n"/>
      <c r="X236" s="85" t="n"/>
      <c r="Y236" s="85" t="n"/>
      <c r="Z236" s="85" t="n"/>
    </row>
    <row r="237" ht="15.75" customHeight="1" s="86">
      <c r="T237" s="85" t="n"/>
      <c r="U237" s="85" t="n"/>
      <c r="V237" s="85" t="n"/>
      <c r="W237" s="85" t="n"/>
      <c r="X237" s="85" t="n"/>
      <c r="Y237" s="85" t="n"/>
      <c r="Z237" s="85" t="n"/>
    </row>
    <row r="238" ht="15.75" customHeight="1" s="86">
      <c r="T238" s="85" t="n"/>
      <c r="U238" s="85" t="n"/>
      <c r="V238" s="85" t="n"/>
      <c r="W238" s="85" t="n"/>
      <c r="X238" s="85" t="n"/>
      <c r="Y238" s="85" t="n"/>
      <c r="Z238" s="85" t="n"/>
    </row>
    <row r="239" ht="15.75" customHeight="1" s="86">
      <c r="T239" s="85" t="n"/>
      <c r="U239" s="85" t="n"/>
      <c r="V239" s="85" t="n"/>
      <c r="W239" s="85" t="n"/>
      <c r="X239" s="85" t="n"/>
      <c r="Y239" s="85" t="n"/>
      <c r="Z239" s="85" t="n"/>
    </row>
    <row r="240" ht="15.75" customHeight="1" s="86">
      <c r="T240" s="85" t="n"/>
      <c r="U240" s="85" t="n"/>
      <c r="V240" s="85" t="n"/>
      <c r="W240" s="85" t="n"/>
      <c r="X240" s="85" t="n"/>
      <c r="Y240" s="85" t="n"/>
      <c r="Z240" s="85" t="n"/>
    </row>
    <row r="241" ht="15.75" customHeight="1" s="86">
      <c r="T241" s="85" t="n"/>
      <c r="U241" s="85" t="n"/>
      <c r="V241" s="85" t="n"/>
      <c r="W241" s="85" t="n"/>
      <c r="X241" s="85" t="n"/>
      <c r="Y241" s="85" t="n"/>
      <c r="Z241" s="85" t="n"/>
    </row>
    <row r="242" ht="15.75" customHeight="1" s="86">
      <c r="T242" s="85" t="n"/>
      <c r="U242" s="85" t="n"/>
      <c r="V242" s="85" t="n"/>
      <c r="W242" s="85" t="n"/>
      <c r="X242" s="85" t="n"/>
      <c r="Y242" s="85" t="n"/>
      <c r="Z242" s="85" t="n"/>
    </row>
    <row r="243" ht="15.75" customHeight="1" s="86">
      <c r="T243" s="85" t="n"/>
      <c r="U243" s="85" t="n"/>
      <c r="V243" s="85" t="n"/>
      <c r="W243" s="85" t="n"/>
      <c r="X243" s="85" t="n"/>
      <c r="Y243" s="85" t="n"/>
      <c r="Z243" s="85" t="n"/>
    </row>
    <row r="244" ht="15.75" customHeight="1" s="86">
      <c r="T244" s="85" t="n"/>
      <c r="U244" s="85" t="n"/>
      <c r="V244" s="85" t="n"/>
      <c r="W244" s="85" t="n"/>
      <c r="X244" s="85" t="n"/>
      <c r="Y244" s="85" t="n"/>
      <c r="Z244" s="85" t="n"/>
    </row>
    <row r="245" ht="15.75" customHeight="1" s="86">
      <c r="T245" s="85" t="n"/>
      <c r="U245" s="85" t="n"/>
      <c r="V245" s="85" t="n"/>
      <c r="W245" s="85" t="n"/>
      <c r="X245" s="85" t="n"/>
      <c r="Y245" s="85" t="n"/>
      <c r="Z245" s="85" t="n"/>
    </row>
    <row r="246" ht="15.75" customHeight="1" s="86">
      <c r="T246" s="85" t="n"/>
      <c r="U246" s="85" t="n"/>
      <c r="V246" s="85" t="n"/>
      <c r="W246" s="85" t="n"/>
      <c r="X246" s="85" t="n"/>
      <c r="Y246" s="85" t="n"/>
      <c r="Z246" s="85" t="n"/>
    </row>
    <row r="247" ht="15.75" customHeight="1" s="86">
      <c r="T247" s="85" t="n"/>
      <c r="U247" s="85" t="n"/>
      <c r="V247" s="85" t="n"/>
      <c r="W247" s="85" t="n"/>
      <c r="X247" s="85" t="n"/>
      <c r="Y247" s="85" t="n"/>
      <c r="Z247" s="85" t="n"/>
    </row>
    <row r="248" ht="15.75" customHeight="1" s="86">
      <c r="T248" s="85" t="n"/>
      <c r="U248" s="85" t="n"/>
      <c r="V248" s="85" t="n"/>
      <c r="W248" s="85" t="n"/>
      <c r="X248" s="85" t="n"/>
      <c r="Y248" s="85" t="n"/>
      <c r="Z248" s="85" t="n"/>
    </row>
    <row r="249" ht="15.75" customHeight="1" s="86">
      <c r="T249" s="85" t="n"/>
      <c r="U249" s="85" t="n"/>
      <c r="V249" s="85" t="n"/>
      <c r="W249" s="85" t="n"/>
      <c r="X249" s="85" t="n"/>
      <c r="Y249" s="85" t="n"/>
      <c r="Z249" s="85" t="n"/>
    </row>
    <row r="250" ht="15.75" customHeight="1" s="86">
      <c r="T250" s="85" t="n"/>
      <c r="U250" s="85" t="n"/>
      <c r="V250" s="85" t="n"/>
      <c r="W250" s="85" t="n"/>
      <c r="X250" s="85" t="n"/>
      <c r="Y250" s="85" t="n"/>
      <c r="Z250" s="85" t="n"/>
    </row>
    <row r="251" ht="15.75" customHeight="1" s="86">
      <c r="T251" s="85" t="n"/>
      <c r="U251" s="85" t="n"/>
      <c r="V251" s="85" t="n"/>
      <c r="W251" s="85" t="n"/>
      <c r="X251" s="85" t="n"/>
      <c r="Y251" s="85" t="n"/>
      <c r="Z251" s="85" t="n"/>
    </row>
    <row r="252" ht="15.75" customHeight="1" s="86">
      <c r="T252" s="85" t="n"/>
      <c r="U252" s="85" t="n"/>
      <c r="V252" s="85" t="n"/>
      <c r="W252" s="85" t="n"/>
      <c r="X252" s="85" t="n"/>
      <c r="Y252" s="85" t="n"/>
      <c r="Z252" s="85" t="n"/>
    </row>
    <row r="253" ht="15.75" customHeight="1" s="86">
      <c r="T253" s="85" t="n"/>
      <c r="U253" s="85" t="n"/>
      <c r="V253" s="85" t="n"/>
      <c r="W253" s="85" t="n"/>
      <c r="X253" s="85" t="n"/>
      <c r="Y253" s="85" t="n"/>
      <c r="Z253" s="85" t="n"/>
    </row>
    <row r="254" ht="15.75" customHeight="1" s="86">
      <c r="T254" s="85" t="n"/>
      <c r="U254" s="85" t="n"/>
      <c r="V254" s="85" t="n"/>
      <c r="W254" s="85" t="n"/>
      <c r="X254" s="85" t="n"/>
      <c r="Y254" s="85" t="n"/>
      <c r="Z254" s="85" t="n"/>
    </row>
    <row r="255" ht="15.75" customHeight="1" s="86">
      <c r="T255" s="85" t="n"/>
      <c r="U255" s="85" t="n"/>
      <c r="V255" s="85" t="n"/>
      <c r="W255" s="85" t="n"/>
      <c r="X255" s="85" t="n"/>
      <c r="Y255" s="85" t="n"/>
      <c r="Z255" s="85" t="n"/>
    </row>
    <row r="256" ht="15.75" customHeight="1" s="86">
      <c r="T256" s="85" t="n"/>
      <c r="U256" s="85" t="n"/>
      <c r="V256" s="85" t="n"/>
      <c r="W256" s="85" t="n"/>
      <c r="X256" s="85" t="n"/>
      <c r="Y256" s="85" t="n"/>
      <c r="Z256" s="85" t="n"/>
    </row>
    <row r="257" ht="15.75" customHeight="1" s="86">
      <c r="T257" s="85" t="n"/>
      <c r="U257" s="85" t="n"/>
      <c r="V257" s="85" t="n"/>
      <c r="W257" s="85" t="n"/>
      <c r="X257" s="85" t="n"/>
      <c r="Y257" s="85" t="n"/>
      <c r="Z257" s="85" t="n"/>
    </row>
    <row r="258" ht="15.75" customHeight="1" s="86">
      <c r="T258" s="85" t="n"/>
      <c r="U258" s="85" t="n"/>
      <c r="V258" s="85" t="n"/>
      <c r="W258" s="85" t="n"/>
      <c r="X258" s="85" t="n"/>
      <c r="Y258" s="85" t="n"/>
      <c r="Z258" s="85" t="n"/>
    </row>
    <row r="259" ht="15.75" customHeight="1" s="86">
      <c r="T259" s="85" t="n"/>
      <c r="U259" s="85" t="n"/>
      <c r="V259" s="85" t="n"/>
      <c r="W259" s="85" t="n"/>
      <c r="X259" s="85" t="n"/>
      <c r="Y259" s="85" t="n"/>
      <c r="Z259" s="85" t="n"/>
    </row>
    <row r="260" ht="15.75" customHeight="1" s="86">
      <c r="T260" s="85" t="n"/>
      <c r="U260" s="85" t="n"/>
      <c r="V260" s="85" t="n"/>
      <c r="W260" s="85" t="n"/>
      <c r="X260" s="85" t="n"/>
      <c r="Y260" s="85" t="n"/>
      <c r="Z260" s="85" t="n"/>
    </row>
    <row r="261" ht="15.75" customHeight="1" s="86">
      <c r="T261" s="85" t="n"/>
      <c r="U261" s="85" t="n"/>
      <c r="V261" s="85" t="n"/>
      <c r="W261" s="85" t="n"/>
      <c r="X261" s="85" t="n"/>
      <c r="Y261" s="85" t="n"/>
      <c r="Z261" s="85" t="n"/>
    </row>
    <row r="262" ht="15.75" customHeight="1" s="86">
      <c r="T262" s="85" t="n"/>
      <c r="U262" s="85" t="n"/>
      <c r="V262" s="85" t="n"/>
      <c r="W262" s="85" t="n"/>
      <c r="X262" s="85" t="n"/>
      <c r="Y262" s="85" t="n"/>
      <c r="Z262" s="85" t="n"/>
    </row>
    <row r="263" ht="15.75" customHeight="1" s="86">
      <c r="T263" s="85" t="n"/>
      <c r="U263" s="85" t="n"/>
      <c r="V263" s="85" t="n"/>
      <c r="W263" s="85" t="n"/>
      <c r="X263" s="85" t="n"/>
      <c r="Y263" s="85" t="n"/>
      <c r="Z263" s="85" t="n"/>
    </row>
    <row r="264" ht="15.75" customHeight="1" s="86">
      <c r="T264" s="85" t="n"/>
      <c r="U264" s="85" t="n"/>
      <c r="V264" s="85" t="n"/>
      <c r="W264" s="85" t="n"/>
      <c r="X264" s="85" t="n"/>
      <c r="Y264" s="85" t="n"/>
      <c r="Z264" s="85" t="n"/>
    </row>
    <row r="265" ht="15.75" customHeight="1" s="86">
      <c r="T265" s="85" t="n"/>
      <c r="U265" s="85" t="n"/>
      <c r="V265" s="85" t="n"/>
      <c r="W265" s="85" t="n"/>
      <c r="X265" s="85" t="n"/>
      <c r="Y265" s="85" t="n"/>
      <c r="Z265" s="85" t="n"/>
    </row>
    <row r="266" ht="15.75" customHeight="1" s="86">
      <c r="T266" s="85" t="n"/>
      <c r="U266" s="85" t="n"/>
      <c r="V266" s="85" t="n"/>
      <c r="W266" s="85" t="n"/>
      <c r="X266" s="85" t="n"/>
      <c r="Y266" s="85" t="n"/>
      <c r="Z266" s="85" t="n"/>
    </row>
    <row r="267" ht="15.75" customHeight="1" s="86">
      <c r="T267" s="85" t="n"/>
      <c r="U267" s="85" t="n"/>
      <c r="V267" s="85" t="n"/>
      <c r="W267" s="85" t="n"/>
      <c r="X267" s="85" t="n"/>
      <c r="Y267" s="85" t="n"/>
      <c r="Z267" s="85" t="n"/>
    </row>
    <row r="268" ht="15.75" customHeight="1" s="86">
      <c r="T268" s="85" t="n"/>
      <c r="U268" s="85" t="n"/>
      <c r="V268" s="85" t="n"/>
      <c r="W268" s="85" t="n"/>
      <c r="X268" s="85" t="n"/>
      <c r="Y268" s="85" t="n"/>
      <c r="Z268" s="85" t="n"/>
    </row>
    <row r="269" ht="15.75" customHeight="1" s="86">
      <c r="T269" s="85" t="n"/>
      <c r="U269" s="85" t="n"/>
      <c r="V269" s="85" t="n"/>
      <c r="W269" s="85" t="n"/>
      <c r="X269" s="85" t="n"/>
      <c r="Y269" s="85" t="n"/>
      <c r="Z269" s="85" t="n"/>
    </row>
    <row r="270" ht="15.75" customHeight="1" s="86">
      <c r="T270" s="85" t="n"/>
      <c r="U270" s="85" t="n"/>
      <c r="V270" s="85" t="n"/>
      <c r="W270" s="85" t="n"/>
      <c r="X270" s="85" t="n"/>
      <c r="Y270" s="85" t="n"/>
      <c r="Z270" s="85" t="n"/>
    </row>
    <row r="271" ht="15.75" customHeight="1" s="86">
      <c r="T271" s="85" t="n"/>
      <c r="U271" s="85" t="n"/>
      <c r="V271" s="85" t="n"/>
      <c r="W271" s="85" t="n"/>
      <c r="X271" s="85" t="n"/>
      <c r="Y271" s="85" t="n"/>
      <c r="Z271" s="85" t="n"/>
    </row>
    <row r="272" ht="15.75" customHeight="1" s="86">
      <c r="T272" s="85" t="n"/>
      <c r="U272" s="85" t="n"/>
      <c r="V272" s="85" t="n"/>
      <c r="W272" s="85" t="n"/>
      <c r="X272" s="85" t="n"/>
      <c r="Y272" s="85" t="n"/>
      <c r="Z272" s="85" t="n"/>
    </row>
    <row r="273" ht="15.75" customHeight="1" s="86">
      <c r="T273" s="85" t="n"/>
      <c r="U273" s="85" t="n"/>
      <c r="V273" s="85" t="n"/>
      <c r="W273" s="85" t="n"/>
      <c r="X273" s="85" t="n"/>
      <c r="Y273" s="85" t="n"/>
      <c r="Z273" s="85" t="n"/>
    </row>
    <row r="274" ht="15.75" customHeight="1" s="86">
      <c r="T274" s="85" t="n"/>
      <c r="U274" s="85" t="n"/>
      <c r="V274" s="85" t="n"/>
      <c r="W274" s="85" t="n"/>
      <c r="X274" s="85" t="n"/>
      <c r="Y274" s="85" t="n"/>
      <c r="Z274" s="85" t="n"/>
    </row>
    <row r="275" ht="15.75" customHeight="1" s="86">
      <c r="T275" s="85" t="n"/>
      <c r="U275" s="85" t="n"/>
      <c r="V275" s="85" t="n"/>
      <c r="W275" s="85" t="n"/>
      <c r="X275" s="85" t="n"/>
      <c r="Y275" s="85" t="n"/>
      <c r="Z275" s="85" t="n"/>
    </row>
    <row r="276" ht="15.75" customHeight="1" s="86">
      <c r="T276" s="85" t="n"/>
      <c r="U276" s="85" t="n"/>
      <c r="V276" s="85" t="n"/>
      <c r="W276" s="85" t="n"/>
      <c r="X276" s="85" t="n"/>
      <c r="Y276" s="85" t="n"/>
      <c r="Z276" s="85" t="n"/>
    </row>
    <row r="277" ht="15.75" customHeight="1" s="86">
      <c r="T277" s="85" t="n"/>
      <c r="U277" s="85" t="n"/>
      <c r="V277" s="85" t="n"/>
      <c r="W277" s="85" t="n"/>
      <c r="X277" s="85" t="n"/>
      <c r="Y277" s="85" t="n"/>
      <c r="Z277" s="85" t="n"/>
    </row>
    <row r="278" ht="15.75" customHeight="1" s="86">
      <c r="T278" s="85" t="n"/>
      <c r="U278" s="85" t="n"/>
      <c r="V278" s="85" t="n"/>
      <c r="W278" s="85" t="n"/>
      <c r="X278" s="85" t="n"/>
      <c r="Y278" s="85" t="n"/>
      <c r="Z278" s="85" t="n"/>
    </row>
    <row r="279" ht="15.75" customHeight="1" s="86">
      <c r="T279" s="85" t="n"/>
      <c r="U279" s="85" t="n"/>
      <c r="V279" s="85" t="n"/>
      <c r="W279" s="85" t="n"/>
      <c r="X279" s="85" t="n"/>
      <c r="Y279" s="85" t="n"/>
      <c r="Z279" s="85" t="n"/>
    </row>
    <row r="280" ht="15.75" customHeight="1" s="86">
      <c r="T280" s="85" t="n"/>
      <c r="U280" s="85" t="n"/>
      <c r="V280" s="85" t="n"/>
      <c r="W280" s="85" t="n"/>
      <c r="X280" s="85" t="n"/>
      <c r="Y280" s="85" t="n"/>
      <c r="Z280" s="85" t="n"/>
    </row>
    <row r="281" ht="15.75" customHeight="1" s="86">
      <c r="T281" s="85" t="n"/>
      <c r="U281" s="85" t="n"/>
      <c r="V281" s="85" t="n"/>
      <c r="W281" s="85" t="n"/>
      <c r="X281" s="85" t="n"/>
      <c r="Y281" s="85" t="n"/>
      <c r="Z281" s="85" t="n"/>
    </row>
    <row r="282" ht="15.75" customHeight="1" s="86">
      <c r="T282" s="85" t="n"/>
      <c r="U282" s="85" t="n"/>
      <c r="V282" s="85" t="n"/>
      <c r="W282" s="85" t="n"/>
      <c r="X282" s="85" t="n"/>
      <c r="Y282" s="85" t="n"/>
      <c r="Z282" s="85" t="n"/>
    </row>
    <row r="283" ht="15.75" customHeight="1" s="86">
      <c r="T283" s="85" t="n"/>
      <c r="U283" s="85" t="n"/>
      <c r="V283" s="85" t="n"/>
      <c r="W283" s="85" t="n"/>
      <c r="X283" s="85" t="n"/>
      <c r="Y283" s="85" t="n"/>
      <c r="Z283" s="85" t="n"/>
    </row>
    <row r="284" ht="15.75" customHeight="1" s="86">
      <c r="T284" s="85" t="n"/>
      <c r="U284" s="85" t="n"/>
      <c r="V284" s="85" t="n"/>
      <c r="W284" s="85" t="n"/>
      <c r="X284" s="85" t="n"/>
      <c r="Y284" s="85" t="n"/>
      <c r="Z284" s="85" t="n"/>
    </row>
    <row r="285" ht="15.75" customHeight="1" s="86">
      <c r="T285" s="85" t="n"/>
      <c r="U285" s="85" t="n"/>
      <c r="V285" s="85" t="n"/>
      <c r="W285" s="85" t="n"/>
      <c r="X285" s="85" t="n"/>
      <c r="Y285" s="85" t="n"/>
      <c r="Z285" s="85" t="n"/>
    </row>
    <row r="286" ht="15.75" customHeight="1" s="86">
      <c r="T286" s="85" t="n"/>
      <c r="U286" s="85" t="n"/>
      <c r="V286" s="85" t="n"/>
      <c r="W286" s="85" t="n"/>
      <c r="X286" s="85" t="n"/>
      <c r="Y286" s="85" t="n"/>
      <c r="Z286" s="85" t="n"/>
    </row>
    <row r="287" ht="15.75" customHeight="1" s="86">
      <c r="T287" s="85" t="n"/>
      <c r="U287" s="85" t="n"/>
      <c r="V287" s="85" t="n"/>
      <c r="W287" s="85" t="n"/>
      <c r="X287" s="85" t="n"/>
      <c r="Y287" s="85" t="n"/>
      <c r="Z287" s="85" t="n"/>
    </row>
    <row r="288" ht="15.75" customHeight="1" s="86">
      <c r="T288" s="85" t="n"/>
      <c r="U288" s="85" t="n"/>
      <c r="V288" s="85" t="n"/>
      <c r="W288" s="85" t="n"/>
      <c r="X288" s="85" t="n"/>
      <c r="Y288" s="85" t="n"/>
      <c r="Z288" s="85" t="n"/>
    </row>
    <row r="289" ht="15.75" customHeight="1" s="86">
      <c r="T289" s="85" t="n"/>
      <c r="U289" s="85" t="n"/>
      <c r="V289" s="85" t="n"/>
      <c r="W289" s="85" t="n"/>
      <c r="X289" s="85" t="n"/>
      <c r="Y289" s="85" t="n"/>
      <c r="Z289" s="85" t="n"/>
    </row>
    <row r="290" ht="15.75" customHeight="1" s="86">
      <c r="T290" s="85" t="n"/>
      <c r="U290" s="85" t="n"/>
      <c r="V290" s="85" t="n"/>
      <c r="W290" s="85" t="n"/>
      <c r="X290" s="85" t="n"/>
      <c r="Y290" s="85" t="n"/>
      <c r="Z290" s="85" t="n"/>
    </row>
    <row r="291" ht="15.75" customHeight="1" s="86">
      <c r="T291" s="85" t="n"/>
      <c r="U291" s="85" t="n"/>
      <c r="V291" s="85" t="n"/>
      <c r="W291" s="85" t="n"/>
      <c r="X291" s="85" t="n"/>
      <c r="Y291" s="85" t="n"/>
      <c r="Z291" s="85" t="n"/>
    </row>
    <row r="292" ht="15.75" customHeight="1" s="86">
      <c r="T292" s="85" t="n"/>
      <c r="U292" s="85" t="n"/>
      <c r="V292" s="85" t="n"/>
      <c r="W292" s="85" t="n"/>
      <c r="X292" s="85" t="n"/>
      <c r="Y292" s="85" t="n"/>
      <c r="Z292" s="85" t="n"/>
    </row>
    <row r="293" ht="15.75" customHeight="1" s="86">
      <c r="T293" s="85" t="n"/>
      <c r="U293" s="85" t="n"/>
      <c r="V293" s="85" t="n"/>
      <c r="W293" s="85" t="n"/>
      <c r="X293" s="85" t="n"/>
      <c r="Y293" s="85" t="n"/>
      <c r="Z293" s="85" t="n"/>
    </row>
    <row r="294" ht="15.75" customHeight="1" s="86">
      <c r="T294" s="85" t="n"/>
      <c r="U294" s="85" t="n"/>
      <c r="V294" s="85" t="n"/>
      <c r="W294" s="85" t="n"/>
      <c r="X294" s="85" t="n"/>
      <c r="Y294" s="85" t="n"/>
      <c r="Z294" s="85" t="n"/>
    </row>
    <row r="295" ht="15.75" customHeight="1" s="86">
      <c r="T295" s="85" t="n"/>
      <c r="U295" s="85" t="n"/>
      <c r="V295" s="85" t="n"/>
      <c r="W295" s="85" t="n"/>
      <c r="X295" s="85" t="n"/>
      <c r="Y295" s="85" t="n"/>
      <c r="Z295" s="85" t="n"/>
    </row>
    <row r="296" ht="15.75" customHeight="1" s="86">
      <c r="T296" s="85" t="n"/>
      <c r="U296" s="85" t="n"/>
      <c r="V296" s="85" t="n"/>
      <c r="W296" s="85" t="n"/>
      <c r="X296" s="85" t="n"/>
      <c r="Y296" s="85" t="n"/>
      <c r="Z296" s="85" t="n"/>
    </row>
    <row r="297" ht="15.75" customHeight="1" s="86">
      <c r="T297" s="85" t="n"/>
      <c r="U297" s="85" t="n"/>
      <c r="V297" s="85" t="n"/>
      <c r="W297" s="85" t="n"/>
      <c r="X297" s="85" t="n"/>
      <c r="Y297" s="85" t="n"/>
      <c r="Z297" s="85" t="n"/>
    </row>
    <row r="298" ht="15.75" customHeight="1" s="86">
      <c r="T298" s="85" t="n"/>
      <c r="U298" s="85" t="n"/>
      <c r="V298" s="85" t="n"/>
      <c r="W298" s="85" t="n"/>
      <c r="X298" s="85" t="n"/>
      <c r="Y298" s="85" t="n"/>
      <c r="Z298" s="85" t="n"/>
    </row>
    <row r="299" ht="15.75" customHeight="1" s="86">
      <c r="T299" s="85" t="n"/>
      <c r="U299" s="85" t="n"/>
      <c r="V299" s="85" t="n"/>
      <c r="W299" s="85" t="n"/>
      <c r="X299" s="85" t="n"/>
      <c r="Y299" s="85" t="n"/>
      <c r="Z299" s="85" t="n"/>
    </row>
    <row r="300" ht="15.75" customHeight="1" s="86">
      <c r="T300" s="85" t="n"/>
      <c r="U300" s="85" t="n"/>
      <c r="V300" s="85" t="n"/>
      <c r="W300" s="85" t="n"/>
      <c r="X300" s="85" t="n"/>
      <c r="Y300" s="85" t="n"/>
      <c r="Z300" s="85" t="n"/>
    </row>
    <row r="301" ht="15.75" customHeight="1" s="86">
      <c r="T301" s="85" t="n"/>
      <c r="U301" s="85" t="n"/>
      <c r="V301" s="85" t="n"/>
      <c r="W301" s="85" t="n"/>
      <c r="X301" s="85" t="n"/>
      <c r="Y301" s="85" t="n"/>
      <c r="Z301" s="85" t="n"/>
    </row>
    <row r="302" ht="15.75" customHeight="1" s="86">
      <c r="T302" s="85" t="n"/>
      <c r="U302" s="85" t="n"/>
      <c r="V302" s="85" t="n"/>
      <c r="W302" s="85" t="n"/>
      <c r="X302" s="85" t="n"/>
      <c r="Y302" s="85" t="n"/>
      <c r="Z302" s="85" t="n"/>
    </row>
    <row r="303" ht="15.75" customHeight="1" s="86">
      <c r="T303" s="85" t="n"/>
      <c r="U303" s="85" t="n"/>
      <c r="V303" s="85" t="n"/>
      <c r="W303" s="85" t="n"/>
      <c r="X303" s="85" t="n"/>
      <c r="Y303" s="85" t="n"/>
      <c r="Z303" s="85" t="n"/>
    </row>
    <row r="304" ht="15.75" customHeight="1" s="86">
      <c r="T304" s="85" t="n"/>
      <c r="U304" s="85" t="n"/>
      <c r="V304" s="85" t="n"/>
      <c r="W304" s="85" t="n"/>
      <c r="X304" s="85" t="n"/>
      <c r="Y304" s="85" t="n"/>
      <c r="Z304" s="85" t="n"/>
    </row>
    <row r="305" ht="15.75" customHeight="1" s="86">
      <c r="T305" s="85" t="n"/>
      <c r="U305" s="85" t="n"/>
      <c r="V305" s="85" t="n"/>
      <c r="W305" s="85" t="n"/>
      <c r="X305" s="85" t="n"/>
      <c r="Y305" s="85" t="n"/>
      <c r="Z305" s="85" t="n"/>
    </row>
    <row r="306" ht="15.75" customHeight="1" s="86">
      <c r="T306" s="85" t="n"/>
      <c r="U306" s="85" t="n"/>
      <c r="V306" s="85" t="n"/>
      <c r="W306" s="85" t="n"/>
      <c r="X306" s="85" t="n"/>
      <c r="Y306" s="85" t="n"/>
      <c r="Z306" s="85" t="n"/>
    </row>
    <row r="307" ht="15.75" customHeight="1" s="86">
      <c r="T307" s="85" t="n"/>
      <c r="U307" s="85" t="n"/>
      <c r="V307" s="85" t="n"/>
      <c r="W307" s="85" t="n"/>
      <c r="X307" s="85" t="n"/>
      <c r="Y307" s="85" t="n"/>
      <c r="Z307" s="85" t="n"/>
    </row>
    <row r="308" ht="15.75" customHeight="1" s="86">
      <c r="T308" s="85" t="n"/>
      <c r="U308" s="85" t="n"/>
      <c r="V308" s="85" t="n"/>
      <c r="W308" s="85" t="n"/>
      <c r="X308" s="85" t="n"/>
      <c r="Y308" s="85" t="n"/>
      <c r="Z308" s="85" t="n"/>
    </row>
    <row r="309" ht="15.75" customHeight="1" s="86">
      <c r="T309" s="85" t="n"/>
      <c r="U309" s="85" t="n"/>
      <c r="V309" s="85" t="n"/>
      <c r="W309" s="85" t="n"/>
      <c r="X309" s="85" t="n"/>
      <c r="Y309" s="85" t="n"/>
      <c r="Z309" s="85" t="n"/>
    </row>
    <row r="310" ht="15.75" customHeight="1" s="86">
      <c r="T310" s="85" t="n"/>
      <c r="U310" s="85" t="n"/>
      <c r="V310" s="85" t="n"/>
      <c r="W310" s="85" t="n"/>
      <c r="X310" s="85" t="n"/>
      <c r="Y310" s="85" t="n"/>
      <c r="Z310" s="85" t="n"/>
    </row>
    <row r="311" ht="15.75" customHeight="1" s="86">
      <c r="T311" s="85" t="n"/>
      <c r="U311" s="85" t="n"/>
      <c r="V311" s="85" t="n"/>
      <c r="W311" s="85" t="n"/>
      <c r="X311" s="85" t="n"/>
      <c r="Y311" s="85" t="n"/>
      <c r="Z311" s="85" t="n"/>
    </row>
    <row r="312" ht="15.75" customHeight="1" s="86">
      <c r="T312" s="85" t="n"/>
      <c r="U312" s="85" t="n"/>
      <c r="V312" s="85" t="n"/>
      <c r="W312" s="85" t="n"/>
      <c r="X312" s="85" t="n"/>
      <c r="Y312" s="85" t="n"/>
      <c r="Z312" s="85" t="n"/>
    </row>
    <row r="313" ht="15.75" customHeight="1" s="86">
      <c r="T313" s="85" t="n"/>
      <c r="U313" s="85" t="n"/>
      <c r="V313" s="85" t="n"/>
      <c r="W313" s="85" t="n"/>
      <c r="X313" s="85" t="n"/>
      <c r="Y313" s="85" t="n"/>
      <c r="Z313" s="85" t="n"/>
    </row>
    <row r="314" ht="15.75" customHeight="1" s="86">
      <c r="T314" s="85" t="n"/>
      <c r="U314" s="85" t="n"/>
      <c r="V314" s="85" t="n"/>
      <c r="W314" s="85" t="n"/>
      <c r="X314" s="85" t="n"/>
      <c r="Y314" s="85" t="n"/>
      <c r="Z314" s="85" t="n"/>
    </row>
    <row r="315" ht="15.75" customHeight="1" s="86">
      <c r="T315" s="85" t="n"/>
      <c r="U315" s="85" t="n"/>
      <c r="V315" s="85" t="n"/>
      <c r="W315" s="85" t="n"/>
      <c r="X315" s="85" t="n"/>
      <c r="Y315" s="85" t="n"/>
      <c r="Z315" s="85" t="n"/>
    </row>
    <row r="316" ht="15.75" customHeight="1" s="86">
      <c r="T316" s="85" t="n"/>
      <c r="U316" s="85" t="n"/>
      <c r="V316" s="85" t="n"/>
      <c r="W316" s="85" t="n"/>
      <c r="X316" s="85" t="n"/>
      <c r="Y316" s="85" t="n"/>
      <c r="Z316" s="85" t="n"/>
    </row>
    <row r="317" ht="15.75" customHeight="1" s="86">
      <c r="T317" s="85" t="n"/>
      <c r="U317" s="85" t="n"/>
      <c r="V317" s="85" t="n"/>
      <c r="W317" s="85" t="n"/>
      <c r="X317" s="85" t="n"/>
      <c r="Y317" s="85" t="n"/>
      <c r="Z317" s="85" t="n"/>
    </row>
    <row r="318" ht="15.75" customHeight="1" s="86">
      <c r="T318" s="85" t="n"/>
      <c r="U318" s="85" t="n"/>
      <c r="V318" s="85" t="n"/>
      <c r="W318" s="85" t="n"/>
      <c r="X318" s="85" t="n"/>
      <c r="Y318" s="85" t="n"/>
      <c r="Z318" s="85" t="n"/>
    </row>
    <row r="319" ht="15.75" customHeight="1" s="86">
      <c r="T319" s="85" t="n"/>
      <c r="U319" s="85" t="n"/>
      <c r="V319" s="85" t="n"/>
      <c r="W319" s="85" t="n"/>
      <c r="X319" s="85" t="n"/>
      <c r="Y319" s="85" t="n"/>
      <c r="Z319" s="85" t="n"/>
    </row>
    <row r="320" ht="15.75" customHeight="1" s="86">
      <c r="T320" s="85" t="n"/>
      <c r="U320" s="85" t="n"/>
      <c r="V320" s="85" t="n"/>
      <c r="W320" s="85" t="n"/>
      <c r="X320" s="85" t="n"/>
      <c r="Y320" s="85" t="n"/>
      <c r="Z320" s="85" t="n"/>
    </row>
    <row r="321" ht="15.75" customHeight="1" s="86">
      <c r="T321" s="85" t="n"/>
      <c r="U321" s="85" t="n"/>
      <c r="V321" s="85" t="n"/>
      <c r="W321" s="85" t="n"/>
      <c r="X321" s="85" t="n"/>
      <c r="Y321" s="85" t="n"/>
      <c r="Z321" s="85" t="n"/>
    </row>
    <row r="322" ht="15.75" customHeight="1" s="86">
      <c r="T322" s="85" t="n"/>
      <c r="U322" s="85" t="n"/>
      <c r="V322" s="85" t="n"/>
      <c r="W322" s="85" t="n"/>
      <c r="X322" s="85" t="n"/>
      <c r="Y322" s="85" t="n"/>
      <c r="Z322" s="85" t="n"/>
    </row>
    <row r="323" ht="15.75" customHeight="1" s="86">
      <c r="T323" s="85" t="n"/>
      <c r="U323" s="85" t="n"/>
      <c r="V323" s="85" t="n"/>
      <c r="W323" s="85" t="n"/>
      <c r="X323" s="85" t="n"/>
      <c r="Y323" s="85" t="n"/>
      <c r="Z323" s="85" t="n"/>
    </row>
    <row r="324" ht="15.75" customHeight="1" s="86">
      <c r="T324" s="85" t="n"/>
      <c r="U324" s="85" t="n"/>
      <c r="V324" s="85" t="n"/>
      <c r="W324" s="85" t="n"/>
      <c r="X324" s="85" t="n"/>
      <c r="Y324" s="85" t="n"/>
      <c r="Z324" s="85" t="n"/>
    </row>
    <row r="325" ht="15.75" customHeight="1" s="86">
      <c r="T325" s="85" t="n"/>
      <c r="U325" s="85" t="n"/>
      <c r="V325" s="85" t="n"/>
      <c r="W325" s="85" t="n"/>
      <c r="X325" s="85" t="n"/>
      <c r="Y325" s="85" t="n"/>
      <c r="Z325" s="85" t="n"/>
    </row>
    <row r="326" ht="15.75" customHeight="1" s="86">
      <c r="T326" s="85" t="n"/>
      <c r="U326" s="85" t="n"/>
      <c r="V326" s="85" t="n"/>
      <c r="W326" s="85" t="n"/>
      <c r="X326" s="85" t="n"/>
      <c r="Y326" s="85" t="n"/>
      <c r="Z326" s="85" t="n"/>
    </row>
    <row r="327" ht="15.75" customHeight="1" s="86">
      <c r="T327" s="85" t="n"/>
      <c r="U327" s="85" t="n"/>
      <c r="V327" s="85" t="n"/>
      <c r="W327" s="85" t="n"/>
      <c r="X327" s="85" t="n"/>
      <c r="Y327" s="85" t="n"/>
      <c r="Z327" s="85" t="n"/>
    </row>
    <row r="328" ht="15.75" customHeight="1" s="86">
      <c r="T328" s="85" t="n"/>
      <c r="U328" s="85" t="n"/>
      <c r="V328" s="85" t="n"/>
      <c r="W328" s="85" t="n"/>
      <c r="X328" s="85" t="n"/>
      <c r="Y328" s="85" t="n"/>
      <c r="Z328" s="85" t="n"/>
    </row>
    <row r="329" ht="15.75" customHeight="1" s="86">
      <c r="T329" s="85" t="n"/>
      <c r="U329" s="85" t="n"/>
      <c r="V329" s="85" t="n"/>
      <c r="W329" s="85" t="n"/>
      <c r="X329" s="85" t="n"/>
      <c r="Y329" s="85" t="n"/>
      <c r="Z329" s="85" t="n"/>
    </row>
    <row r="330" ht="15.75" customHeight="1" s="86">
      <c r="T330" s="85" t="n"/>
      <c r="U330" s="85" t="n"/>
      <c r="V330" s="85" t="n"/>
      <c r="W330" s="85" t="n"/>
      <c r="X330" s="85" t="n"/>
      <c r="Y330" s="85" t="n"/>
      <c r="Z330" s="85" t="n"/>
    </row>
    <row r="331" ht="15.75" customHeight="1" s="86">
      <c r="T331" s="85" t="n"/>
      <c r="U331" s="85" t="n"/>
      <c r="V331" s="85" t="n"/>
      <c r="W331" s="85" t="n"/>
      <c r="X331" s="85" t="n"/>
      <c r="Y331" s="85" t="n"/>
      <c r="Z331" s="85" t="n"/>
    </row>
    <row r="332" ht="15.75" customHeight="1" s="86">
      <c r="T332" s="85" t="n"/>
      <c r="U332" s="85" t="n"/>
      <c r="V332" s="85" t="n"/>
      <c r="W332" s="85" t="n"/>
      <c r="X332" s="85" t="n"/>
      <c r="Y332" s="85" t="n"/>
      <c r="Z332" s="85" t="n"/>
    </row>
    <row r="333" ht="15.75" customHeight="1" s="86">
      <c r="T333" s="85" t="n"/>
      <c r="U333" s="85" t="n"/>
      <c r="V333" s="85" t="n"/>
      <c r="W333" s="85" t="n"/>
      <c r="X333" s="85" t="n"/>
      <c r="Y333" s="85" t="n"/>
      <c r="Z333" s="85" t="n"/>
    </row>
    <row r="334" ht="15.75" customHeight="1" s="86">
      <c r="T334" s="85" t="n"/>
      <c r="U334" s="85" t="n"/>
      <c r="V334" s="85" t="n"/>
      <c r="W334" s="85" t="n"/>
      <c r="X334" s="85" t="n"/>
      <c r="Y334" s="85" t="n"/>
      <c r="Z334" s="85" t="n"/>
    </row>
    <row r="335" ht="15.75" customHeight="1" s="86">
      <c r="T335" s="85" t="n"/>
      <c r="U335" s="85" t="n"/>
      <c r="V335" s="85" t="n"/>
      <c r="W335" s="85" t="n"/>
      <c r="X335" s="85" t="n"/>
      <c r="Y335" s="85" t="n"/>
      <c r="Z335" s="85" t="n"/>
    </row>
    <row r="336" ht="15.75" customHeight="1" s="86">
      <c r="T336" s="85" t="n"/>
      <c r="U336" s="85" t="n"/>
      <c r="V336" s="85" t="n"/>
      <c r="W336" s="85" t="n"/>
      <c r="X336" s="85" t="n"/>
      <c r="Y336" s="85" t="n"/>
      <c r="Z336" s="85" t="n"/>
    </row>
    <row r="337" ht="15.75" customHeight="1" s="86">
      <c r="T337" s="85" t="n"/>
      <c r="U337" s="85" t="n"/>
      <c r="V337" s="85" t="n"/>
      <c r="W337" s="85" t="n"/>
      <c r="X337" s="85" t="n"/>
      <c r="Y337" s="85" t="n"/>
      <c r="Z337" s="85" t="n"/>
    </row>
    <row r="338" ht="15.75" customHeight="1" s="86">
      <c r="T338" s="85" t="n"/>
      <c r="U338" s="85" t="n"/>
      <c r="V338" s="85" t="n"/>
      <c r="W338" s="85" t="n"/>
      <c r="X338" s="85" t="n"/>
      <c r="Y338" s="85" t="n"/>
      <c r="Z338" s="85" t="n"/>
    </row>
    <row r="339" ht="15.75" customHeight="1" s="86">
      <c r="T339" s="85" t="n"/>
      <c r="U339" s="85" t="n"/>
      <c r="V339" s="85" t="n"/>
      <c r="W339" s="85" t="n"/>
      <c r="X339" s="85" t="n"/>
      <c r="Y339" s="85" t="n"/>
      <c r="Z339" s="85" t="n"/>
    </row>
    <row r="340" ht="15.75" customHeight="1" s="86">
      <c r="T340" s="85" t="n"/>
      <c r="U340" s="85" t="n"/>
      <c r="V340" s="85" t="n"/>
      <c r="W340" s="85" t="n"/>
      <c r="X340" s="85" t="n"/>
      <c r="Y340" s="85" t="n"/>
      <c r="Z340" s="85" t="n"/>
    </row>
    <row r="341" ht="15.75" customHeight="1" s="86">
      <c r="T341" s="85" t="n"/>
      <c r="U341" s="85" t="n"/>
      <c r="V341" s="85" t="n"/>
      <c r="W341" s="85" t="n"/>
      <c r="X341" s="85" t="n"/>
      <c r="Y341" s="85" t="n"/>
      <c r="Z341" s="85" t="n"/>
    </row>
    <row r="342" ht="15.75" customHeight="1" s="86">
      <c r="T342" s="85" t="n"/>
      <c r="U342" s="85" t="n"/>
      <c r="V342" s="85" t="n"/>
      <c r="W342" s="85" t="n"/>
      <c r="X342" s="85" t="n"/>
      <c r="Y342" s="85" t="n"/>
      <c r="Z342" s="85" t="n"/>
    </row>
    <row r="343" ht="15.75" customHeight="1" s="86">
      <c r="T343" s="85" t="n"/>
      <c r="U343" s="85" t="n"/>
      <c r="V343" s="85" t="n"/>
      <c r="W343" s="85" t="n"/>
      <c r="X343" s="85" t="n"/>
      <c r="Y343" s="85" t="n"/>
      <c r="Z343" s="85" t="n"/>
    </row>
    <row r="344" ht="15.75" customHeight="1" s="86">
      <c r="T344" s="85" t="n"/>
      <c r="U344" s="85" t="n"/>
      <c r="V344" s="85" t="n"/>
      <c r="W344" s="85" t="n"/>
      <c r="X344" s="85" t="n"/>
      <c r="Y344" s="85" t="n"/>
      <c r="Z344" s="85" t="n"/>
    </row>
    <row r="345" ht="15.75" customHeight="1" s="86">
      <c r="T345" s="85" t="n"/>
      <c r="U345" s="85" t="n"/>
      <c r="V345" s="85" t="n"/>
      <c r="W345" s="85" t="n"/>
      <c r="X345" s="85" t="n"/>
      <c r="Y345" s="85" t="n"/>
      <c r="Z345" s="85" t="n"/>
    </row>
    <row r="346" ht="15.75" customHeight="1" s="86">
      <c r="T346" s="85" t="n"/>
      <c r="U346" s="85" t="n"/>
      <c r="V346" s="85" t="n"/>
      <c r="W346" s="85" t="n"/>
      <c r="X346" s="85" t="n"/>
      <c r="Y346" s="85" t="n"/>
      <c r="Z346" s="85" t="n"/>
    </row>
    <row r="347" ht="15.75" customHeight="1" s="86">
      <c r="T347" s="85" t="n"/>
      <c r="U347" s="85" t="n"/>
      <c r="V347" s="85" t="n"/>
      <c r="W347" s="85" t="n"/>
      <c r="X347" s="85" t="n"/>
      <c r="Y347" s="85" t="n"/>
      <c r="Z347" s="85" t="n"/>
    </row>
    <row r="348" ht="15.75" customHeight="1" s="86">
      <c r="T348" s="85" t="n"/>
      <c r="U348" s="85" t="n"/>
      <c r="V348" s="85" t="n"/>
      <c r="W348" s="85" t="n"/>
      <c r="X348" s="85" t="n"/>
      <c r="Y348" s="85" t="n"/>
      <c r="Z348" s="85" t="n"/>
    </row>
    <row r="349" ht="15.75" customHeight="1" s="86">
      <c r="T349" s="85" t="n"/>
      <c r="U349" s="85" t="n"/>
      <c r="V349" s="85" t="n"/>
      <c r="W349" s="85" t="n"/>
      <c r="X349" s="85" t="n"/>
      <c r="Y349" s="85" t="n"/>
      <c r="Z349" s="85" t="n"/>
    </row>
    <row r="350" ht="15.75" customHeight="1" s="86">
      <c r="T350" s="85" t="n"/>
      <c r="U350" s="85" t="n"/>
      <c r="V350" s="85" t="n"/>
      <c r="W350" s="85" t="n"/>
      <c r="X350" s="85" t="n"/>
      <c r="Y350" s="85" t="n"/>
      <c r="Z350" s="85" t="n"/>
    </row>
    <row r="351" ht="15.75" customHeight="1" s="86">
      <c r="T351" s="85" t="n"/>
      <c r="U351" s="85" t="n"/>
      <c r="V351" s="85" t="n"/>
      <c r="W351" s="85" t="n"/>
      <c r="X351" s="85" t="n"/>
      <c r="Y351" s="85" t="n"/>
      <c r="Z351" s="85" t="n"/>
    </row>
    <row r="352" ht="15.75" customHeight="1" s="86">
      <c r="T352" s="85" t="n"/>
      <c r="U352" s="85" t="n"/>
      <c r="V352" s="85" t="n"/>
      <c r="W352" s="85" t="n"/>
      <c r="X352" s="85" t="n"/>
      <c r="Y352" s="85" t="n"/>
      <c r="Z352" s="85" t="n"/>
    </row>
    <row r="353" ht="15.75" customHeight="1" s="86">
      <c r="T353" s="85" t="n"/>
      <c r="U353" s="85" t="n"/>
      <c r="V353" s="85" t="n"/>
      <c r="W353" s="85" t="n"/>
      <c r="X353" s="85" t="n"/>
      <c r="Y353" s="85" t="n"/>
      <c r="Z353" s="85" t="n"/>
    </row>
    <row r="354" ht="15.75" customHeight="1" s="86">
      <c r="T354" s="85" t="n"/>
      <c r="U354" s="85" t="n"/>
      <c r="V354" s="85" t="n"/>
      <c r="W354" s="85" t="n"/>
      <c r="X354" s="85" t="n"/>
      <c r="Y354" s="85" t="n"/>
      <c r="Z354" s="85" t="n"/>
    </row>
    <row r="355" ht="15.75" customHeight="1" s="86">
      <c r="T355" s="85" t="n"/>
      <c r="U355" s="85" t="n"/>
      <c r="V355" s="85" t="n"/>
      <c r="W355" s="85" t="n"/>
      <c r="X355" s="85" t="n"/>
      <c r="Y355" s="85" t="n"/>
      <c r="Z355" s="85" t="n"/>
    </row>
    <row r="356" ht="15.75" customHeight="1" s="86">
      <c r="T356" s="85" t="n"/>
      <c r="U356" s="85" t="n"/>
      <c r="V356" s="85" t="n"/>
      <c r="W356" s="85" t="n"/>
      <c r="X356" s="85" t="n"/>
      <c r="Y356" s="85" t="n"/>
      <c r="Z356" s="85" t="n"/>
    </row>
    <row r="357" ht="15.75" customHeight="1" s="86">
      <c r="T357" s="85" t="n"/>
      <c r="U357" s="85" t="n"/>
      <c r="V357" s="85" t="n"/>
      <c r="W357" s="85" t="n"/>
      <c r="X357" s="85" t="n"/>
      <c r="Y357" s="85" t="n"/>
      <c r="Z357" s="85" t="n"/>
    </row>
    <row r="358" ht="15.75" customHeight="1" s="86">
      <c r="T358" s="85" t="n"/>
      <c r="U358" s="85" t="n"/>
      <c r="V358" s="85" t="n"/>
      <c r="W358" s="85" t="n"/>
      <c r="X358" s="85" t="n"/>
      <c r="Y358" s="85" t="n"/>
      <c r="Z358" s="85" t="n"/>
    </row>
    <row r="359" ht="15.75" customHeight="1" s="86">
      <c r="T359" s="85" t="n"/>
      <c r="U359" s="85" t="n"/>
      <c r="V359" s="85" t="n"/>
      <c r="W359" s="85" t="n"/>
      <c r="X359" s="85" t="n"/>
      <c r="Y359" s="85" t="n"/>
      <c r="Z359" s="85" t="n"/>
    </row>
    <row r="360" ht="15.75" customHeight="1" s="86">
      <c r="T360" s="85" t="n"/>
      <c r="U360" s="85" t="n"/>
      <c r="V360" s="85" t="n"/>
      <c r="W360" s="85" t="n"/>
      <c r="X360" s="85" t="n"/>
      <c r="Y360" s="85" t="n"/>
      <c r="Z360" s="85" t="n"/>
    </row>
    <row r="361" ht="15.75" customHeight="1" s="86">
      <c r="T361" s="85" t="n"/>
      <c r="U361" s="85" t="n"/>
      <c r="V361" s="85" t="n"/>
      <c r="W361" s="85" t="n"/>
      <c r="X361" s="85" t="n"/>
      <c r="Y361" s="85" t="n"/>
      <c r="Z361" s="85" t="n"/>
    </row>
    <row r="362" ht="15.75" customHeight="1" s="86">
      <c r="T362" s="85" t="n"/>
      <c r="U362" s="85" t="n"/>
      <c r="V362" s="85" t="n"/>
      <c r="W362" s="85" t="n"/>
      <c r="X362" s="85" t="n"/>
      <c r="Y362" s="85" t="n"/>
      <c r="Z362" s="85" t="n"/>
    </row>
    <row r="363" ht="15.75" customHeight="1" s="86">
      <c r="T363" s="85" t="n"/>
      <c r="U363" s="85" t="n"/>
      <c r="V363" s="85" t="n"/>
      <c r="W363" s="85" t="n"/>
      <c r="X363" s="85" t="n"/>
      <c r="Y363" s="85" t="n"/>
      <c r="Z363" s="85" t="n"/>
    </row>
    <row r="364" ht="15.75" customHeight="1" s="86">
      <c r="T364" s="85" t="n"/>
      <c r="U364" s="85" t="n"/>
      <c r="V364" s="85" t="n"/>
      <c r="W364" s="85" t="n"/>
      <c r="X364" s="85" t="n"/>
      <c r="Y364" s="85" t="n"/>
      <c r="Z364" s="85" t="n"/>
    </row>
    <row r="365" ht="15.75" customHeight="1" s="86">
      <c r="T365" s="85" t="n"/>
      <c r="U365" s="85" t="n"/>
      <c r="V365" s="85" t="n"/>
      <c r="W365" s="85" t="n"/>
      <c r="X365" s="85" t="n"/>
      <c r="Y365" s="85" t="n"/>
      <c r="Z365" s="85" t="n"/>
    </row>
    <row r="366" ht="15.75" customHeight="1" s="86">
      <c r="T366" s="85" t="n"/>
      <c r="U366" s="85" t="n"/>
      <c r="V366" s="85" t="n"/>
      <c r="W366" s="85" t="n"/>
      <c r="X366" s="85" t="n"/>
      <c r="Y366" s="85" t="n"/>
      <c r="Z366" s="85" t="n"/>
    </row>
    <row r="367" ht="15.75" customHeight="1" s="86">
      <c r="T367" s="85" t="n"/>
      <c r="U367" s="85" t="n"/>
      <c r="V367" s="85" t="n"/>
      <c r="W367" s="85" t="n"/>
      <c r="X367" s="85" t="n"/>
      <c r="Y367" s="85" t="n"/>
      <c r="Z367" s="85" t="n"/>
    </row>
    <row r="368" ht="15.75" customHeight="1" s="86">
      <c r="T368" s="85" t="n"/>
      <c r="U368" s="85" t="n"/>
      <c r="V368" s="85" t="n"/>
      <c r="W368" s="85" t="n"/>
      <c r="X368" s="85" t="n"/>
      <c r="Y368" s="85" t="n"/>
      <c r="Z368" s="85" t="n"/>
    </row>
    <row r="369" ht="15.75" customHeight="1" s="86">
      <c r="T369" s="85" t="n"/>
      <c r="U369" s="85" t="n"/>
      <c r="V369" s="85" t="n"/>
      <c r="W369" s="85" t="n"/>
      <c r="X369" s="85" t="n"/>
      <c r="Y369" s="85" t="n"/>
      <c r="Z369" s="85" t="n"/>
    </row>
    <row r="370" ht="15.75" customHeight="1" s="86">
      <c r="T370" s="85" t="n"/>
      <c r="U370" s="85" t="n"/>
      <c r="V370" s="85" t="n"/>
      <c r="W370" s="85" t="n"/>
      <c r="X370" s="85" t="n"/>
      <c r="Y370" s="85" t="n"/>
      <c r="Z370" s="85" t="n"/>
    </row>
    <row r="371" ht="15.75" customHeight="1" s="86">
      <c r="T371" s="85" t="n"/>
      <c r="U371" s="85" t="n"/>
      <c r="V371" s="85" t="n"/>
      <c r="W371" s="85" t="n"/>
      <c r="X371" s="85" t="n"/>
      <c r="Y371" s="85" t="n"/>
      <c r="Z371" s="85" t="n"/>
    </row>
    <row r="372" ht="15.75" customHeight="1" s="86">
      <c r="T372" s="85" t="n"/>
      <c r="U372" s="85" t="n"/>
      <c r="V372" s="85" t="n"/>
      <c r="W372" s="85" t="n"/>
      <c r="X372" s="85" t="n"/>
      <c r="Y372" s="85" t="n"/>
      <c r="Z372" s="85" t="n"/>
    </row>
    <row r="373" ht="15.75" customHeight="1" s="86">
      <c r="T373" s="85" t="n"/>
      <c r="U373" s="85" t="n"/>
      <c r="V373" s="85" t="n"/>
      <c r="W373" s="85" t="n"/>
      <c r="X373" s="85" t="n"/>
      <c r="Y373" s="85" t="n"/>
      <c r="Z373" s="85" t="n"/>
    </row>
    <row r="374" ht="15.75" customHeight="1" s="86">
      <c r="T374" s="85" t="n"/>
      <c r="U374" s="85" t="n"/>
      <c r="V374" s="85" t="n"/>
      <c r="W374" s="85" t="n"/>
      <c r="X374" s="85" t="n"/>
      <c r="Y374" s="85" t="n"/>
      <c r="Z374" s="85" t="n"/>
    </row>
    <row r="375" ht="15.75" customHeight="1" s="86">
      <c r="T375" s="85" t="n"/>
      <c r="U375" s="85" t="n"/>
      <c r="V375" s="85" t="n"/>
      <c r="W375" s="85" t="n"/>
      <c r="X375" s="85" t="n"/>
      <c r="Y375" s="85" t="n"/>
      <c r="Z375" s="85" t="n"/>
    </row>
    <row r="376" ht="15.75" customHeight="1" s="86">
      <c r="T376" s="85" t="n"/>
      <c r="U376" s="85" t="n"/>
      <c r="V376" s="85" t="n"/>
      <c r="W376" s="85" t="n"/>
      <c r="X376" s="85" t="n"/>
      <c r="Y376" s="85" t="n"/>
      <c r="Z376" s="85" t="n"/>
    </row>
    <row r="377" ht="15.75" customHeight="1" s="86">
      <c r="T377" s="85" t="n"/>
      <c r="U377" s="85" t="n"/>
      <c r="V377" s="85" t="n"/>
      <c r="W377" s="85" t="n"/>
      <c r="X377" s="85" t="n"/>
      <c r="Y377" s="85" t="n"/>
      <c r="Z377" s="85" t="n"/>
    </row>
    <row r="378" ht="15.75" customHeight="1" s="86">
      <c r="T378" s="85" t="n"/>
      <c r="U378" s="85" t="n"/>
      <c r="V378" s="85" t="n"/>
      <c r="W378" s="85" t="n"/>
      <c r="X378" s="85" t="n"/>
      <c r="Y378" s="85" t="n"/>
      <c r="Z378" s="85" t="n"/>
    </row>
    <row r="379" ht="15.75" customHeight="1" s="86">
      <c r="T379" s="85" t="n"/>
      <c r="U379" s="85" t="n"/>
      <c r="V379" s="85" t="n"/>
      <c r="W379" s="85" t="n"/>
      <c r="X379" s="85" t="n"/>
      <c r="Y379" s="85" t="n"/>
      <c r="Z379" s="85" t="n"/>
    </row>
    <row r="380" ht="15.75" customHeight="1" s="86">
      <c r="T380" s="85" t="n"/>
      <c r="U380" s="85" t="n"/>
      <c r="V380" s="85" t="n"/>
      <c r="W380" s="85" t="n"/>
      <c r="X380" s="85" t="n"/>
      <c r="Y380" s="85" t="n"/>
      <c r="Z380" s="85" t="n"/>
    </row>
    <row r="381" ht="15.75" customHeight="1" s="86">
      <c r="T381" s="85" t="n"/>
      <c r="U381" s="85" t="n"/>
      <c r="V381" s="85" t="n"/>
      <c r="W381" s="85" t="n"/>
      <c r="X381" s="85" t="n"/>
      <c r="Y381" s="85" t="n"/>
      <c r="Z381" s="85" t="n"/>
    </row>
    <row r="382" ht="15.75" customHeight="1" s="86">
      <c r="T382" s="85" t="n"/>
      <c r="U382" s="85" t="n"/>
      <c r="V382" s="85" t="n"/>
      <c r="W382" s="85" t="n"/>
      <c r="X382" s="85" t="n"/>
      <c r="Y382" s="85" t="n"/>
      <c r="Z382" s="85" t="n"/>
    </row>
    <row r="383" ht="15.75" customHeight="1" s="86">
      <c r="T383" s="85" t="n"/>
      <c r="U383" s="85" t="n"/>
      <c r="V383" s="85" t="n"/>
      <c r="W383" s="85" t="n"/>
      <c r="X383" s="85" t="n"/>
      <c r="Y383" s="85" t="n"/>
      <c r="Z383" s="85" t="n"/>
    </row>
    <row r="384" ht="15.75" customHeight="1" s="86">
      <c r="T384" s="85" t="n"/>
      <c r="U384" s="85" t="n"/>
      <c r="V384" s="85" t="n"/>
      <c r="W384" s="85" t="n"/>
      <c r="X384" s="85" t="n"/>
      <c r="Y384" s="85" t="n"/>
      <c r="Z384" s="85" t="n"/>
    </row>
    <row r="385" ht="15.75" customHeight="1" s="86">
      <c r="T385" s="85" t="n"/>
      <c r="U385" s="85" t="n"/>
      <c r="V385" s="85" t="n"/>
      <c r="W385" s="85" t="n"/>
      <c r="X385" s="85" t="n"/>
      <c r="Y385" s="85" t="n"/>
      <c r="Z385" s="85" t="n"/>
    </row>
    <row r="386" ht="15.75" customHeight="1" s="86">
      <c r="T386" s="85" t="n"/>
      <c r="U386" s="85" t="n"/>
      <c r="V386" s="85" t="n"/>
      <c r="W386" s="85" t="n"/>
      <c r="X386" s="85" t="n"/>
      <c r="Y386" s="85" t="n"/>
      <c r="Z386" s="85" t="n"/>
    </row>
    <row r="387" ht="15.75" customHeight="1" s="86">
      <c r="T387" s="85" t="n"/>
      <c r="U387" s="85" t="n"/>
      <c r="V387" s="85" t="n"/>
      <c r="W387" s="85" t="n"/>
      <c r="X387" s="85" t="n"/>
      <c r="Y387" s="85" t="n"/>
      <c r="Z387" s="85" t="n"/>
    </row>
    <row r="388" ht="15.75" customHeight="1" s="86">
      <c r="T388" s="85" t="n"/>
      <c r="U388" s="85" t="n"/>
      <c r="V388" s="85" t="n"/>
      <c r="W388" s="85" t="n"/>
      <c r="X388" s="85" t="n"/>
      <c r="Y388" s="85" t="n"/>
      <c r="Z388" s="85" t="n"/>
    </row>
    <row r="389" ht="15.75" customHeight="1" s="86">
      <c r="T389" s="85" t="n"/>
      <c r="U389" s="85" t="n"/>
      <c r="V389" s="85" t="n"/>
      <c r="W389" s="85" t="n"/>
      <c r="X389" s="85" t="n"/>
      <c r="Y389" s="85" t="n"/>
      <c r="Z389" s="85" t="n"/>
    </row>
    <row r="390" ht="15.75" customHeight="1" s="86">
      <c r="T390" s="85" t="n"/>
      <c r="U390" s="85" t="n"/>
      <c r="V390" s="85" t="n"/>
      <c r="W390" s="85" t="n"/>
      <c r="X390" s="85" t="n"/>
      <c r="Y390" s="85" t="n"/>
      <c r="Z390" s="85" t="n"/>
    </row>
    <row r="391" ht="15.75" customHeight="1" s="86">
      <c r="T391" s="85" t="n"/>
      <c r="U391" s="85" t="n"/>
      <c r="V391" s="85" t="n"/>
      <c r="W391" s="85" t="n"/>
      <c r="X391" s="85" t="n"/>
      <c r="Y391" s="85" t="n"/>
      <c r="Z391" s="85" t="n"/>
    </row>
    <row r="392" ht="15.75" customHeight="1" s="86">
      <c r="T392" s="85" t="n"/>
      <c r="U392" s="85" t="n"/>
      <c r="V392" s="85" t="n"/>
      <c r="W392" s="85" t="n"/>
      <c r="X392" s="85" t="n"/>
      <c r="Y392" s="85" t="n"/>
      <c r="Z392" s="85" t="n"/>
    </row>
    <row r="393" ht="15.75" customHeight="1" s="86">
      <c r="T393" s="85" t="n"/>
      <c r="U393" s="85" t="n"/>
      <c r="V393" s="85" t="n"/>
      <c r="W393" s="85" t="n"/>
      <c r="X393" s="85" t="n"/>
      <c r="Y393" s="85" t="n"/>
      <c r="Z393" s="85" t="n"/>
    </row>
    <row r="394" ht="15.75" customHeight="1" s="86">
      <c r="T394" s="85" t="n"/>
      <c r="U394" s="85" t="n"/>
      <c r="V394" s="85" t="n"/>
      <c r="W394" s="85" t="n"/>
      <c r="X394" s="85" t="n"/>
      <c r="Y394" s="85" t="n"/>
      <c r="Z394" s="85" t="n"/>
    </row>
    <row r="395" ht="15.75" customHeight="1" s="86">
      <c r="T395" s="85" t="n"/>
      <c r="U395" s="85" t="n"/>
      <c r="V395" s="85" t="n"/>
      <c r="W395" s="85" t="n"/>
      <c r="X395" s="85" t="n"/>
      <c r="Y395" s="85" t="n"/>
      <c r="Z395" s="85" t="n"/>
    </row>
    <row r="396" ht="15.75" customHeight="1" s="86">
      <c r="T396" s="85" t="n"/>
      <c r="U396" s="85" t="n"/>
      <c r="V396" s="85" t="n"/>
      <c r="W396" s="85" t="n"/>
      <c r="X396" s="85" t="n"/>
      <c r="Y396" s="85" t="n"/>
      <c r="Z396" s="85" t="n"/>
    </row>
    <row r="397" ht="15.75" customHeight="1" s="86">
      <c r="T397" s="85" t="n"/>
      <c r="U397" s="85" t="n"/>
      <c r="V397" s="85" t="n"/>
      <c r="W397" s="85" t="n"/>
      <c r="X397" s="85" t="n"/>
      <c r="Y397" s="85" t="n"/>
      <c r="Z397" s="85" t="n"/>
    </row>
    <row r="398" ht="15.75" customHeight="1" s="86">
      <c r="T398" s="85" t="n"/>
      <c r="U398" s="85" t="n"/>
      <c r="V398" s="85" t="n"/>
      <c r="W398" s="85" t="n"/>
      <c r="X398" s="85" t="n"/>
      <c r="Y398" s="85" t="n"/>
      <c r="Z398" s="85" t="n"/>
    </row>
    <row r="399" ht="15.75" customHeight="1" s="86">
      <c r="T399" s="85" t="n"/>
      <c r="U399" s="85" t="n"/>
      <c r="V399" s="85" t="n"/>
      <c r="W399" s="85" t="n"/>
      <c r="X399" s="85" t="n"/>
      <c r="Y399" s="85" t="n"/>
      <c r="Z399" s="85" t="n"/>
    </row>
    <row r="400" ht="15.75" customHeight="1" s="86">
      <c r="T400" s="85" t="n"/>
      <c r="U400" s="85" t="n"/>
      <c r="V400" s="85" t="n"/>
      <c r="W400" s="85" t="n"/>
      <c r="X400" s="85" t="n"/>
      <c r="Y400" s="85" t="n"/>
      <c r="Z400" s="85" t="n"/>
    </row>
    <row r="401" ht="15.75" customHeight="1" s="86">
      <c r="T401" s="85" t="n"/>
      <c r="U401" s="85" t="n"/>
      <c r="V401" s="85" t="n"/>
      <c r="W401" s="85" t="n"/>
      <c r="X401" s="85" t="n"/>
      <c r="Y401" s="85" t="n"/>
      <c r="Z401" s="85" t="n"/>
    </row>
    <row r="402" ht="15.75" customHeight="1" s="86">
      <c r="T402" s="85" t="n"/>
      <c r="U402" s="85" t="n"/>
      <c r="V402" s="85" t="n"/>
      <c r="W402" s="85" t="n"/>
      <c r="X402" s="85" t="n"/>
      <c r="Y402" s="85" t="n"/>
      <c r="Z402" s="85" t="n"/>
    </row>
    <row r="403" ht="15.75" customHeight="1" s="86">
      <c r="T403" s="85" t="n"/>
      <c r="U403" s="85" t="n"/>
      <c r="V403" s="85" t="n"/>
      <c r="W403" s="85" t="n"/>
      <c r="X403" s="85" t="n"/>
      <c r="Y403" s="85" t="n"/>
      <c r="Z403" s="85" t="n"/>
    </row>
    <row r="404" ht="15.75" customHeight="1" s="86">
      <c r="T404" s="85" t="n"/>
      <c r="U404" s="85" t="n"/>
      <c r="V404" s="85" t="n"/>
      <c r="W404" s="85" t="n"/>
      <c r="X404" s="85" t="n"/>
      <c r="Y404" s="85" t="n"/>
      <c r="Z404" s="85" t="n"/>
    </row>
    <row r="405" ht="15.75" customHeight="1" s="86">
      <c r="T405" s="85" t="n"/>
      <c r="U405" s="85" t="n"/>
      <c r="V405" s="85" t="n"/>
      <c r="W405" s="85" t="n"/>
      <c r="X405" s="85" t="n"/>
      <c r="Y405" s="85" t="n"/>
      <c r="Z405" s="85" t="n"/>
    </row>
    <row r="406" ht="15.75" customHeight="1" s="86">
      <c r="T406" s="85" t="n"/>
      <c r="U406" s="85" t="n"/>
      <c r="V406" s="85" t="n"/>
      <c r="W406" s="85" t="n"/>
      <c r="X406" s="85" t="n"/>
      <c r="Y406" s="85" t="n"/>
      <c r="Z406" s="85" t="n"/>
    </row>
    <row r="407" ht="15.75" customHeight="1" s="86">
      <c r="T407" s="85" t="n"/>
      <c r="U407" s="85" t="n"/>
      <c r="V407" s="85" t="n"/>
      <c r="W407" s="85" t="n"/>
      <c r="X407" s="85" t="n"/>
      <c r="Y407" s="85" t="n"/>
      <c r="Z407" s="85" t="n"/>
    </row>
    <row r="408" ht="15.75" customHeight="1" s="86">
      <c r="T408" s="85" t="n"/>
      <c r="U408" s="85" t="n"/>
      <c r="V408" s="85" t="n"/>
      <c r="W408" s="85" t="n"/>
      <c r="X408" s="85" t="n"/>
      <c r="Y408" s="85" t="n"/>
      <c r="Z408" s="85" t="n"/>
    </row>
    <row r="409" ht="15.75" customHeight="1" s="86">
      <c r="T409" s="85" t="n"/>
      <c r="U409" s="85" t="n"/>
      <c r="V409" s="85" t="n"/>
      <c r="W409" s="85" t="n"/>
      <c r="X409" s="85" t="n"/>
      <c r="Y409" s="85" t="n"/>
      <c r="Z409" s="85" t="n"/>
    </row>
    <row r="410" ht="15.75" customHeight="1" s="86">
      <c r="T410" s="85" t="n"/>
      <c r="U410" s="85" t="n"/>
      <c r="V410" s="85" t="n"/>
      <c r="W410" s="85" t="n"/>
      <c r="X410" s="85" t="n"/>
      <c r="Y410" s="85" t="n"/>
      <c r="Z410" s="85" t="n"/>
    </row>
    <row r="411" ht="15.75" customHeight="1" s="86">
      <c r="T411" s="85" t="n"/>
      <c r="U411" s="85" t="n"/>
      <c r="V411" s="85" t="n"/>
      <c r="W411" s="85" t="n"/>
      <c r="X411" s="85" t="n"/>
      <c r="Y411" s="85" t="n"/>
      <c r="Z411" s="85" t="n"/>
    </row>
    <row r="412" ht="15.75" customHeight="1" s="86">
      <c r="T412" s="85" t="n"/>
      <c r="U412" s="85" t="n"/>
      <c r="V412" s="85" t="n"/>
      <c r="W412" s="85" t="n"/>
      <c r="X412" s="85" t="n"/>
      <c r="Y412" s="85" t="n"/>
      <c r="Z412" s="85" t="n"/>
    </row>
    <row r="413" ht="15.75" customHeight="1" s="86">
      <c r="T413" s="85" t="n"/>
      <c r="U413" s="85" t="n"/>
      <c r="V413" s="85" t="n"/>
      <c r="W413" s="85" t="n"/>
      <c r="X413" s="85" t="n"/>
      <c r="Y413" s="85" t="n"/>
      <c r="Z413" s="85" t="n"/>
    </row>
    <row r="414" ht="15.75" customHeight="1" s="86">
      <c r="T414" s="85" t="n"/>
      <c r="U414" s="85" t="n"/>
      <c r="V414" s="85" t="n"/>
      <c r="W414" s="85" t="n"/>
      <c r="X414" s="85" t="n"/>
      <c r="Y414" s="85" t="n"/>
      <c r="Z414" s="85" t="n"/>
    </row>
    <row r="415" ht="15.75" customHeight="1" s="86">
      <c r="T415" s="85" t="n"/>
      <c r="U415" s="85" t="n"/>
      <c r="V415" s="85" t="n"/>
      <c r="W415" s="85" t="n"/>
      <c r="X415" s="85" t="n"/>
      <c r="Y415" s="85" t="n"/>
      <c r="Z415" s="85" t="n"/>
    </row>
    <row r="416" ht="15.75" customHeight="1" s="86">
      <c r="T416" s="85" t="n"/>
      <c r="U416" s="85" t="n"/>
      <c r="V416" s="85" t="n"/>
      <c r="W416" s="85" t="n"/>
      <c r="X416" s="85" t="n"/>
      <c r="Y416" s="85" t="n"/>
      <c r="Z416" s="85" t="n"/>
    </row>
    <row r="417" ht="15.75" customHeight="1" s="86">
      <c r="T417" s="85" t="n"/>
      <c r="U417" s="85" t="n"/>
      <c r="V417" s="85" t="n"/>
      <c r="W417" s="85" t="n"/>
      <c r="X417" s="85" t="n"/>
      <c r="Y417" s="85" t="n"/>
      <c r="Z417" s="85" t="n"/>
    </row>
    <row r="418" ht="15.75" customHeight="1" s="86">
      <c r="T418" s="85" t="n"/>
      <c r="U418" s="85" t="n"/>
      <c r="V418" s="85" t="n"/>
      <c r="W418" s="85" t="n"/>
      <c r="X418" s="85" t="n"/>
      <c r="Y418" s="85" t="n"/>
      <c r="Z418" s="85" t="n"/>
    </row>
    <row r="419" ht="15.75" customHeight="1" s="86">
      <c r="T419" s="85" t="n"/>
      <c r="U419" s="85" t="n"/>
      <c r="V419" s="85" t="n"/>
      <c r="W419" s="85" t="n"/>
      <c r="X419" s="85" t="n"/>
      <c r="Y419" s="85" t="n"/>
      <c r="Z419" s="85" t="n"/>
    </row>
    <row r="420" ht="15.75" customHeight="1" s="86">
      <c r="T420" s="85" t="n"/>
      <c r="U420" s="85" t="n"/>
      <c r="V420" s="85" t="n"/>
      <c r="W420" s="85" t="n"/>
      <c r="X420" s="85" t="n"/>
      <c r="Y420" s="85" t="n"/>
      <c r="Z420" s="85" t="n"/>
    </row>
    <row r="421" ht="15.75" customHeight="1" s="86">
      <c r="T421" s="85" t="n"/>
      <c r="U421" s="85" t="n"/>
      <c r="V421" s="85" t="n"/>
      <c r="W421" s="85" t="n"/>
      <c r="X421" s="85" t="n"/>
      <c r="Y421" s="85" t="n"/>
      <c r="Z421" s="85" t="n"/>
    </row>
    <row r="422" ht="15.75" customHeight="1" s="86">
      <c r="T422" s="85" t="n"/>
      <c r="U422" s="85" t="n"/>
      <c r="V422" s="85" t="n"/>
      <c r="W422" s="85" t="n"/>
      <c r="X422" s="85" t="n"/>
      <c r="Y422" s="85" t="n"/>
      <c r="Z422" s="85" t="n"/>
    </row>
    <row r="423" ht="15.75" customHeight="1" s="86">
      <c r="T423" s="85" t="n"/>
      <c r="U423" s="85" t="n"/>
      <c r="V423" s="85" t="n"/>
      <c r="W423" s="85" t="n"/>
      <c r="X423" s="85" t="n"/>
      <c r="Y423" s="85" t="n"/>
      <c r="Z423" s="85" t="n"/>
    </row>
    <row r="424" ht="15.75" customHeight="1" s="86">
      <c r="T424" s="85" t="n"/>
      <c r="U424" s="85" t="n"/>
      <c r="V424" s="85" t="n"/>
      <c r="W424" s="85" t="n"/>
      <c r="X424" s="85" t="n"/>
      <c r="Y424" s="85" t="n"/>
      <c r="Z424" s="85" t="n"/>
    </row>
    <row r="425" ht="15.75" customHeight="1" s="86">
      <c r="T425" s="85" t="n"/>
      <c r="U425" s="85" t="n"/>
      <c r="V425" s="85" t="n"/>
      <c r="W425" s="85" t="n"/>
      <c r="X425" s="85" t="n"/>
      <c r="Y425" s="85" t="n"/>
      <c r="Z425" s="85" t="n"/>
    </row>
    <row r="426" ht="15.75" customHeight="1" s="86">
      <c r="T426" s="85" t="n"/>
      <c r="U426" s="85" t="n"/>
      <c r="V426" s="85" t="n"/>
      <c r="W426" s="85" t="n"/>
      <c r="X426" s="85" t="n"/>
      <c r="Y426" s="85" t="n"/>
      <c r="Z426" s="85" t="n"/>
    </row>
    <row r="427" ht="15.75" customHeight="1" s="86">
      <c r="T427" s="85" t="n"/>
      <c r="U427" s="85" t="n"/>
      <c r="V427" s="85" t="n"/>
      <c r="W427" s="85" t="n"/>
      <c r="X427" s="85" t="n"/>
      <c r="Y427" s="85" t="n"/>
      <c r="Z427" s="85" t="n"/>
    </row>
    <row r="428" ht="15.75" customHeight="1" s="86">
      <c r="T428" s="85" t="n"/>
      <c r="U428" s="85" t="n"/>
      <c r="V428" s="85" t="n"/>
      <c r="W428" s="85" t="n"/>
      <c r="X428" s="85" t="n"/>
      <c r="Y428" s="85" t="n"/>
      <c r="Z428" s="85" t="n"/>
    </row>
    <row r="429" ht="15.75" customHeight="1" s="86">
      <c r="T429" s="85" t="n"/>
      <c r="U429" s="85" t="n"/>
      <c r="V429" s="85" t="n"/>
      <c r="W429" s="85" t="n"/>
      <c r="X429" s="85" t="n"/>
      <c r="Y429" s="85" t="n"/>
      <c r="Z429" s="85" t="n"/>
    </row>
    <row r="430" ht="15.75" customHeight="1" s="86">
      <c r="T430" s="85" t="n"/>
      <c r="U430" s="85" t="n"/>
      <c r="V430" s="85" t="n"/>
      <c r="W430" s="85" t="n"/>
      <c r="X430" s="85" t="n"/>
      <c r="Y430" s="85" t="n"/>
      <c r="Z430" s="85" t="n"/>
    </row>
    <row r="431" ht="15.75" customHeight="1" s="86">
      <c r="T431" s="85" t="n"/>
      <c r="U431" s="85" t="n"/>
      <c r="V431" s="85" t="n"/>
      <c r="W431" s="85" t="n"/>
      <c r="X431" s="85" t="n"/>
      <c r="Y431" s="85" t="n"/>
      <c r="Z431" s="85" t="n"/>
    </row>
    <row r="432" ht="15.75" customHeight="1" s="86">
      <c r="T432" s="85" t="n"/>
      <c r="U432" s="85" t="n"/>
      <c r="V432" s="85" t="n"/>
      <c r="W432" s="85" t="n"/>
      <c r="X432" s="85" t="n"/>
      <c r="Y432" s="85" t="n"/>
      <c r="Z432" s="85" t="n"/>
    </row>
    <row r="433" ht="15.75" customHeight="1" s="86">
      <c r="T433" s="85" t="n"/>
      <c r="U433" s="85" t="n"/>
      <c r="V433" s="85" t="n"/>
      <c r="W433" s="85" t="n"/>
      <c r="X433" s="85" t="n"/>
      <c r="Y433" s="85" t="n"/>
      <c r="Z433" s="85" t="n"/>
    </row>
    <row r="434" ht="15.75" customHeight="1" s="86">
      <c r="T434" s="85" t="n"/>
      <c r="U434" s="85" t="n"/>
      <c r="V434" s="85" t="n"/>
      <c r="W434" s="85" t="n"/>
      <c r="X434" s="85" t="n"/>
      <c r="Y434" s="85" t="n"/>
      <c r="Z434" s="85" t="n"/>
    </row>
    <row r="435" ht="15.75" customHeight="1" s="86">
      <c r="T435" s="85" t="n"/>
      <c r="U435" s="85" t="n"/>
      <c r="V435" s="85" t="n"/>
      <c r="W435" s="85" t="n"/>
      <c r="X435" s="85" t="n"/>
      <c r="Y435" s="85" t="n"/>
      <c r="Z435" s="85" t="n"/>
    </row>
    <row r="436" ht="15.75" customHeight="1" s="86">
      <c r="T436" s="85" t="n"/>
      <c r="U436" s="85" t="n"/>
      <c r="V436" s="85" t="n"/>
      <c r="W436" s="85" t="n"/>
      <c r="X436" s="85" t="n"/>
      <c r="Y436" s="85" t="n"/>
      <c r="Z436" s="85" t="n"/>
    </row>
    <row r="437" ht="15.75" customHeight="1" s="86">
      <c r="T437" s="85" t="n"/>
      <c r="U437" s="85" t="n"/>
      <c r="V437" s="85" t="n"/>
      <c r="W437" s="85" t="n"/>
      <c r="X437" s="85" t="n"/>
      <c r="Y437" s="85" t="n"/>
      <c r="Z437" s="85" t="n"/>
    </row>
    <row r="438" ht="15.75" customHeight="1" s="86">
      <c r="T438" s="85" t="n"/>
      <c r="U438" s="85" t="n"/>
      <c r="V438" s="85" t="n"/>
      <c r="W438" s="85" t="n"/>
      <c r="X438" s="85" t="n"/>
      <c r="Y438" s="85" t="n"/>
      <c r="Z438" s="85" t="n"/>
    </row>
    <row r="439" ht="15.75" customHeight="1" s="86">
      <c r="T439" s="85" t="n"/>
      <c r="U439" s="85" t="n"/>
      <c r="V439" s="85" t="n"/>
      <c r="W439" s="85" t="n"/>
      <c r="X439" s="85" t="n"/>
      <c r="Y439" s="85" t="n"/>
      <c r="Z439" s="85" t="n"/>
    </row>
    <row r="440" ht="15.75" customHeight="1" s="86">
      <c r="T440" s="85" t="n"/>
      <c r="U440" s="85" t="n"/>
      <c r="V440" s="85" t="n"/>
      <c r="W440" s="85" t="n"/>
      <c r="X440" s="85" t="n"/>
      <c r="Y440" s="85" t="n"/>
      <c r="Z440" s="85" t="n"/>
    </row>
    <row r="441" ht="15.75" customHeight="1" s="86">
      <c r="T441" s="85" t="n"/>
      <c r="U441" s="85" t="n"/>
      <c r="V441" s="85" t="n"/>
      <c r="W441" s="85" t="n"/>
      <c r="X441" s="85" t="n"/>
      <c r="Y441" s="85" t="n"/>
      <c r="Z441" s="85" t="n"/>
    </row>
    <row r="442" ht="15.75" customHeight="1" s="86">
      <c r="T442" s="85" t="n"/>
      <c r="U442" s="85" t="n"/>
      <c r="V442" s="85" t="n"/>
      <c r="W442" s="85" t="n"/>
      <c r="X442" s="85" t="n"/>
      <c r="Y442" s="85" t="n"/>
      <c r="Z442" s="85" t="n"/>
    </row>
    <row r="443" ht="15.75" customHeight="1" s="86">
      <c r="T443" s="85" t="n"/>
      <c r="U443" s="85" t="n"/>
      <c r="V443" s="85" t="n"/>
      <c r="W443" s="85" t="n"/>
      <c r="X443" s="85" t="n"/>
      <c r="Y443" s="85" t="n"/>
      <c r="Z443" s="85" t="n"/>
    </row>
    <row r="444" ht="15.75" customHeight="1" s="86">
      <c r="T444" s="85" t="n"/>
      <c r="U444" s="85" t="n"/>
      <c r="V444" s="85" t="n"/>
      <c r="W444" s="85" t="n"/>
      <c r="X444" s="85" t="n"/>
      <c r="Y444" s="85" t="n"/>
      <c r="Z444" s="85" t="n"/>
    </row>
    <row r="445" ht="15.75" customHeight="1" s="86">
      <c r="T445" s="85" t="n"/>
      <c r="U445" s="85" t="n"/>
      <c r="V445" s="85" t="n"/>
      <c r="W445" s="85" t="n"/>
      <c r="X445" s="85" t="n"/>
      <c r="Y445" s="85" t="n"/>
      <c r="Z445" s="85" t="n"/>
    </row>
    <row r="446" ht="15.75" customHeight="1" s="86">
      <c r="T446" s="85" t="n"/>
      <c r="U446" s="85" t="n"/>
      <c r="V446" s="85" t="n"/>
      <c r="W446" s="85" t="n"/>
      <c r="X446" s="85" t="n"/>
      <c r="Y446" s="85" t="n"/>
      <c r="Z446" s="85" t="n"/>
    </row>
    <row r="447" ht="15.75" customHeight="1" s="86">
      <c r="T447" s="85" t="n"/>
      <c r="U447" s="85" t="n"/>
      <c r="V447" s="85" t="n"/>
      <c r="W447" s="85" t="n"/>
      <c r="X447" s="85" t="n"/>
      <c r="Y447" s="85" t="n"/>
      <c r="Z447" s="85" t="n"/>
    </row>
    <row r="448" ht="15.75" customHeight="1" s="86">
      <c r="T448" s="85" t="n"/>
      <c r="U448" s="85" t="n"/>
      <c r="V448" s="85" t="n"/>
      <c r="W448" s="85" t="n"/>
      <c r="X448" s="85" t="n"/>
      <c r="Y448" s="85" t="n"/>
      <c r="Z448" s="85" t="n"/>
    </row>
    <row r="449" ht="15.75" customHeight="1" s="86">
      <c r="T449" s="85" t="n"/>
      <c r="U449" s="85" t="n"/>
      <c r="V449" s="85" t="n"/>
      <c r="W449" s="85" t="n"/>
      <c r="X449" s="85" t="n"/>
      <c r="Y449" s="85" t="n"/>
      <c r="Z449" s="85" t="n"/>
    </row>
    <row r="450" ht="15.75" customHeight="1" s="86">
      <c r="T450" s="85" t="n"/>
      <c r="U450" s="85" t="n"/>
      <c r="V450" s="85" t="n"/>
      <c r="W450" s="85" t="n"/>
      <c r="X450" s="85" t="n"/>
      <c r="Y450" s="85" t="n"/>
      <c r="Z450" s="85" t="n"/>
    </row>
    <row r="451" ht="15.75" customHeight="1" s="86">
      <c r="T451" s="85" t="n"/>
      <c r="U451" s="85" t="n"/>
      <c r="V451" s="85" t="n"/>
      <c r="W451" s="85" t="n"/>
      <c r="X451" s="85" t="n"/>
      <c r="Y451" s="85" t="n"/>
      <c r="Z451" s="85" t="n"/>
    </row>
    <row r="452" ht="15.75" customHeight="1" s="86">
      <c r="T452" s="85" t="n"/>
      <c r="U452" s="85" t="n"/>
      <c r="V452" s="85" t="n"/>
      <c r="W452" s="85" t="n"/>
      <c r="X452" s="85" t="n"/>
      <c r="Y452" s="85" t="n"/>
      <c r="Z452" s="85" t="n"/>
    </row>
    <row r="453" ht="15.75" customHeight="1" s="86">
      <c r="T453" s="85" t="n"/>
      <c r="U453" s="85" t="n"/>
      <c r="V453" s="85" t="n"/>
      <c r="W453" s="85" t="n"/>
      <c r="X453" s="85" t="n"/>
      <c r="Y453" s="85" t="n"/>
      <c r="Z453" s="85" t="n"/>
    </row>
    <row r="454" ht="15.75" customHeight="1" s="86">
      <c r="T454" s="85" t="n"/>
      <c r="U454" s="85" t="n"/>
      <c r="V454" s="85" t="n"/>
      <c r="W454" s="85" t="n"/>
      <c r="X454" s="85" t="n"/>
      <c r="Y454" s="85" t="n"/>
      <c r="Z454" s="85" t="n"/>
    </row>
    <row r="455" ht="15.75" customHeight="1" s="86">
      <c r="T455" s="85" t="n"/>
      <c r="U455" s="85" t="n"/>
      <c r="V455" s="85" t="n"/>
      <c r="W455" s="85" t="n"/>
      <c r="X455" s="85" t="n"/>
      <c r="Y455" s="85" t="n"/>
      <c r="Z455" s="85" t="n"/>
    </row>
    <row r="456" ht="15.75" customHeight="1" s="86">
      <c r="T456" s="85" t="n"/>
      <c r="U456" s="85" t="n"/>
      <c r="V456" s="85" t="n"/>
      <c r="W456" s="85" t="n"/>
      <c r="X456" s="85" t="n"/>
      <c r="Y456" s="85" t="n"/>
      <c r="Z456" s="85" t="n"/>
    </row>
    <row r="457" ht="15.75" customHeight="1" s="86">
      <c r="T457" s="85" t="n"/>
      <c r="U457" s="85" t="n"/>
      <c r="V457" s="85" t="n"/>
      <c r="W457" s="85" t="n"/>
      <c r="X457" s="85" t="n"/>
      <c r="Y457" s="85" t="n"/>
      <c r="Z457" s="85" t="n"/>
    </row>
    <row r="458" ht="15.75" customHeight="1" s="86">
      <c r="T458" s="85" t="n"/>
      <c r="U458" s="85" t="n"/>
      <c r="V458" s="85" t="n"/>
      <c r="W458" s="85" t="n"/>
      <c r="X458" s="85" t="n"/>
      <c r="Y458" s="85" t="n"/>
      <c r="Z458" s="85" t="n"/>
    </row>
    <row r="459" ht="15.75" customHeight="1" s="86">
      <c r="T459" s="85" t="n"/>
      <c r="U459" s="85" t="n"/>
      <c r="V459" s="85" t="n"/>
      <c r="W459" s="85" t="n"/>
      <c r="X459" s="85" t="n"/>
      <c r="Y459" s="85" t="n"/>
      <c r="Z459" s="85" t="n"/>
    </row>
    <row r="460" ht="15.75" customHeight="1" s="86">
      <c r="T460" s="85" t="n"/>
      <c r="U460" s="85" t="n"/>
      <c r="V460" s="85" t="n"/>
      <c r="W460" s="85" t="n"/>
      <c r="X460" s="85" t="n"/>
      <c r="Y460" s="85" t="n"/>
      <c r="Z460" s="85" t="n"/>
    </row>
    <row r="461" ht="15.75" customHeight="1" s="86">
      <c r="T461" s="85" t="n"/>
      <c r="U461" s="85" t="n"/>
      <c r="V461" s="85" t="n"/>
      <c r="W461" s="85" t="n"/>
      <c r="X461" s="85" t="n"/>
      <c r="Y461" s="85" t="n"/>
      <c r="Z461" s="85" t="n"/>
    </row>
    <row r="462" ht="15.75" customHeight="1" s="86">
      <c r="T462" s="85" t="n"/>
      <c r="U462" s="85" t="n"/>
      <c r="V462" s="85" t="n"/>
      <c r="W462" s="85" t="n"/>
      <c r="X462" s="85" t="n"/>
      <c r="Y462" s="85" t="n"/>
      <c r="Z462" s="85" t="n"/>
    </row>
    <row r="463" ht="15.75" customHeight="1" s="86">
      <c r="T463" s="85" t="n"/>
      <c r="U463" s="85" t="n"/>
      <c r="V463" s="85" t="n"/>
      <c r="W463" s="85" t="n"/>
      <c r="X463" s="85" t="n"/>
      <c r="Y463" s="85" t="n"/>
      <c r="Z463" s="85" t="n"/>
    </row>
    <row r="464" ht="15.75" customHeight="1" s="86">
      <c r="T464" s="85" t="n"/>
      <c r="U464" s="85" t="n"/>
      <c r="V464" s="85" t="n"/>
      <c r="W464" s="85" t="n"/>
      <c r="X464" s="85" t="n"/>
      <c r="Y464" s="85" t="n"/>
      <c r="Z464" s="85" t="n"/>
    </row>
    <row r="465" ht="15.75" customHeight="1" s="86">
      <c r="T465" s="85" t="n"/>
      <c r="U465" s="85" t="n"/>
      <c r="V465" s="85" t="n"/>
      <c r="W465" s="85" t="n"/>
      <c r="X465" s="85" t="n"/>
      <c r="Y465" s="85" t="n"/>
      <c r="Z465" s="85" t="n"/>
    </row>
    <row r="466" ht="15.75" customHeight="1" s="86">
      <c r="T466" s="85" t="n"/>
      <c r="U466" s="85" t="n"/>
      <c r="V466" s="85" t="n"/>
      <c r="W466" s="85" t="n"/>
      <c r="X466" s="85" t="n"/>
      <c r="Y466" s="85" t="n"/>
      <c r="Z466" s="85" t="n"/>
    </row>
    <row r="467" ht="15.75" customHeight="1" s="86">
      <c r="T467" s="85" t="n"/>
      <c r="U467" s="85" t="n"/>
      <c r="V467" s="85" t="n"/>
      <c r="W467" s="85" t="n"/>
      <c r="X467" s="85" t="n"/>
      <c r="Y467" s="85" t="n"/>
      <c r="Z467" s="85" t="n"/>
    </row>
    <row r="468" ht="15.75" customHeight="1" s="86">
      <c r="T468" s="85" t="n"/>
      <c r="U468" s="85" t="n"/>
      <c r="V468" s="85" t="n"/>
      <c r="W468" s="85" t="n"/>
      <c r="X468" s="85" t="n"/>
      <c r="Y468" s="85" t="n"/>
      <c r="Z468" s="85" t="n"/>
    </row>
    <row r="469" ht="15.75" customHeight="1" s="86">
      <c r="T469" s="85" t="n"/>
      <c r="U469" s="85" t="n"/>
      <c r="V469" s="85" t="n"/>
      <c r="W469" s="85" t="n"/>
      <c r="X469" s="85" t="n"/>
      <c r="Y469" s="85" t="n"/>
      <c r="Z469" s="85" t="n"/>
    </row>
    <row r="470" ht="15.75" customHeight="1" s="86">
      <c r="T470" s="85" t="n"/>
      <c r="U470" s="85" t="n"/>
      <c r="V470" s="85" t="n"/>
      <c r="W470" s="85" t="n"/>
      <c r="X470" s="85" t="n"/>
      <c r="Y470" s="85" t="n"/>
      <c r="Z470" s="85" t="n"/>
    </row>
    <row r="471" ht="15.75" customHeight="1" s="86">
      <c r="T471" s="85" t="n"/>
      <c r="U471" s="85" t="n"/>
      <c r="V471" s="85" t="n"/>
      <c r="W471" s="85" t="n"/>
      <c r="X471" s="85" t="n"/>
      <c r="Y471" s="85" t="n"/>
      <c r="Z471" s="85" t="n"/>
    </row>
    <row r="472" ht="15.75" customHeight="1" s="86">
      <c r="T472" s="85" t="n"/>
      <c r="U472" s="85" t="n"/>
      <c r="V472" s="85" t="n"/>
      <c r="W472" s="85" t="n"/>
      <c r="X472" s="85" t="n"/>
      <c r="Y472" s="85" t="n"/>
      <c r="Z472" s="85" t="n"/>
    </row>
    <row r="473" ht="15.75" customHeight="1" s="86">
      <c r="T473" s="85" t="n"/>
      <c r="U473" s="85" t="n"/>
      <c r="V473" s="85" t="n"/>
      <c r="W473" s="85" t="n"/>
      <c r="X473" s="85" t="n"/>
      <c r="Y473" s="85" t="n"/>
      <c r="Z473" s="85" t="n"/>
    </row>
    <row r="474" ht="15.75" customHeight="1" s="86">
      <c r="T474" s="85" t="n"/>
      <c r="U474" s="85" t="n"/>
      <c r="V474" s="85" t="n"/>
      <c r="W474" s="85" t="n"/>
      <c r="X474" s="85" t="n"/>
      <c r="Y474" s="85" t="n"/>
      <c r="Z474" s="85" t="n"/>
    </row>
    <row r="475" ht="15.75" customHeight="1" s="86">
      <c r="T475" s="85" t="n"/>
      <c r="U475" s="85" t="n"/>
      <c r="V475" s="85" t="n"/>
      <c r="W475" s="85" t="n"/>
      <c r="X475" s="85" t="n"/>
      <c r="Y475" s="85" t="n"/>
      <c r="Z475" s="85" t="n"/>
    </row>
    <row r="476" ht="15.75" customHeight="1" s="86">
      <c r="T476" s="85" t="n"/>
      <c r="U476" s="85" t="n"/>
      <c r="V476" s="85" t="n"/>
      <c r="W476" s="85" t="n"/>
      <c r="X476" s="85" t="n"/>
      <c r="Y476" s="85" t="n"/>
      <c r="Z476" s="85" t="n"/>
    </row>
    <row r="477" ht="15.75" customHeight="1" s="86">
      <c r="T477" s="85" t="n"/>
      <c r="U477" s="85" t="n"/>
      <c r="V477" s="85" t="n"/>
      <c r="W477" s="85" t="n"/>
      <c r="X477" s="85" t="n"/>
      <c r="Y477" s="85" t="n"/>
      <c r="Z477" s="85" t="n"/>
    </row>
    <row r="478" ht="15.75" customHeight="1" s="86">
      <c r="T478" s="85" t="n"/>
      <c r="U478" s="85" t="n"/>
      <c r="V478" s="85" t="n"/>
      <c r="W478" s="85" t="n"/>
      <c r="X478" s="85" t="n"/>
      <c r="Y478" s="85" t="n"/>
      <c r="Z478" s="85" t="n"/>
    </row>
    <row r="479" ht="15.75" customHeight="1" s="86">
      <c r="T479" s="85" t="n"/>
      <c r="U479" s="85" t="n"/>
      <c r="V479" s="85" t="n"/>
      <c r="W479" s="85" t="n"/>
      <c r="X479" s="85" t="n"/>
      <c r="Y479" s="85" t="n"/>
      <c r="Z479" s="85" t="n"/>
    </row>
    <row r="480" ht="15.75" customHeight="1" s="86">
      <c r="T480" s="85" t="n"/>
      <c r="U480" s="85" t="n"/>
      <c r="V480" s="85" t="n"/>
      <c r="W480" s="85" t="n"/>
      <c r="X480" s="85" t="n"/>
      <c r="Y480" s="85" t="n"/>
      <c r="Z480" s="85" t="n"/>
    </row>
    <row r="481" ht="15.75" customHeight="1" s="86">
      <c r="T481" s="85" t="n"/>
      <c r="U481" s="85" t="n"/>
      <c r="V481" s="85" t="n"/>
      <c r="W481" s="85" t="n"/>
      <c r="X481" s="85" t="n"/>
      <c r="Y481" s="85" t="n"/>
      <c r="Z481" s="85" t="n"/>
    </row>
    <row r="482" ht="15.75" customHeight="1" s="86">
      <c r="T482" s="85" t="n"/>
      <c r="U482" s="85" t="n"/>
      <c r="V482" s="85" t="n"/>
      <c r="W482" s="85" t="n"/>
      <c r="X482" s="85" t="n"/>
      <c r="Y482" s="85" t="n"/>
      <c r="Z482" s="85" t="n"/>
    </row>
    <row r="483" ht="15.75" customHeight="1" s="86">
      <c r="T483" s="85" t="n"/>
      <c r="U483" s="85" t="n"/>
      <c r="V483" s="85" t="n"/>
      <c r="W483" s="85" t="n"/>
      <c r="X483" s="85" t="n"/>
      <c r="Y483" s="85" t="n"/>
      <c r="Z483" s="85" t="n"/>
    </row>
    <row r="484" ht="15.75" customHeight="1" s="86">
      <c r="T484" s="85" t="n"/>
      <c r="U484" s="85" t="n"/>
      <c r="V484" s="85" t="n"/>
      <c r="W484" s="85" t="n"/>
      <c r="X484" s="85" t="n"/>
      <c r="Y484" s="85" t="n"/>
      <c r="Z484" s="85" t="n"/>
    </row>
    <row r="485" ht="15.75" customHeight="1" s="86">
      <c r="T485" s="85" t="n"/>
      <c r="U485" s="85" t="n"/>
      <c r="V485" s="85" t="n"/>
      <c r="W485" s="85" t="n"/>
      <c r="X485" s="85" t="n"/>
      <c r="Y485" s="85" t="n"/>
      <c r="Z485" s="85" t="n"/>
    </row>
    <row r="486" ht="15.75" customHeight="1" s="86">
      <c r="T486" s="85" t="n"/>
      <c r="U486" s="85" t="n"/>
      <c r="V486" s="85" t="n"/>
      <c r="W486" s="85" t="n"/>
      <c r="X486" s="85" t="n"/>
      <c r="Y486" s="85" t="n"/>
      <c r="Z486" s="85" t="n"/>
    </row>
    <row r="487" ht="15.75" customHeight="1" s="86">
      <c r="T487" s="85" t="n"/>
      <c r="U487" s="85" t="n"/>
      <c r="V487" s="85" t="n"/>
      <c r="W487" s="85" t="n"/>
      <c r="X487" s="85" t="n"/>
      <c r="Y487" s="85" t="n"/>
      <c r="Z487" s="85" t="n"/>
    </row>
    <row r="488" ht="15.75" customHeight="1" s="86">
      <c r="T488" s="85" t="n"/>
      <c r="U488" s="85" t="n"/>
      <c r="V488" s="85" t="n"/>
      <c r="W488" s="85" t="n"/>
      <c r="X488" s="85" t="n"/>
      <c r="Y488" s="85" t="n"/>
      <c r="Z488" s="85" t="n"/>
    </row>
    <row r="489" ht="15.75" customHeight="1" s="86">
      <c r="T489" s="85" t="n"/>
      <c r="U489" s="85" t="n"/>
      <c r="V489" s="85" t="n"/>
      <c r="W489" s="85" t="n"/>
      <c r="X489" s="85" t="n"/>
      <c r="Y489" s="85" t="n"/>
      <c r="Z489" s="85" t="n"/>
    </row>
    <row r="490" ht="15.75" customHeight="1" s="86">
      <c r="T490" s="85" t="n"/>
      <c r="U490" s="85" t="n"/>
      <c r="V490" s="85" t="n"/>
      <c r="W490" s="85" t="n"/>
      <c r="X490" s="85" t="n"/>
      <c r="Y490" s="85" t="n"/>
      <c r="Z490" s="85" t="n"/>
    </row>
    <row r="491" ht="15.75" customHeight="1" s="86">
      <c r="T491" s="85" t="n"/>
      <c r="U491" s="85" t="n"/>
      <c r="V491" s="85" t="n"/>
      <c r="W491" s="85" t="n"/>
      <c r="X491" s="85" t="n"/>
      <c r="Y491" s="85" t="n"/>
      <c r="Z491" s="85" t="n"/>
    </row>
    <row r="492" ht="15.75" customHeight="1" s="86">
      <c r="T492" s="85" t="n"/>
      <c r="U492" s="85" t="n"/>
      <c r="V492" s="85" t="n"/>
      <c r="W492" s="85" t="n"/>
      <c r="X492" s="85" t="n"/>
      <c r="Y492" s="85" t="n"/>
      <c r="Z492" s="85" t="n"/>
    </row>
    <row r="493" ht="15.75" customHeight="1" s="86">
      <c r="T493" s="85" t="n"/>
      <c r="U493" s="85" t="n"/>
      <c r="V493" s="85" t="n"/>
      <c r="W493" s="85" t="n"/>
      <c r="X493" s="85" t="n"/>
      <c r="Y493" s="85" t="n"/>
      <c r="Z493" s="85" t="n"/>
    </row>
    <row r="494" ht="15.75" customHeight="1" s="86">
      <c r="T494" s="85" t="n"/>
      <c r="U494" s="85" t="n"/>
      <c r="V494" s="85" t="n"/>
      <c r="W494" s="85" t="n"/>
      <c r="X494" s="85" t="n"/>
      <c r="Y494" s="85" t="n"/>
      <c r="Z494" s="85" t="n"/>
    </row>
    <row r="495" ht="15.75" customHeight="1" s="86">
      <c r="T495" s="85" t="n"/>
      <c r="U495" s="85" t="n"/>
      <c r="V495" s="85" t="n"/>
      <c r="W495" s="85" t="n"/>
      <c r="X495" s="85" t="n"/>
      <c r="Y495" s="85" t="n"/>
      <c r="Z495" s="85" t="n"/>
    </row>
    <row r="496" ht="15.75" customHeight="1" s="86">
      <c r="T496" s="85" t="n"/>
      <c r="U496" s="85" t="n"/>
      <c r="V496" s="85" t="n"/>
      <c r="W496" s="85" t="n"/>
      <c r="X496" s="85" t="n"/>
      <c r="Y496" s="85" t="n"/>
      <c r="Z496" s="85" t="n"/>
    </row>
    <row r="497" ht="15.75" customHeight="1" s="86">
      <c r="T497" s="85" t="n"/>
      <c r="U497" s="85" t="n"/>
      <c r="V497" s="85" t="n"/>
      <c r="W497" s="85" t="n"/>
      <c r="X497" s="85" t="n"/>
      <c r="Y497" s="85" t="n"/>
      <c r="Z497" s="85" t="n"/>
    </row>
    <row r="498" ht="15.75" customHeight="1" s="86">
      <c r="T498" s="85" t="n"/>
      <c r="U498" s="85" t="n"/>
      <c r="V498" s="85" t="n"/>
      <c r="W498" s="85" t="n"/>
      <c r="X498" s="85" t="n"/>
      <c r="Y498" s="85" t="n"/>
      <c r="Z498" s="85" t="n"/>
    </row>
    <row r="499" ht="15.75" customHeight="1" s="86">
      <c r="T499" s="85" t="n"/>
      <c r="U499" s="85" t="n"/>
      <c r="V499" s="85" t="n"/>
      <c r="W499" s="85" t="n"/>
      <c r="X499" s="85" t="n"/>
      <c r="Y499" s="85" t="n"/>
      <c r="Z499" s="85" t="n"/>
    </row>
    <row r="500" ht="15.75" customHeight="1" s="86">
      <c r="T500" s="85" t="n"/>
      <c r="U500" s="85" t="n"/>
      <c r="V500" s="85" t="n"/>
      <c r="W500" s="85" t="n"/>
      <c r="X500" s="85" t="n"/>
      <c r="Y500" s="85" t="n"/>
      <c r="Z500" s="85" t="n"/>
    </row>
    <row r="501" ht="15.75" customHeight="1" s="86">
      <c r="T501" s="85" t="n"/>
      <c r="U501" s="85" t="n"/>
      <c r="V501" s="85" t="n"/>
      <c r="W501" s="85" t="n"/>
      <c r="X501" s="85" t="n"/>
      <c r="Y501" s="85" t="n"/>
      <c r="Z501" s="85" t="n"/>
    </row>
    <row r="502" ht="15.75" customHeight="1" s="86">
      <c r="T502" s="85" t="n"/>
      <c r="U502" s="85" t="n"/>
      <c r="V502" s="85" t="n"/>
      <c r="W502" s="85" t="n"/>
      <c r="X502" s="85" t="n"/>
      <c r="Y502" s="85" t="n"/>
      <c r="Z502" s="85" t="n"/>
    </row>
    <row r="503" ht="15.75" customHeight="1" s="86">
      <c r="T503" s="85" t="n"/>
      <c r="U503" s="85" t="n"/>
      <c r="V503" s="85" t="n"/>
      <c r="W503" s="85" t="n"/>
      <c r="X503" s="85" t="n"/>
      <c r="Y503" s="85" t="n"/>
      <c r="Z503" s="85" t="n"/>
    </row>
    <row r="504" ht="15.75" customHeight="1" s="86">
      <c r="T504" s="85" t="n"/>
      <c r="U504" s="85" t="n"/>
      <c r="V504" s="85" t="n"/>
      <c r="W504" s="85" t="n"/>
      <c r="X504" s="85" t="n"/>
      <c r="Y504" s="85" t="n"/>
      <c r="Z504" s="85" t="n"/>
    </row>
    <row r="505" ht="15.75" customHeight="1" s="86">
      <c r="T505" s="85" t="n"/>
      <c r="U505" s="85" t="n"/>
      <c r="V505" s="85" t="n"/>
      <c r="W505" s="85" t="n"/>
      <c r="X505" s="85" t="n"/>
      <c r="Y505" s="85" t="n"/>
      <c r="Z505" s="85" t="n"/>
    </row>
    <row r="506" ht="15.75" customHeight="1" s="86">
      <c r="T506" s="85" t="n"/>
      <c r="U506" s="85" t="n"/>
      <c r="V506" s="85" t="n"/>
      <c r="W506" s="85" t="n"/>
      <c r="X506" s="85" t="n"/>
      <c r="Y506" s="85" t="n"/>
      <c r="Z506" s="85" t="n"/>
    </row>
    <row r="507" ht="15.75" customHeight="1" s="86">
      <c r="T507" s="85" t="n"/>
      <c r="U507" s="85" t="n"/>
      <c r="V507" s="85" t="n"/>
      <c r="W507" s="85" t="n"/>
      <c r="X507" s="85" t="n"/>
      <c r="Y507" s="85" t="n"/>
      <c r="Z507" s="85" t="n"/>
    </row>
    <row r="508" ht="15.75" customHeight="1" s="86">
      <c r="T508" s="85" t="n"/>
      <c r="U508" s="85" t="n"/>
      <c r="V508" s="85" t="n"/>
      <c r="W508" s="85" t="n"/>
      <c r="X508" s="85" t="n"/>
      <c r="Y508" s="85" t="n"/>
      <c r="Z508" s="85" t="n"/>
    </row>
    <row r="509" ht="15.75" customHeight="1" s="86">
      <c r="T509" s="85" t="n"/>
      <c r="U509" s="85" t="n"/>
      <c r="V509" s="85" t="n"/>
      <c r="W509" s="85" t="n"/>
      <c r="X509" s="85" t="n"/>
      <c r="Y509" s="85" t="n"/>
      <c r="Z509" s="85" t="n"/>
    </row>
    <row r="510" ht="15.75" customHeight="1" s="86">
      <c r="T510" s="85" t="n"/>
      <c r="U510" s="85" t="n"/>
      <c r="V510" s="85" t="n"/>
      <c r="W510" s="85" t="n"/>
      <c r="X510" s="85" t="n"/>
      <c r="Y510" s="85" t="n"/>
      <c r="Z510" s="85" t="n"/>
    </row>
    <row r="511" ht="15.75" customHeight="1" s="86">
      <c r="T511" s="85" t="n"/>
      <c r="U511" s="85" t="n"/>
      <c r="V511" s="85" t="n"/>
      <c r="W511" s="85" t="n"/>
      <c r="X511" s="85" t="n"/>
      <c r="Y511" s="85" t="n"/>
      <c r="Z511" s="85" t="n"/>
    </row>
    <row r="512" ht="15.75" customHeight="1" s="86">
      <c r="T512" s="85" t="n"/>
      <c r="U512" s="85" t="n"/>
      <c r="V512" s="85" t="n"/>
      <c r="W512" s="85" t="n"/>
      <c r="X512" s="85" t="n"/>
      <c r="Y512" s="85" t="n"/>
      <c r="Z512" s="85" t="n"/>
    </row>
    <row r="513" ht="15.75" customHeight="1" s="86">
      <c r="T513" s="85" t="n"/>
      <c r="U513" s="85" t="n"/>
      <c r="V513" s="85" t="n"/>
      <c r="W513" s="85" t="n"/>
      <c r="X513" s="85" t="n"/>
      <c r="Y513" s="85" t="n"/>
      <c r="Z513" s="85" t="n"/>
    </row>
    <row r="514" ht="15.75" customHeight="1" s="86">
      <c r="T514" s="85" t="n"/>
      <c r="U514" s="85" t="n"/>
      <c r="V514" s="85" t="n"/>
      <c r="W514" s="85" t="n"/>
      <c r="X514" s="85" t="n"/>
      <c r="Y514" s="85" t="n"/>
      <c r="Z514" s="85" t="n"/>
    </row>
    <row r="515" ht="15.75" customHeight="1" s="86">
      <c r="T515" s="85" t="n"/>
      <c r="U515" s="85" t="n"/>
      <c r="V515" s="85" t="n"/>
      <c r="W515" s="85" t="n"/>
      <c r="X515" s="85" t="n"/>
      <c r="Y515" s="85" t="n"/>
      <c r="Z515" s="85" t="n"/>
    </row>
    <row r="516" ht="15.75" customHeight="1" s="86">
      <c r="T516" s="85" t="n"/>
      <c r="U516" s="85" t="n"/>
      <c r="V516" s="85" t="n"/>
      <c r="W516" s="85" t="n"/>
      <c r="X516" s="85" t="n"/>
      <c r="Y516" s="85" t="n"/>
      <c r="Z516" s="85" t="n"/>
    </row>
    <row r="517" ht="15.75" customHeight="1" s="86">
      <c r="T517" s="85" t="n"/>
      <c r="U517" s="85" t="n"/>
      <c r="V517" s="85" t="n"/>
      <c r="W517" s="85" t="n"/>
      <c r="X517" s="85" t="n"/>
      <c r="Y517" s="85" t="n"/>
      <c r="Z517" s="85" t="n"/>
    </row>
    <row r="518" ht="15.75" customHeight="1" s="86">
      <c r="T518" s="85" t="n"/>
      <c r="U518" s="85" t="n"/>
      <c r="V518" s="85" t="n"/>
      <c r="W518" s="85" t="n"/>
      <c r="X518" s="85" t="n"/>
      <c r="Y518" s="85" t="n"/>
      <c r="Z518" s="85" t="n"/>
    </row>
    <row r="519" ht="15.75" customHeight="1" s="86">
      <c r="T519" s="85" t="n"/>
      <c r="U519" s="85" t="n"/>
      <c r="V519" s="85" t="n"/>
      <c r="W519" s="85" t="n"/>
      <c r="X519" s="85" t="n"/>
      <c r="Y519" s="85" t="n"/>
      <c r="Z519" s="85" t="n"/>
    </row>
    <row r="520" ht="15.75" customHeight="1" s="86">
      <c r="T520" s="85" t="n"/>
      <c r="U520" s="85" t="n"/>
      <c r="V520" s="85" t="n"/>
      <c r="W520" s="85" t="n"/>
      <c r="X520" s="85" t="n"/>
      <c r="Y520" s="85" t="n"/>
      <c r="Z520" s="85" t="n"/>
    </row>
    <row r="521" ht="15.75" customHeight="1" s="86">
      <c r="T521" s="85" t="n"/>
      <c r="U521" s="85" t="n"/>
      <c r="V521" s="85" t="n"/>
      <c r="W521" s="85" t="n"/>
      <c r="X521" s="85" t="n"/>
      <c r="Y521" s="85" t="n"/>
      <c r="Z521" s="85" t="n"/>
    </row>
    <row r="522" ht="15.75" customHeight="1" s="86">
      <c r="T522" s="85" t="n"/>
      <c r="U522" s="85" t="n"/>
      <c r="V522" s="85" t="n"/>
      <c r="W522" s="85" t="n"/>
      <c r="X522" s="85" t="n"/>
      <c r="Y522" s="85" t="n"/>
      <c r="Z522" s="85" t="n"/>
    </row>
    <row r="523" ht="15.75" customHeight="1" s="86">
      <c r="T523" s="85" t="n"/>
      <c r="U523" s="85" t="n"/>
      <c r="V523" s="85" t="n"/>
      <c r="W523" s="85" t="n"/>
      <c r="X523" s="85" t="n"/>
      <c r="Y523" s="85" t="n"/>
      <c r="Z523" s="85" t="n"/>
    </row>
    <row r="524" ht="15.75" customHeight="1" s="86">
      <c r="T524" s="85" t="n"/>
      <c r="U524" s="85" t="n"/>
      <c r="V524" s="85" t="n"/>
      <c r="W524" s="85" t="n"/>
      <c r="X524" s="85" t="n"/>
      <c r="Y524" s="85" t="n"/>
      <c r="Z524" s="85" t="n"/>
    </row>
    <row r="525" ht="15.75" customHeight="1" s="86">
      <c r="T525" s="85" t="n"/>
      <c r="U525" s="85" t="n"/>
      <c r="V525" s="85" t="n"/>
      <c r="W525" s="85" t="n"/>
      <c r="X525" s="85" t="n"/>
      <c r="Y525" s="85" t="n"/>
      <c r="Z525" s="85" t="n"/>
    </row>
    <row r="526" ht="15.75" customHeight="1" s="86">
      <c r="T526" s="85" t="n"/>
      <c r="U526" s="85" t="n"/>
      <c r="V526" s="85" t="n"/>
      <c r="W526" s="85" t="n"/>
      <c r="X526" s="85" t="n"/>
      <c r="Y526" s="85" t="n"/>
      <c r="Z526" s="85" t="n"/>
    </row>
    <row r="527" ht="15.75" customHeight="1" s="86">
      <c r="T527" s="85" t="n"/>
      <c r="U527" s="85" t="n"/>
      <c r="V527" s="85" t="n"/>
      <c r="W527" s="85" t="n"/>
      <c r="X527" s="85" t="n"/>
      <c r="Y527" s="85" t="n"/>
      <c r="Z527" s="85" t="n"/>
    </row>
    <row r="528" ht="15.75" customHeight="1" s="86">
      <c r="T528" s="85" t="n"/>
      <c r="U528" s="85" t="n"/>
      <c r="V528" s="85" t="n"/>
      <c r="W528" s="85" t="n"/>
      <c r="X528" s="85" t="n"/>
      <c r="Y528" s="85" t="n"/>
      <c r="Z528" s="85" t="n"/>
    </row>
    <row r="529" ht="15.75" customHeight="1" s="86">
      <c r="T529" s="85" t="n"/>
      <c r="U529" s="85" t="n"/>
      <c r="V529" s="85" t="n"/>
      <c r="W529" s="85" t="n"/>
      <c r="X529" s="85" t="n"/>
      <c r="Y529" s="85" t="n"/>
      <c r="Z529" s="85" t="n"/>
    </row>
    <row r="530" ht="15.75" customHeight="1" s="86">
      <c r="T530" s="85" t="n"/>
      <c r="U530" s="85" t="n"/>
      <c r="V530" s="85" t="n"/>
      <c r="W530" s="85" t="n"/>
      <c r="X530" s="85" t="n"/>
      <c r="Y530" s="85" t="n"/>
      <c r="Z530" s="85" t="n"/>
    </row>
    <row r="531" ht="15.75" customHeight="1" s="86">
      <c r="T531" s="85" t="n"/>
      <c r="U531" s="85" t="n"/>
      <c r="V531" s="85" t="n"/>
      <c r="W531" s="85" t="n"/>
      <c r="X531" s="85" t="n"/>
      <c r="Y531" s="85" t="n"/>
      <c r="Z531" s="85" t="n"/>
    </row>
    <row r="532" ht="15.75" customHeight="1" s="86">
      <c r="T532" s="85" t="n"/>
      <c r="U532" s="85" t="n"/>
      <c r="V532" s="85" t="n"/>
      <c r="W532" s="85" t="n"/>
      <c r="X532" s="85" t="n"/>
      <c r="Y532" s="85" t="n"/>
      <c r="Z532" s="85" t="n"/>
    </row>
    <row r="533" ht="15.75" customHeight="1" s="86">
      <c r="T533" s="85" t="n"/>
      <c r="U533" s="85" t="n"/>
      <c r="V533" s="85" t="n"/>
      <c r="W533" s="85" t="n"/>
      <c r="X533" s="85" t="n"/>
      <c r="Y533" s="85" t="n"/>
      <c r="Z533" s="85" t="n"/>
    </row>
    <row r="534" ht="15.75" customHeight="1" s="86">
      <c r="T534" s="85" t="n"/>
      <c r="U534" s="85" t="n"/>
      <c r="V534" s="85" t="n"/>
      <c r="W534" s="85" t="n"/>
      <c r="X534" s="85" t="n"/>
      <c r="Y534" s="85" t="n"/>
      <c r="Z534" s="85" t="n"/>
    </row>
    <row r="535" ht="15.75" customHeight="1" s="86">
      <c r="T535" s="85" t="n"/>
      <c r="U535" s="85" t="n"/>
      <c r="V535" s="85" t="n"/>
      <c r="W535" s="85" t="n"/>
      <c r="X535" s="85" t="n"/>
      <c r="Y535" s="85" t="n"/>
      <c r="Z535" s="85" t="n"/>
    </row>
    <row r="536" ht="15.75" customHeight="1" s="86">
      <c r="T536" s="85" t="n"/>
      <c r="U536" s="85" t="n"/>
      <c r="V536" s="85" t="n"/>
      <c r="W536" s="85" t="n"/>
      <c r="X536" s="85" t="n"/>
      <c r="Y536" s="85" t="n"/>
      <c r="Z536" s="85" t="n"/>
    </row>
    <row r="537" ht="15.75" customHeight="1" s="86">
      <c r="T537" s="85" t="n"/>
      <c r="U537" s="85" t="n"/>
      <c r="V537" s="85" t="n"/>
      <c r="W537" s="85" t="n"/>
      <c r="X537" s="85" t="n"/>
      <c r="Y537" s="85" t="n"/>
      <c r="Z537" s="85" t="n"/>
    </row>
    <row r="538" ht="15.75" customHeight="1" s="86">
      <c r="T538" s="85" t="n"/>
      <c r="U538" s="85" t="n"/>
      <c r="V538" s="85" t="n"/>
      <c r="W538" s="85" t="n"/>
      <c r="X538" s="85" t="n"/>
      <c r="Y538" s="85" t="n"/>
      <c r="Z538" s="85" t="n"/>
    </row>
    <row r="539" ht="15.75" customHeight="1" s="86">
      <c r="T539" s="85" t="n"/>
      <c r="U539" s="85" t="n"/>
      <c r="V539" s="85" t="n"/>
      <c r="W539" s="85" t="n"/>
      <c r="X539" s="85" t="n"/>
      <c r="Y539" s="85" t="n"/>
      <c r="Z539" s="85" t="n"/>
    </row>
    <row r="540" ht="15.75" customHeight="1" s="86">
      <c r="T540" s="85" t="n"/>
      <c r="U540" s="85" t="n"/>
      <c r="V540" s="85" t="n"/>
      <c r="W540" s="85" t="n"/>
      <c r="X540" s="85" t="n"/>
      <c r="Y540" s="85" t="n"/>
      <c r="Z540" s="85" t="n"/>
    </row>
    <row r="541" ht="15.75" customHeight="1" s="86">
      <c r="T541" s="85" t="n"/>
      <c r="U541" s="85" t="n"/>
      <c r="V541" s="85" t="n"/>
      <c r="W541" s="85" t="n"/>
      <c r="X541" s="85" t="n"/>
      <c r="Y541" s="85" t="n"/>
      <c r="Z541" s="85" t="n"/>
    </row>
    <row r="542" ht="15.75" customHeight="1" s="86">
      <c r="T542" s="85" t="n"/>
      <c r="U542" s="85" t="n"/>
      <c r="V542" s="85" t="n"/>
      <c r="W542" s="85" t="n"/>
      <c r="X542" s="85" t="n"/>
      <c r="Y542" s="85" t="n"/>
      <c r="Z542" s="85" t="n"/>
    </row>
    <row r="543" ht="15.75" customHeight="1" s="86">
      <c r="T543" s="85" t="n"/>
      <c r="U543" s="85" t="n"/>
      <c r="V543" s="85" t="n"/>
      <c r="W543" s="85" t="n"/>
      <c r="X543" s="85" t="n"/>
      <c r="Y543" s="85" t="n"/>
      <c r="Z543" s="85" t="n"/>
    </row>
    <row r="544" ht="15.75" customHeight="1" s="86">
      <c r="T544" s="85" t="n"/>
      <c r="U544" s="85" t="n"/>
      <c r="V544" s="85" t="n"/>
      <c r="W544" s="85" t="n"/>
      <c r="X544" s="85" t="n"/>
      <c r="Y544" s="85" t="n"/>
      <c r="Z544" s="85" t="n"/>
    </row>
    <row r="545" ht="15.75" customHeight="1" s="86">
      <c r="T545" s="85" t="n"/>
      <c r="U545" s="85" t="n"/>
      <c r="V545" s="85" t="n"/>
      <c r="W545" s="85" t="n"/>
      <c r="X545" s="85" t="n"/>
      <c r="Y545" s="85" t="n"/>
      <c r="Z545" s="85" t="n"/>
    </row>
    <row r="546" ht="15.75" customHeight="1" s="86">
      <c r="T546" s="85" t="n"/>
      <c r="U546" s="85" t="n"/>
      <c r="V546" s="85" t="n"/>
      <c r="W546" s="85" t="n"/>
      <c r="X546" s="85" t="n"/>
      <c r="Y546" s="85" t="n"/>
      <c r="Z546" s="85" t="n"/>
    </row>
    <row r="547" ht="15.75" customHeight="1" s="86">
      <c r="T547" s="85" t="n"/>
      <c r="U547" s="85" t="n"/>
      <c r="V547" s="85" t="n"/>
      <c r="W547" s="85" t="n"/>
      <c r="X547" s="85" t="n"/>
      <c r="Y547" s="85" t="n"/>
      <c r="Z547" s="85" t="n"/>
    </row>
    <row r="548" ht="15.75" customHeight="1" s="86">
      <c r="T548" s="85" t="n"/>
      <c r="U548" s="85" t="n"/>
      <c r="V548" s="85" t="n"/>
      <c r="W548" s="85" t="n"/>
      <c r="X548" s="85" t="n"/>
      <c r="Y548" s="85" t="n"/>
      <c r="Z548" s="85" t="n"/>
    </row>
    <row r="549" ht="15.75" customHeight="1" s="86">
      <c r="T549" s="85" t="n"/>
      <c r="U549" s="85" t="n"/>
      <c r="V549" s="85" t="n"/>
      <c r="W549" s="85" t="n"/>
      <c r="X549" s="85" t="n"/>
      <c r="Y549" s="85" t="n"/>
      <c r="Z549" s="85" t="n"/>
    </row>
    <row r="550" ht="15.75" customHeight="1" s="86">
      <c r="T550" s="85" t="n"/>
      <c r="U550" s="85" t="n"/>
      <c r="V550" s="85" t="n"/>
      <c r="W550" s="85" t="n"/>
      <c r="X550" s="85" t="n"/>
      <c r="Y550" s="85" t="n"/>
      <c r="Z550" s="85" t="n"/>
    </row>
    <row r="551" ht="15.75" customHeight="1" s="86">
      <c r="T551" s="85" t="n"/>
      <c r="U551" s="85" t="n"/>
      <c r="V551" s="85" t="n"/>
      <c r="W551" s="85" t="n"/>
      <c r="X551" s="85" t="n"/>
      <c r="Y551" s="85" t="n"/>
      <c r="Z551" s="85" t="n"/>
    </row>
    <row r="552" ht="15.75" customHeight="1" s="86">
      <c r="T552" s="85" t="n"/>
      <c r="U552" s="85" t="n"/>
      <c r="V552" s="85" t="n"/>
      <c r="W552" s="85" t="n"/>
      <c r="X552" s="85" t="n"/>
      <c r="Y552" s="85" t="n"/>
      <c r="Z552" s="85" t="n"/>
    </row>
    <row r="553" ht="15.75" customHeight="1" s="86">
      <c r="T553" s="85" t="n"/>
      <c r="U553" s="85" t="n"/>
      <c r="V553" s="85" t="n"/>
      <c r="W553" s="85" t="n"/>
      <c r="X553" s="85" t="n"/>
      <c r="Y553" s="85" t="n"/>
      <c r="Z553" s="85" t="n"/>
    </row>
    <row r="554" ht="15.75" customHeight="1" s="86">
      <c r="T554" s="85" t="n"/>
      <c r="U554" s="85" t="n"/>
      <c r="V554" s="85" t="n"/>
      <c r="W554" s="85" t="n"/>
      <c r="X554" s="85" t="n"/>
      <c r="Y554" s="85" t="n"/>
      <c r="Z554" s="85" t="n"/>
    </row>
    <row r="555" ht="15.75" customHeight="1" s="86">
      <c r="T555" s="85" t="n"/>
      <c r="U555" s="85" t="n"/>
      <c r="V555" s="85" t="n"/>
      <c r="W555" s="85" t="n"/>
      <c r="X555" s="85" t="n"/>
      <c r="Y555" s="85" t="n"/>
      <c r="Z555" s="85" t="n"/>
    </row>
    <row r="556" ht="15.75" customHeight="1" s="86">
      <c r="T556" s="85" t="n"/>
      <c r="U556" s="85" t="n"/>
      <c r="V556" s="85" t="n"/>
      <c r="W556" s="85" t="n"/>
      <c r="X556" s="85" t="n"/>
      <c r="Y556" s="85" t="n"/>
      <c r="Z556" s="85" t="n"/>
    </row>
    <row r="557" ht="15.75" customHeight="1" s="86">
      <c r="T557" s="85" t="n"/>
      <c r="U557" s="85" t="n"/>
      <c r="V557" s="85" t="n"/>
      <c r="W557" s="85" t="n"/>
      <c r="X557" s="85" t="n"/>
      <c r="Y557" s="85" t="n"/>
      <c r="Z557" s="85" t="n"/>
    </row>
    <row r="558" ht="15.75" customHeight="1" s="86">
      <c r="T558" s="85" t="n"/>
      <c r="U558" s="85" t="n"/>
      <c r="V558" s="85" t="n"/>
      <c r="W558" s="85" t="n"/>
      <c r="X558" s="85" t="n"/>
      <c r="Y558" s="85" t="n"/>
      <c r="Z558" s="85" t="n"/>
    </row>
    <row r="559" ht="15.75" customHeight="1" s="86">
      <c r="T559" s="85" t="n"/>
      <c r="U559" s="85" t="n"/>
      <c r="V559" s="85" t="n"/>
      <c r="W559" s="85" t="n"/>
      <c r="X559" s="85" t="n"/>
      <c r="Y559" s="85" t="n"/>
      <c r="Z559" s="85" t="n"/>
    </row>
    <row r="560" ht="15.75" customHeight="1" s="86">
      <c r="T560" s="85" t="n"/>
      <c r="U560" s="85" t="n"/>
      <c r="V560" s="85" t="n"/>
      <c r="W560" s="85" t="n"/>
      <c r="X560" s="85" t="n"/>
      <c r="Y560" s="85" t="n"/>
      <c r="Z560" s="85" t="n"/>
    </row>
    <row r="561" ht="15.75" customHeight="1" s="86">
      <c r="T561" s="85" t="n"/>
      <c r="U561" s="85" t="n"/>
      <c r="V561" s="85" t="n"/>
      <c r="W561" s="85" t="n"/>
      <c r="X561" s="85" t="n"/>
      <c r="Y561" s="85" t="n"/>
      <c r="Z561" s="85" t="n"/>
    </row>
    <row r="562" ht="15.75" customHeight="1" s="86">
      <c r="T562" s="85" t="n"/>
      <c r="U562" s="85" t="n"/>
      <c r="V562" s="85" t="n"/>
      <c r="W562" s="85" t="n"/>
      <c r="X562" s="85" t="n"/>
      <c r="Y562" s="85" t="n"/>
      <c r="Z562" s="85" t="n"/>
    </row>
    <row r="563" ht="15.75" customHeight="1" s="86">
      <c r="T563" s="85" t="n"/>
      <c r="U563" s="85" t="n"/>
      <c r="V563" s="85" t="n"/>
      <c r="W563" s="85" t="n"/>
      <c r="X563" s="85" t="n"/>
      <c r="Y563" s="85" t="n"/>
      <c r="Z563" s="85" t="n"/>
    </row>
    <row r="564" ht="15.75" customHeight="1" s="86">
      <c r="T564" s="85" t="n"/>
      <c r="U564" s="85" t="n"/>
      <c r="V564" s="85" t="n"/>
      <c r="W564" s="85" t="n"/>
      <c r="X564" s="85" t="n"/>
      <c r="Y564" s="85" t="n"/>
      <c r="Z564" s="85" t="n"/>
    </row>
    <row r="565" ht="15.75" customHeight="1" s="86">
      <c r="T565" s="85" t="n"/>
      <c r="U565" s="85" t="n"/>
      <c r="V565" s="85" t="n"/>
      <c r="W565" s="85" t="n"/>
      <c r="X565" s="85" t="n"/>
      <c r="Y565" s="85" t="n"/>
      <c r="Z565" s="85" t="n"/>
    </row>
    <row r="566" ht="15.75" customHeight="1" s="86">
      <c r="T566" s="85" t="n"/>
      <c r="U566" s="85" t="n"/>
      <c r="V566" s="85" t="n"/>
      <c r="W566" s="85" t="n"/>
      <c r="X566" s="85" t="n"/>
      <c r="Y566" s="85" t="n"/>
      <c r="Z566" s="85" t="n"/>
    </row>
    <row r="567" ht="15.75" customHeight="1" s="86">
      <c r="T567" s="85" t="n"/>
      <c r="U567" s="85" t="n"/>
      <c r="V567" s="85" t="n"/>
      <c r="W567" s="85" t="n"/>
      <c r="X567" s="85" t="n"/>
      <c r="Y567" s="85" t="n"/>
      <c r="Z567" s="85" t="n"/>
    </row>
    <row r="568" ht="15.75" customHeight="1" s="86">
      <c r="T568" s="85" t="n"/>
      <c r="U568" s="85" t="n"/>
      <c r="V568" s="85" t="n"/>
      <c r="W568" s="85" t="n"/>
      <c r="X568" s="85" t="n"/>
      <c r="Y568" s="85" t="n"/>
      <c r="Z568" s="85" t="n"/>
    </row>
    <row r="569" ht="15.75" customHeight="1" s="86">
      <c r="T569" s="85" t="n"/>
      <c r="U569" s="85" t="n"/>
      <c r="V569" s="85" t="n"/>
      <c r="W569" s="85" t="n"/>
      <c r="X569" s="85" t="n"/>
      <c r="Y569" s="85" t="n"/>
      <c r="Z569" s="85" t="n"/>
    </row>
    <row r="570" ht="15.75" customHeight="1" s="86">
      <c r="T570" s="85" t="n"/>
      <c r="U570" s="85" t="n"/>
      <c r="V570" s="85" t="n"/>
      <c r="W570" s="85" t="n"/>
      <c r="X570" s="85" t="n"/>
      <c r="Y570" s="85" t="n"/>
      <c r="Z570" s="85" t="n"/>
    </row>
    <row r="571" ht="15.75" customHeight="1" s="86">
      <c r="T571" s="85" t="n"/>
      <c r="U571" s="85" t="n"/>
      <c r="V571" s="85" t="n"/>
      <c r="W571" s="85" t="n"/>
      <c r="X571" s="85" t="n"/>
      <c r="Y571" s="85" t="n"/>
      <c r="Z571" s="85" t="n"/>
    </row>
    <row r="572" ht="15.75" customHeight="1" s="86">
      <c r="T572" s="85" t="n"/>
      <c r="U572" s="85" t="n"/>
      <c r="V572" s="85" t="n"/>
      <c r="W572" s="85" t="n"/>
      <c r="X572" s="85" t="n"/>
      <c r="Y572" s="85" t="n"/>
      <c r="Z572" s="85" t="n"/>
    </row>
    <row r="573" ht="15.75" customHeight="1" s="86">
      <c r="T573" s="85" t="n"/>
      <c r="U573" s="85" t="n"/>
      <c r="V573" s="85" t="n"/>
      <c r="W573" s="85" t="n"/>
      <c r="X573" s="85" t="n"/>
      <c r="Y573" s="85" t="n"/>
      <c r="Z573" s="85" t="n"/>
    </row>
    <row r="574" ht="15.75" customHeight="1" s="86">
      <c r="T574" s="85" t="n"/>
      <c r="U574" s="85" t="n"/>
      <c r="V574" s="85" t="n"/>
      <c r="W574" s="85" t="n"/>
      <c r="X574" s="85" t="n"/>
      <c r="Y574" s="85" t="n"/>
      <c r="Z574" s="85" t="n"/>
    </row>
    <row r="575" ht="15.75" customHeight="1" s="86">
      <c r="T575" s="85" t="n"/>
      <c r="U575" s="85" t="n"/>
      <c r="V575" s="85" t="n"/>
      <c r="W575" s="85" t="n"/>
      <c r="X575" s="85" t="n"/>
      <c r="Y575" s="85" t="n"/>
      <c r="Z575" s="85" t="n"/>
    </row>
    <row r="576" ht="15.75" customHeight="1" s="86">
      <c r="T576" s="85" t="n"/>
      <c r="U576" s="85" t="n"/>
      <c r="V576" s="85" t="n"/>
      <c r="W576" s="85" t="n"/>
      <c r="X576" s="85" t="n"/>
      <c r="Y576" s="85" t="n"/>
      <c r="Z576" s="85" t="n"/>
    </row>
    <row r="577" ht="15.75" customHeight="1" s="86">
      <c r="T577" s="85" t="n"/>
      <c r="U577" s="85" t="n"/>
      <c r="V577" s="85" t="n"/>
      <c r="W577" s="85" t="n"/>
      <c r="X577" s="85" t="n"/>
      <c r="Y577" s="85" t="n"/>
      <c r="Z577" s="85" t="n"/>
    </row>
    <row r="578" ht="15.75" customHeight="1" s="86">
      <c r="T578" s="85" t="n"/>
      <c r="U578" s="85" t="n"/>
      <c r="V578" s="85" t="n"/>
      <c r="W578" s="85" t="n"/>
      <c r="X578" s="85" t="n"/>
      <c r="Y578" s="85" t="n"/>
      <c r="Z578" s="85" t="n"/>
    </row>
    <row r="579" ht="15.75" customHeight="1" s="86">
      <c r="T579" s="85" t="n"/>
      <c r="U579" s="85" t="n"/>
      <c r="V579" s="85" t="n"/>
      <c r="W579" s="85" t="n"/>
      <c r="X579" s="85" t="n"/>
      <c r="Y579" s="85" t="n"/>
      <c r="Z579" s="85" t="n"/>
    </row>
    <row r="580" ht="15.75" customHeight="1" s="86">
      <c r="T580" s="85" t="n"/>
      <c r="U580" s="85" t="n"/>
      <c r="V580" s="85" t="n"/>
      <c r="W580" s="85" t="n"/>
      <c r="X580" s="85" t="n"/>
      <c r="Y580" s="85" t="n"/>
      <c r="Z580" s="85" t="n"/>
    </row>
    <row r="581" ht="15.75" customHeight="1" s="86">
      <c r="T581" s="85" t="n"/>
      <c r="U581" s="85" t="n"/>
      <c r="V581" s="85" t="n"/>
      <c r="W581" s="85" t="n"/>
      <c r="X581" s="85" t="n"/>
      <c r="Y581" s="85" t="n"/>
      <c r="Z581" s="85" t="n"/>
    </row>
    <row r="582" ht="15.75" customHeight="1" s="86">
      <c r="T582" s="85" t="n"/>
      <c r="U582" s="85" t="n"/>
      <c r="V582" s="85" t="n"/>
      <c r="W582" s="85" t="n"/>
      <c r="X582" s="85" t="n"/>
      <c r="Y582" s="85" t="n"/>
      <c r="Z582" s="85" t="n"/>
    </row>
    <row r="583" ht="15.75" customHeight="1" s="86">
      <c r="T583" s="85" t="n"/>
      <c r="U583" s="85" t="n"/>
      <c r="V583" s="85" t="n"/>
      <c r="W583" s="85" t="n"/>
      <c r="X583" s="85" t="n"/>
      <c r="Y583" s="85" t="n"/>
      <c r="Z583" s="85" t="n"/>
    </row>
    <row r="584" ht="15.75" customHeight="1" s="86">
      <c r="T584" s="85" t="n"/>
      <c r="U584" s="85" t="n"/>
      <c r="V584" s="85" t="n"/>
      <c r="W584" s="85" t="n"/>
      <c r="X584" s="85" t="n"/>
      <c r="Y584" s="85" t="n"/>
      <c r="Z584" s="85" t="n"/>
    </row>
    <row r="585" ht="15.75" customHeight="1" s="86">
      <c r="T585" s="85" t="n"/>
      <c r="U585" s="85" t="n"/>
      <c r="V585" s="85" t="n"/>
      <c r="W585" s="85" t="n"/>
      <c r="X585" s="85" t="n"/>
      <c r="Y585" s="85" t="n"/>
      <c r="Z585" s="85" t="n"/>
    </row>
    <row r="586" ht="15.75" customHeight="1" s="86">
      <c r="T586" s="85" t="n"/>
      <c r="U586" s="85" t="n"/>
      <c r="V586" s="85" t="n"/>
      <c r="W586" s="85" t="n"/>
      <c r="X586" s="85" t="n"/>
      <c r="Y586" s="85" t="n"/>
      <c r="Z586" s="85" t="n"/>
    </row>
    <row r="587" ht="15.75" customHeight="1" s="86">
      <c r="T587" s="85" t="n"/>
      <c r="U587" s="85" t="n"/>
      <c r="V587" s="85" t="n"/>
      <c r="W587" s="85" t="n"/>
      <c r="X587" s="85" t="n"/>
      <c r="Y587" s="85" t="n"/>
      <c r="Z587" s="85" t="n"/>
    </row>
    <row r="588" ht="15.75" customHeight="1" s="86">
      <c r="T588" s="85" t="n"/>
      <c r="U588" s="85" t="n"/>
      <c r="V588" s="85" t="n"/>
      <c r="W588" s="85" t="n"/>
      <c r="X588" s="85" t="n"/>
      <c r="Y588" s="85" t="n"/>
      <c r="Z588" s="85" t="n"/>
    </row>
    <row r="589" ht="15.75" customHeight="1" s="86">
      <c r="T589" s="85" t="n"/>
      <c r="U589" s="85" t="n"/>
      <c r="V589" s="85" t="n"/>
      <c r="W589" s="85" t="n"/>
      <c r="X589" s="85" t="n"/>
      <c r="Y589" s="85" t="n"/>
      <c r="Z589" s="85" t="n"/>
    </row>
    <row r="590" ht="15.75" customHeight="1" s="86">
      <c r="T590" s="85" t="n"/>
      <c r="U590" s="85" t="n"/>
      <c r="V590" s="85" t="n"/>
      <c r="W590" s="85" t="n"/>
      <c r="X590" s="85" t="n"/>
      <c r="Y590" s="85" t="n"/>
      <c r="Z590" s="85" t="n"/>
    </row>
    <row r="591" ht="15.75" customHeight="1" s="86">
      <c r="T591" s="85" t="n"/>
      <c r="U591" s="85" t="n"/>
      <c r="V591" s="85" t="n"/>
      <c r="W591" s="85" t="n"/>
      <c r="X591" s="85" t="n"/>
      <c r="Y591" s="85" t="n"/>
      <c r="Z591" s="85" t="n"/>
    </row>
    <row r="592" ht="15.75" customHeight="1" s="86">
      <c r="T592" s="85" t="n"/>
      <c r="U592" s="85" t="n"/>
      <c r="V592" s="85" t="n"/>
      <c r="W592" s="85" t="n"/>
      <c r="X592" s="85" t="n"/>
      <c r="Y592" s="85" t="n"/>
      <c r="Z592" s="85" t="n"/>
    </row>
    <row r="593" ht="15.75" customHeight="1" s="86">
      <c r="T593" s="85" t="n"/>
      <c r="U593" s="85" t="n"/>
      <c r="V593" s="85" t="n"/>
      <c r="W593" s="85" t="n"/>
      <c r="X593" s="85" t="n"/>
      <c r="Y593" s="85" t="n"/>
      <c r="Z593" s="85" t="n"/>
    </row>
    <row r="594" ht="15.75" customHeight="1" s="86">
      <c r="T594" s="85" t="n"/>
      <c r="U594" s="85" t="n"/>
      <c r="V594" s="85" t="n"/>
      <c r="W594" s="85" t="n"/>
      <c r="X594" s="85" t="n"/>
      <c r="Y594" s="85" t="n"/>
      <c r="Z594" s="85" t="n"/>
    </row>
    <row r="595" ht="15.75" customHeight="1" s="86">
      <c r="T595" s="85" t="n"/>
      <c r="U595" s="85" t="n"/>
      <c r="V595" s="85" t="n"/>
      <c r="W595" s="85" t="n"/>
      <c r="X595" s="85" t="n"/>
      <c r="Y595" s="85" t="n"/>
      <c r="Z595" s="85" t="n"/>
    </row>
    <row r="596" ht="15.75" customHeight="1" s="86">
      <c r="T596" s="85" t="n"/>
      <c r="U596" s="85" t="n"/>
      <c r="V596" s="85" t="n"/>
      <c r="W596" s="85" t="n"/>
      <c r="X596" s="85" t="n"/>
      <c r="Y596" s="85" t="n"/>
      <c r="Z596" s="85" t="n"/>
    </row>
    <row r="597" ht="15.75" customHeight="1" s="86">
      <c r="T597" s="85" t="n"/>
      <c r="U597" s="85" t="n"/>
      <c r="V597" s="85" t="n"/>
      <c r="W597" s="85" t="n"/>
      <c r="X597" s="85" t="n"/>
      <c r="Y597" s="85" t="n"/>
      <c r="Z597" s="85" t="n"/>
    </row>
    <row r="598" ht="15.75" customHeight="1" s="86">
      <c r="T598" s="85" t="n"/>
      <c r="U598" s="85" t="n"/>
      <c r="V598" s="85" t="n"/>
      <c r="W598" s="85" t="n"/>
      <c r="X598" s="85" t="n"/>
      <c r="Y598" s="85" t="n"/>
      <c r="Z598" s="85" t="n"/>
    </row>
    <row r="599" ht="15.75" customHeight="1" s="86">
      <c r="T599" s="85" t="n"/>
      <c r="U599" s="85" t="n"/>
      <c r="V599" s="85" t="n"/>
      <c r="W599" s="85" t="n"/>
      <c r="X599" s="85" t="n"/>
      <c r="Y599" s="85" t="n"/>
      <c r="Z599" s="85" t="n"/>
    </row>
    <row r="600" ht="15.75" customHeight="1" s="86">
      <c r="T600" s="85" t="n"/>
      <c r="U600" s="85" t="n"/>
      <c r="V600" s="85" t="n"/>
      <c r="W600" s="85" t="n"/>
      <c r="X600" s="85" t="n"/>
      <c r="Y600" s="85" t="n"/>
      <c r="Z600" s="85" t="n"/>
    </row>
    <row r="601" ht="15.75" customHeight="1" s="86">
      <c r="T601" s="85" t="n"/>
      <c r="U601" s="85" t="n"/>
      <c r="V601" s="85" t="n"/>
      <c r="W601" s="85" t="n"/>
      <c r="X601" s="85" t="n"/>
      <c r="Y601" s="85" t="n"/>
      <c r="Z601" s="85" t="n"/>
    </row>
    <row r="602" ht="15.75" customHeight="1" s="86">
      <c r="T602" s="85" t="n"/>
      <c r="U602" s="85" t="n"/>
      <c r="V602" s="85" t="n"/>
      <c r="W602" s="85" t="n"/>
      <c r="X602" s="85" t="n"/>
      <c r="Y602" s="85" t="n"/>
      <c r="Z602" s="85" t="n"/>
    </row>
    <row r="603" ht="15.75" customHeight="1" s="86">
      <c r="T603" s="85" t="n"/>
      <c r="U603" s="85" t="n"/>
      <c r="V603" s="85" t="n"/>
      <c r="W603" s="85" t="n"/>
      <c r="X603" s="85" t="n"/>
      <c r="Y603" s="85" t="n"/>
      <c r="Z603" s="85" t="n"/>
    </row>
    <row r="604" ht="15.75" customHeight="1" s="86">
      <c r="T604" s="85" t="n"/>
      <c r="U604" s="85" t="n"/>
      <c r="V604" s="85" t="n"/>
      <c r="W604" s="85" t="n"/>
      <c r="X604" s="85" t="n"/>
      <c r="Y604" s="85" t="n"/>
      <c r="Z604" s="85" t="n"/>
    </row>
    <row r="605" ht="15.75" customHeight="1" s="86">
      <c r="T605" s="85" t="n"/>
      <c r="U605" s="85" t="n"/>
      <c r="V605" s="85" t="n"/>
      <c r="W605" s="85" t="n"/>
      <c r="X605" s="85" t="n"/>
      <c r="Y605" s="85" t="n"/>
      <c r="Z605" s="85" t="n"/>
    </row>
    <row r="606" ht="15.75" customHeight="1" s="86">
      <c r="T606" s="85" t="n"/>
      <c r="U606" s="85" t="n"/>
      <c r="V606" s="85" t="n"/>
      <c r="W606" s="85" t="n"/>
      <c r="X606" s="85" t="n"/>
      <c r="Y606" s="85" t="n"/>
      <c r="Z606" s="85" t="n"/>
    </row>
    <row r="607" ht="15.75" customHeight="1" s="86">
      <c r="T607" s="85" t="n"/>
      <c r="U607" s="85" t="n"/>
      <c r="V607" s="85" t="n"/>
      <c r="W607" s="85" t="n"/>
      <c r="X607" s="85" t="n"/>
      <c r="Y607" s="85" t="n"/>
      <c r="Z607" s="85" t="n"/>
    </row>
    <row r="608" ht="15.75" customHeight="1" s="86">
      <c r="T608" s="85" t="n"/>
      <c r="U608" s="85" t="n"/>
      <c r="V608" s="85" t="n"/>
      <c r="W608" s="85" t="n"/>
      <c r="X608" s="85" t="n"/>
      <c r="Y608" s="85" t="n"/>
      <c r="Z608" s="85" t="n"/>
    </row>
    <row r="609" ht="15.75" customHeight="1" s="86">
      <c r="T609" s="85" t="n"/>
      <c r="U609" s="85" t="n"/>
      <c r="V609" s="85" t="n"/>
      <c r="W609" s="85" t="n"/>
      <c r="X609" s="85" t="n"/>
      <c r="Y609" s="85" t="n"/>
      <c r="Z609" s="85" t="n"/>
    </row>
    <row r="610" ht="15.75" customHeight="1" s="86">
      <c r="T610" s="85" t="n"/>
      <c r="U610" s="85" t="n"/>
      <c r="V610" s="85" t="n"/>
      <c r="W610" s="85" t="n"/>
      <c r="X610" s="85" t="n"/>
      <c r="Y610" s="85" t="n"/>
      <c r="Z610" s="85" t="n"/>
    </row>
    <row r="611" ht="15.75" customHeight="1" s="86">
      <c r="T611" s="85" t="n"/>
      <c r="U611" s="85" t="n"/>
      <c r="V611" s="85" t="n"/>
      <c r="W611" s="85" t="n"/>
      <c r="X611" s="85" t="n"/>
      <c r="Y611" s="85" t="n"/>
      <c r="Z611" s="85" t="n"/>
    </row>
    <row r="612" ht="15.75" customHeight="1" s="86">
      <c r="T612" s="85" t="n"/>
      <c r="U612" s="85" t="n"/>
      <c r="V612" s="85" t="n"/>
      <c r="W612" s="85" t="n"/>
      <c r="X612" s="85" t="n"/>
      <c r="Y612" s="85" t="n"/>
      <c r="Z612" s="85" t="n"/>
    </row>
    <row r="613" ht="15.75" customHeight="1" s="86">
      <c r="T613" s="85" t="n"/>
      <c r="U613" s="85" t="n"/>
      <c r="V613" s="85" t="n"/>
      <c r="W613" s="85" t="n"/>
      <c r="X613" s="85" t="n"/>
      <c r="Y613" s="85" t="n"/>
      <c r="Z613" s="85" t="n"/>
    </row>
    <row r="614" ht="15.75" customHeight="1" s="86">
      <c r="T614" s="85" t="n"/>
      <c r="U614" s="85" t="n"/>
      <c r="V614" s="85" t="n"/>
      <c r="W614" s="85" t="n"/>
      <c r="X614" s="85" t="n"/>
      <c r="Y614" s="85" t="n"/>
      <c r="Z614" s="85" t="n"/>
    </row>
    <row r="615" ht="15.75" customHeight="1" s="86">
      <c r="T615" s="85" t="n"/>
      <c r="U615" s="85" t="n"/>
      <c r="V615" s="85" t="n"/>
      <c r="W615" s="85" t="n"/>
      <c r="X615" s="85" t="n"/>
      <c r="Y615" s="85" t="n"/>
      <c r="Z615" s="85" t="n"/>
    </row>
    <row r="616" ht="15.75" customHeight="1" s="86">
      <c r="T616" s="85" t="n"/>
      <c r="U616" s="85" t="n"/>
      <c r="V616" s="85" t="n"/>
      <c r="W616" s="85" t="n"/>
      <c r="X616" s="85" t="n"/>
      <c r="Y616" s="85" t="n"/>
      <c r="Z616" s="85" t="n"/>
    </row>
    <row r="617" ht="15.75" customHeight="1" s="86">
      <c r="T617" s="85" t="n"/>
      <c r="U617" s="85" t="n"/>
      <c r="V617" s="85" t="n"/>
      <c r="W617" s="85" t="n"/>
      <c r="X617" s="85" t="n"/>
      <c r="Y617" s="85" t="n"/>
      <c r="Z617" s="85" t="n"/>
    </row>
    <row r="618" ht="15.75" customHeight="1" s="86">
      <c r="T618" s="85" t="n"/>
      <c r="U618" s="85" t="n"/>
      <c r="V618" s="85" t="n"/>
      <c r="W618" s="85" t="n"/>
      <c r="X618" s="85" t="n"/>
      <c r="Y618" s="85" t="n"/>
      <c r="Z618" s="85" t="n"/>
    </row>
    <row r="619" ht="15.75" customHeight="1" s="86">
      <c r="T619" s="85" t="n"/>
      <c r="U619" s="85" t="n"/>
      <c r="V619" s="85" t="n"/>
      <c r="W619" s="85" t="n"/>
      <c r="X619" s="85" t="n"/>
      <c r="Y619" s="85" t="n"/>
      <c r="Z619" s="85" t="n"/>
    </row>
    <row r="620" ht="15.75" customHeight="1" s="86">
      <c r="T620" s="85" t="n"/>
      <c r="U620" s="85" t="n"/>
      <c r="V620" s="85" t="n"/>
      <c r="W620" s="85" t="n"/>
      <c r="X620" s="85" t="n"/>
      <c r="Y620" s="85" t="n"/>
      <c r="Z620" s="85" t="n"/>
    </row>
    <row r="621" ht="15.75" customHeight="1" s="86">
      <c r="T621" s="85" t="n"/>
      <c r="U621" s="85" t="n"/>
      <c r="V621" s="85" t="n"/>
      <c r="W621" s="85" t="n"/>
      <c r="X621" s="85" t="n"/>
      <c r="Y621" s="85" t="n"/>
      <c r="Z621" s="85" t="n"/>
    </row>
    <row r="622" ht="15.75" customHeight="1" s="86">
      <c r="T622" s="85" t="n"/>
      <c r="U622" s="85" t="n"/>
      <c r="V622" s="85" t="n"/>
      <c r="W622" s="85" t="n"/>
      <c r="X622" s="85" t="n"/>
      <c r="Y622" s="85" t="n"/>
      <c r="Z622" s="85" t="n"/>
    </row>
    <row r="623" ht="15.75" customHeight="1" s="86">
      <c r="T623" s="85" t="n"/>
      <c r="U623" s="85" t="n"/>
      <c r="V623" s="85" t="n"/>
      <c r="W623" s="85" t="n"/>
      <c r="X623" s="85" t="n"/>
      <c r="Y623" s="85" t="n"/>
      <c r="Z623" s="85" t="n"/>
    </row>
    <row r="624" ht="15.75" customHeight="1" s="86">
      <c r="T624" s="85" t="n"/>
      <c r="U624" s="85" t="n"/>
      <c r="V624" s="85" t="n"/>
      <c r="W624" s="85" t="n"/>
      <c r="X624" s="85" t="n"/>
      <c r="Y624" s="85" t="n"/>
      <c r="Z624" s="85" t="n"/>
    </row>
    <row r="625" ht="15.75" customHeight="1" s="86">
      <c r="T625" s="85" t="n"/>
      <c r="U625" s="85" t="n"/>
      <c r="V625" s="85" t="n"/>
      <c r="W625" s="85" t="n"/>
      <c r="X625" s="85" t="n"/>
      <c r="Y625" s="85" t="n"/>
      <c r="Z625" s="85" t="n"/>
    </row>
    <row r="626" ht="15.75" customHeight="1" s="86">
      <c r="T626" s="85" t="n"/>
      <c r="U626" s="85" t="n"/>
      <c r="V626" s="85" t="n"/>
      <c r="W626" s="85" t="n"/>
      <c r="X626" s="85" t="n"/>
      <c r="Y626" s="85" t="n"/>
      <c r="Z626" s="85" t="n"/>
    </row>
    <row r="627" ht="15.75" customHeight="1" s="86">
      <c r="T627" s="85" t="n"/>
      <c r="U627" s="85" t="n"/>
      <c r="V627" s="85" t="n"/>
      <c r="W627" s="85" t="n"/>
      <c r="X627" s="85" t="n"/>
      <c r="Y627" s="85" t="n"/>
      <c r="Z627" s="85" t="n"/>
    </row>
    <row r="628" ht="15.75" customHeight="1" s="86">
      <c r="T628" s="85" t="n"/>
      <c r="U628" s="85" t="n"/>
      <c r="V628" s="85" t="n"/>
      <c r="W628" s="85" t="n"/>
      <c r="X628" s="85" t="n"/>
      <c r="Y628" s="85" t="n"/>
      <c r="Z628" s="85" t="n"/>
    </row>
    <row r="629" ht="15.75" customHeight="1" s="86">
      <c r="T629" s="85" t="n"/>
      <c r="U629" s="85" t="n"/>
      <c r="V629" s="85" t="n"/>
      <c r="W629" s="85" t="n"/>
      <c r="X629" s="85" t="n"/>
      <c r="Y629" s="85" t="n"/>
      <c r="Z629" s="85" t="n"/>
    </row>
    <row r="630" ht="15.75" customHeight="1" s="86">
      <c r="T630" s="85" t="n"/>
      <c r="U630" s="85" t="n"/>
      <c r="V630" s="85" t="n"/>
      <c r="W630" s="85" t="n"/>
      <c r="X630" s="85" t="n"/>
      <c r="Y630" s="85" t="n"/>
      <c r="Z630" s="85" t="n"/>
    </row>
    <row r="631" ht="15.75" customHeight="1" s="86">
      <c r="T631" s="85" t="n"/>
      <c r="U631" s="85" t="n"/>
      <c r="V631" s="85" t="n"/>
      <c r="W631" s="85" t="n"/>
      <c r="X631" s="85" t="n"/>
      <c r="Y631" s="85" t="n"/>
      <c r="Z631" s="85" t="n"/>
    </row>
    <row r="632" ht="15.75" customHeight="1" s="86">
      <c r="T632" s="85" t="n"/>
      <c r="U632" s="85" t="n"/>
      <c r="V632" s="85" t="n"/>
      <c r="W632" s="85" t="n"/>
      <c r="X632" s="85" t="n"/>
      <c r="Y632" s="85" t="n"/>
      <c r="Z632" s="85" t="n"/>
    </row>
    <row r="633" ht="15.75" customHeight="1" s="86">
      <c r="T633" s="85" t="n"/>
      <c r="U633" s="85" t="n"/>
      <c r="V633" s="85" t="n"/>
      <c r="W633" s="85" t="n"/>
      <c r="X633" s="85" t="n"/>
      <c r="Y633" s="85" t="n"/>
      <c r="Z633" s="85" t="n"/>
    </row>
    <row r="634" ht="15.75" customHeight="1" s="86">
      <c r="T634" s="85" t="n"/>
      <c r="U634" s="85" t="n"/>
      <c r="V634" s="85" t="n"/>
      <c r="W634" s="85" t="n"/>
      <c r="X634" s="85" t="n"/>
      <c r="Y634" s="85" t="n"/>
      <c r="Z634" s="85" t="n"/>
    </row>
    <row r="635" ht="15.75" customHeight="1" s="86">
      <c r="T635" s="85" t="n"/>
      <c r="U635" s="85" t="n"/>
      <c r="V635" s="85" t="n"/>
      <c r="W635" s="85" t="n"/>
      <c r="X635" s="85" t="n"/>
      <c r="Y635" s="85" t="n"/>
      <c r="Z635" s="85" t="n"/>
    </row>
    <row r="636" ht="15.75" customHeight="1" s="86">
      <c r="T636" s="85" t="n"/>
      <c r="U636" s="85" t="n"/>
      <c r="V636" s="85" t="n"/>
      <c r="W636" s="85" t="n"/>
      <c r="X636" s="85" t="n"/>
      <c r="Y636" s="85" t="n"/>
      <c r="Z636" s="85" t="n"/>
    </row>
    <row r="637" ht="15.75" customHeight="1" s="86">
      <c r="T637" s="85" t="n"/>
      <c r="U637" s="85" t="n"/>
      <c r="V637" s="85" t="n"/>
      <c r="W637" s="85" t="n"/>
      <c r="X637" s="85" t="n"/>
      <c r="Y637" s="85" t="n"/>
      <c r="Z637" s="85" t="n"/>
    </row>
    <row r="638" ht="15.75" customHeight="1" s="86">
      <c r="T638" s="85" t="n"/>
      <c r="U638" s="85" t="n"/>
      <c r="V638" s="85" t="n"/>
      <c r="W638" s="85" t="n"/>
      <c r="X638" s="85" t="n"/>
      <c r="Y638" s="85" t="n"/>
      <c r="Z638" s="85" t="n"/>
    </row>
    <row r="639" ht="15.75" customHeight="1" s="86">
      <c r="T639" s="85" t="n"/>
      <c r="U639" s="85" t="n"/>
      <c r="V639" s="85" t="n"/>
      <c r="W639" s="85" t="n"/>
      <c r="X639" s="85" t="n"/>
      <c r="Y639" s="85" t="n"/>
      <c r="Z639" s="85" t="n"/>
    </row>
    <row r="640" ht="15.75" customHeight="1" s="86">
      <c r="T640" s="85" t="n"/>
      <c r="U640" s="85" t="n"/>
      <c r="V640" s="85" t="n"/>
      <c r="W640" s="85" t="n"/>
      <c r="X640" s="85" t="n"/>
      <c r="Y640" s="85" t="n"/>
      <c r="Z640" s="85" t="n"/>
    </row>
    <row r="641" ht="15.75" customHeight="1" s="86">
      <c r="T641" s="85" t="n"/>
      <c r="U641" s="85" t="n"/>
      <c r="V641" s="85" t="n"/>
      <c r="W641" s="85" t="n"/>
      <c r="X641" s="85" t="n"/>
      <c r="Y641" s="85" t="n"/>
      <c r="Z641" s="85" t="n"/>
    </row>
    <row r="642" ht="15.75" customHeight="1" s="86">
      <c r="T642" s="85" t="n"/>
      <c r="U642" s="85" t="n"/>
      <c r="V642" s="85" t="n"/>
      <c r="W642" s="85" t="n"/>
      <c r="X642" s="85" t="n"/>
      <c r="Y642" s="85" t="n"/>
      <c r="Z642" s="85" t="n"/>
    </row>
    <row r="643" ht="15.75" customHeight="1" s="86">
      <c r="T643" s="85" t="n"/>
      <c r="U643" s="85" t="n"/>
      <c r="V643" s="85" t="n"/>
      <c r="W643" s="85" t="n"/>
      <c r="X643" s="85" t="n"/>
      <c r="Y643" s="85" t="n"/>
      <c r="Z643" s="85" t="n"/>
    </row>
    <row r="644" ht="15.75" customHeight="1" s="86">
      <c r="T644" s="85" t="n"/>
      <c r="U644" s="85" t="n"/>
      <c r="V644" s="85" t="n"/>
      <c r="W644" s="85" t="n"/>
      <c r="X644" s="85" t="n"/>
      <c r="Y644" s="85" t="n"/>
      <c r="Z644" s="85" t="n"/>
    </row>
    <row r="645" ht="15.75" customHeight="1" s="86">
      <c r="T645" s="85" t="n"/>
      <c r="U645" s="85" t="n"/>
      <c r="V645" s="85" t="n"/>
      <c r="W645" s="85" t="n"/>
      <c r="X645" s="85" t="n"/>
      <c r="Y645" s="85" t="n"/>
      <c r="Z645" s="85" t="n"/>
    </row>
    <row r="646" ht="15.75" customHeight="1" s="86">
      <c r="T646" s="85" t="n"/>
      <c r="U646" s="85" t="n"/>
      <c r="V646" s="85" t="n"/>
      <c r="W646" s="85" t="n"/>
      <c r="X646" s="85" t="n"/>
      <c r="Y646" s="85" t="n"/>
      <c r="Z646" s="85" t="n"/>
    </row>
    <row r="647" ht="15.75" customHeight="1" s="86">
      <c r="T647" s="85" t="n"/>
      <c r="U647" s="85" t="n"/>
      <c r="V647" s="85" t="n"/>
      <c r="W647" s="85" t="n"/>
      <c r="X647" s="85" t="n"/>
      <c r="Y647" s="85" t="n"/>
      <c r="Z647" s="85" t="n"/>
    </row>
    <row r="648" ht="15.75" customHeight="1" s="86">
      <c r="T648" s="85" t="n"/>
      <c r="U648" s="85" t="n"/>
      <c r="V648" s="85" t="n"/>
      <c r="W648" s="85" t="n"/>
      <c r="X648" s="85" t="n"/>
      <c r="Y648" s="85" t="n"/>
      <c r="Z648" s="85" t="n"/>
    </row>
    <row r="649" ht="15.75" customHeight="1" s="86">
      <c r="T649" s="85" t="n"/>
      <c r="U649" s="85" t="n"/>
      <c r="V649" s="85" t="n"/>
      <c r="W649" s="85" t="n"/>
      <c r="X649" s="85" t="n"/>
      <c r="Y649" s="85" t="n"/>
      <c r="Z649" s="85" t="n"/>
    </row>
    <row r="650" ht="15.75" customHeight="1" s="86">
      <c r="T650" s="85" t="n"/>
      <c r="U650" s="85" t="n"/>
      <c r="V650" s="85" t="n"/>
      <c r="W650" s="85" t="n"/>
      <c r="X650" s="85" t="n"/>
      <c r="Y650" s="85" t="n"/>
      <c r="Z650" s="85" t="n"/>
    </row>
    <row r="651" ht="15.75" customHeight="1" s="86">
      <c r="T651" s="85" t="n"/>
      <c r="U651" s="85" t="n"/>
      <c r="V651" s="85" t="n"/>
      <c r="W651" s="85" t="n"/>
      <c r="X651" s="85" t="n"/>
      <c r="Y651" s="85" t="n"/>
      <c r="Z651" s="85" t="n"/>
    </row>
    <row r="652" ht="15.75" customHeight="1" s="86">
      <c r="T652" s="85" t="n"/>
      <c r="U652" s="85" t="n"/>
      <c r="V652" s="85" t="n"/>
      <c r="W652" s="85" t="n"/>
      <c r="X652" s="85" t="n"/>
      <c r="Y652" s="85" t="n"/>
      <c r="Z652" s="85" t="n"/>
    </row>
    <row r="653" ht="15.75" customHeight="1" s="86">
      <c r="T653" s="85" t="n"/>
      <c r="U653" s="85" t="n"/>
      <c r="V653" s="85" t="n"/>
      <c r="W653" s="85" t="n"/>
      <c r="X653" s="85" t="n"/>
      <c r="Y653" s="85" t="n"/>
      <c r="Z653" s="85" t="n"/>
    </row>
    <row r="654" ht="15.75" customHeight="1" s="86">
      <c r="T654" s="85" t="n"/>
      <c r="U654" s="85" t="n"/>
      <c r="V654" s="85" t="n"/>
      <c r="W654" s="85" t="n"/>
      <c r="X654" s="85" t="n"/>
      <c r="Y654" s="85" t="n"/>
      <c r="Z654" s="85" t="n"/>
    </row>
    <row r="655" ht="15.75" customHeight="1" s="86">
      <c r="T655" s="85" t="n"/>
      <c r="U655" s="85" t="n"/>
      <c r="V655" s="85" t="n"/>
      <c r="W655" s="85" t="n"/>
      <c r="X655" s="85" t="n"/>
      <c r="Y655" s="85" t="n"/>
      <c r="Z655" s="85" t="n"/>
    </row>
    <row r="656" ht="15.75" customHeight="1" s="86">
      <c r="T656" s="85" t="n"/>
      <c r="U656" s="85" t="n"/>
      <c r="V656" s="85" t="n"/>
      <c r="W656" s="85" t="n"/>
      <c r="X656" s="85" t="n"/>
      <c r="Y656" s="85" t="n"/>
      <c r="Z656" s="85" t="n"/>
    </row>
    <row r="657" ht="15.75" customHeight="1" s="86">
      <c r="T657" s="85" t="n"/>
      <c r="U657" s="85" t="n"/>
      <c r="V657" s="85" t="n"/>
      <c r="W657" s="85" t="n"/>
      <c r="X657" s="85" t="n"/>
      <c r="Y657" s="85" t="n"/>
      <c r="Z657" s="85" t="n"/>
    </row>
    <row r="658" ht="15.75" customHeight="1" s="86">
      <c r="T658" s="85" t="n"/>
      <c r="U658" s="85" t="n"/>
      <c r="V658" s="85" t="n"/>
      <c r="W658" s="85" t="n"/>
      <c r="X658" s="85" t="n"/>
      <c r="Y658" s="85" t="n"/>
      <c r="Z658" s="85" t="n"/>
    </row>
    <row r="659" ht="15.75" customHeight="1" s="86">
      <c r="T659" s="85" t="n"/>
      <c r="U659" s="85" t="n"/>
      <c r="V659" s="85" t="n"/>
      <c r="W659" s="85" t="n"/>
      <c r="X659" s="85" t="n"/>
      <c r="Y659" s="85" t="n"/>
      <c r="Z659" s="85" t="n"/>
    </row>
    <row r="660" ht="15.75" customHeight="1" s="86">
      <c r="T660" s="85" t="n"/>
      <c r="U660" s="85" t="n"/>
      <c r="V660" s="85" t="n"/>
      <c r="W660" s="85" t="n"/>
      <c r="X660" s="85" t="n"/>
      <c r="Y660" s="85" t="n"/>
      <c r="Z660" s="85" t="n"/>
    </row>
    <row r="661" ht="15.75" customHeight="1" s="86">
      <c r="T661" s="85" t="n"/>
      <c r="U661" s="85" t="n"/>
      <c r="V661" s="85" t="n"/>
      <c r="W661" s="85" t="n"/>
      <c r="X661" s="85" t="n"/>
      <c r="Y661" s="85" t="n"/>
      <c r="Z661" s="85" t="n"/>
    </row>
    <row r="662" ht="15.75" customHeight="1" s="86">
      <c r="T662" s="85" t="n"/>
      <c r="U662" s="85" t="n"/>
      <c r="V662" s="85" t="n"/>
      <c r="W662" s="85" t="n"/>
      <c r="X662" s="85" t="n"/>
      <c r="Y662" s="85" t="n"/>
      <c r="Z662" s="85" t="n"/>
    </row>
    <row r="663" ht="15.75" customHeight="1" s="86">
      <c r="T663" s="85" t="n"/>
      <c r="U663" s="85" t="n"/>
      <c r="V663" s="85" t="n"/>
      <c r="W663" s="85" t="n"/>
      <c r="X663" s="85" t="n"/>
      <c r="Y663" s="85" t="n"/>
      <c r="Z663" s="85" t="n"/>
    </row>
    <row r="664" ht="15.75" customHeight="1" s="86">
      <c r="T664" s="85" t="n"/>
      <c r="U664" s="85" t="n"/>
      <c r="V664" s="85" t="n"/>
      <c r="W664" s="85" t="n"/>
      <c r="X664" s="85" t="n"/>
      <c r="Y664" s="85" t="n"/>
      <c r="Z664" s="85" t="n"/>
    </row>
    <row r="665" ht="15.75" customHeight="1" s="86">
      <c r="T665" s="85" t="n"/>
      <c r="U665" s="85" t="n"/>
      <c r="V665" s="85" t="n"/>
      <c r="W665" s="85" t="n"/>
      <c r="X665" s="85" t="n"/>
      <c r="Y665" s="85" t="n"/>
      <c r="Z665" s="85" t="n"/>
    </row>
    <row r="666" ht="15.75" customHeight="1" s="86">
      <c r="T666" s="85" t="n"/>
      <c r="U666" s="85" t="n"/>
      <c r="V666" s="85" t="n"/>
      <c r="W666" s="85" t="n"/>
      <c r="X666" s="85" t="n"/>
      <c r="Y666" s="85" t="n"/>
      <c r="Z666" s="85" t="n"/>
    </row>
    <row r="667" ht="15.75" customHeight="1" s="86">
      <c r="T667" s="85" t="n"/>
      <c r="U667" s="85" t="n"/>
      <c r="V667" s="85" t="n"/>
      <c r="W667" s="85" t="n"/>
      <c r="X667" s="85" t="n"/>
      <c r="Y667" s="85" t="n"/>
      <c r="Z667" s="85" t="n"/>
    </row>
    <row r="668" ht="15.75" customHeight="1" s="86">
      <c r="T668" s="85" t="n"/>
      <c r="U668" s="85" t="n"/>
      <c r="V668" s="85" t="n"/>
      <c r="W668" s="85" t="n"/>
      <c r="X668" s="85" t="n"/>
      <c r="Y668" s="85" t="n"/>
      <c r="Z668" s="85" t="n"/>
    </row>
    <row r="669" ht="15.75" customHeight="1" s="86">
      <c r="T669" s="85" t="n"/>
      <c r="U669" s="85" t="n"/>
      <c r="V669" s="85" t="n"/>
      <c r="W669" s="85" t="n"/>
      <c r="X669" s="85" t="n"/>
      <c r="Y669" s="85" t="n"/>
      <c r="Z669" s="85" t="n"/>
    </row>
    <row r="670" ht="15.75" customHeight="1" s="86">
      <c r="T670" s="85" t="n"/>
      <c r="U670" s="85" t="n"/>
      <c r="V670" s="85" t="n"/>
      <c r="W670" s="85" t="n"/>
      <c r="X670" s="85" t="n"/>
      <c r="Y670" s="85" t="n"/>
      <c r="Z670" s="85" t="n"/>
    </row>
    <row r="671" ht="15.75" customHeight="1" s="86">
      <c r="T671" s="85" t="n"/>
      <c r="U671" s="85" t="n"/>
      <c r="V671" s="85" t="n"/>
      <c r="W671" s="85" t="n"/>
      <c r="X671" s="85" t="n"/>
      <c r="Y671" s="85" t="n"/>
      <c r="Z671" s="85" t="n"/>
    </row>
    <row r="672" ht="15.75" customHeight="1" s="86">
      <c r="T672" s="85" t="n"/>
      <c r="U672" s="85" t="n"/>
      <c r="V672" s="85" t="n"/>
      <c r="W672" s="85" t="n"/>
      <c r="X672" s="85" t="n"/>
      <c r="Y672" s="85" t="n"/>
      <c r="Z672" s="85" t="n"/>
    </row>
    <row r="673" ht="15.75" customHeight="1" s="86">
      <c r="T673" s="85" t="n"/>
      <c r="U673" s="85" t="n"/>
      <c r="V673" s="85" t="n"/>
      <c r="W673" s="85" t="n"/>
      <c r="X673" s="85" t="n"/>
      <c r="Y673" s="85" t="n"/>
      <c r="Z673" s="85" t="n"/>
    </row>
    <row r="674" ht="15.75" customHeight="1" s="86">
      <c r="T674" s="85" t="n"/>
      <c r="U674" s="85" t="n"/>
      <c r="V674" s="85" t="n"/>
      <c r="W674" s="85" t="n"/>
      <c r="X674" s="85" t="n"/>
      <c r="Y674" s="85" t="n"/>
      <c r="Z674" s="85" t="n"/>
    </row>
    <row r="675" ht="15.75" customHeight="1" s="86">
      <c r="T675" s="85" t="n"/>
      <c r="U675" s="85" t="n"/>
      <c r="V675" s="85" t="n"/>
      <c r="W675" s="85" t="n"/>
      <c r="X675" s="85" t="n"/>
      <c r="Y675" s="85" t="n"/>
      <c r="Z675" s="85" t="n"/>
    </row>
    <row r="676" ht="15.75" customHeight="1" s="86">
      <c r="T676" s="85" t="n"/>
      <c r="U676" s="85" t="n"/>
      <c r="V676" s="85" t="n"/>
      <c r="W676" s="85" t="n"/>
      <c r="X676" s="85" t="n"/>
      <c r="Y676" s="85" t="n"/>
      <c r="Z676" s="85" t="n"/>
    </row>
    <row r="677" ht="15.75" customHeight="1" s="86">
      <c r="T677" s="85" t="n"/>
      <c r="U677" s="85" t="n"/>
      <c r="V677" s="85" t="n"/>
      <c r="W677" s="85" t="n"/>
      <c r="X677" s="85" t="n"/>
      <c r="Y677" s="85" t="n"/>
      <c r="Z677" s="85" t="n"/>
    </row>
    <row r="678" ht="15.75" customHeight="1" s="86">
      <c r="T678" s="85" t="n"/>
      <c r="U678" s="85" t="n"/>
      <c r="V678" s="85" t="n"/>
      <c r="W678" s="85" t="n"/>
      <c r="X678" s="85" t="n"/>
      <c r="Y678" s="85" t="n"/>
      <c r="Z678" s="85" t="n"/>
    </row>
    <row r="679" ht="15.75" customHeight="1" s="86">
      <c r="T679" s="85" t="n"/>
      <c r="U679" s="85" t="n"/>
      <c r="V679" s="85" t="n"/>
      <c r="W679" s="85" t="n"/>
      <c r="X679" s="85" t="n"/>
      <c r="Y679" s="85" t="n"/>
      <c r="Z679" s="85" t="n"/>
    </row>
    <row r="680" ht="15.75" customHeight="1" s="86">
      <c r="T680" s="85" t="n"/>
      <c r="U680" s="85" t="n"/>
      <c r="V680" s="85" t="n"/>
      <c r="W680" s="85" t="n"/>
      <c r="X680" s="85" t="n"/>
      <c r="Y680" s="85" t="n"/>
      <c r="Z680" s="85" t="n"/>
    </row>
    <row r="681" ht="15.75" customHeight="1" s="86">
      <c r="T681" s="85" t="n"/>
      <c r="U681" s="85" t="n"/>
      <c r="V681" s="85" t="n"/>
      <c r="W681" s="85" t="n"/>
      <c r="X681" s="85" t="n"/>
      <c r="Y681" s="85" t="n"/>
      <c r="Z681" s="85" t="n"/>
    </row>
    <row r="682" ht="15.75" customHeight="1" s="86">
      <c r="T682" s="85" t="n"/>
      <c r="U682" s="85" t="n"/>
      <c r="V682" s="85" t="n"/>
      <c r="W682" s="85" t="n"/>
      <c r="X682" s="85" t="n"/>
      <c r="Y682" s="85" t="n"/>
      <c r="Z682" s="85" t="n"/>
    </row>
    <row r="683" ht="15.75" customHeight="1" s="86">
      <c r="T683" s="85" t="n"/>
      <c r="U683" s="85" t="n"/>
      <c r="V683" s="85" t="n"/>
      <c r="W683" s="85" t="n"/>
      <c r="X683" s="85" t="n"/>
      <c r="Y683" s="85" t="n"/>
      <c r="Z683" s="85" t="n"/>
    </row>
    <row r="684" ht="15.75" customHeight="1" s="86">
      <c r="T684" s="85" t="n"/>
      <c r="U684" s="85" t="n"/>
      <c r="V684" s="85" t="n"/>
      <c r="W684" s="85" t="n"/>
      <c r="X684" s="85" t="n"/>
      <c r="Y684" s="85" t="n"/>
      <c r="Z684" s="85" t="n"/>
    </row>
    <row r="685" ht="15.75" customHeight="1" s="86">
      <c r="T685" s="85" t="n"/>
      <c r="U685" s="85" t="n"/>
      <c r="V685" s="85" t="n"/>
      <c r="W685" s="85" t="n"/>
      <c r="X685" s="85" t="n"/>
      <c r="Y685" s="85" t="n"/>
      <c r="Z685" s="85" t="n"/>
    </row>
    <row r="686" ht="15.75" customHeight="1" s="86">
      <c r="T686" s="85" t="n"/>
      <c r="U686" s="85" t="n"/>
      <c r="V686" s="85" t="n"/>
      <c r="W686" s="85" t="n"/>
      <c r="X686" s="85" t="n"/>
      <c r="Y686" s="85" t="n"/>
      <c r="Z686" s="85" t="n"/>
    </row>
    <row r="687" ht="15.75" customHeight="1" s="86">
      <c r="T687" s="85" t="n"/>
      <c r="U687" s="85" t="n"/>
      <c r="V687" s="85" t="n"/>
      <c r="W687" s="85" t="n"/>
      <c r="X687" s="85" t="n"/>
      <c r="Y687" s="85" t="n"/>
      <c r="Z687" s="85" t="n"/>
    </row>
    <row r="688" ht="15.75" customHeight="1" s="86">
      <c r="T688" s="85" t="n"/>
      <c r="U688" s="85" t="n"/>
      <c r="V688" s="85" t="n"/>
      <c r="W688" s="85" t="n"/>
      <c r="X688" s="85" t="n"/>
      <c r="Y688" s="85" t="n"/>
      <c r="Z688" s="85" t="n"/>
    </row>
    <row r="689" ht="15.75" customHeight="1" s="86">
      <c r="T689" s="85" t="n"/>
      <c r="U689" s="85" t="n"/>
      <c r="V689" s="85" t="n"/>
      <c r="W689" s="85" t="n"/>
      <c r="X689" s="85" t="n"/>
      <c r="Y689" s="85" t="n"/>
      <c r="Z689" s="85" t="n"/>
    </row>
    <row r="690" ht="15.75" customHeight="1" s="86">
      <c r="T690" s="85" t="n"/>
      <c r="U690" s="85" t="n"/>
      <c r="V690" s="85" t="n"/>
      <c r="W690" s="85" t="n"/>
      <c r="X690" s="85" t="n"/>
      <c r="Y690" s="85" t="n"/>
      <c r="Z690" s="85" t="n"/>
    </row>
    <row r="691" ht="15.75" customHeight="1" s="86">
      <c r="T691" s="85" t="n"/>
      <c r="U691" s="85" t="n"/>
      <c r="V691" s="85" t="n"/>
      <c r="W691" s="85" t="n"/>
      <c r="X691" s="85" t="n"/>
      <c r="Y691" s="85" t="n"/>
      <c r="Z691" s="85" t="n"/>
    </row>
    <row r="692" ht="15.75" customHeight="1" s="86">
      <c r="T692" s="85" t="n"/>
      <c r="U692" s="85" t="n"/>
      <c r="V692" s="85" t="n"/>
      <c r="W692" s="85" t="n"/>
      <c r="X692" s="85" t="n"/>
      <c r="Y692" s="85" t="n"/>
      <c r="Z692" s="85" t="n"/>
    </row>
    <row r="693" ht="15.75" customHeight="1" s="86">
      <c r="T693" s="85" t="n"/>
      <c r="U693" s="85" t="n"/>
      <c r="V693" s="85" t="n"/>
      <c r="W693" s="85" t="n"/>
      <c r="X693" s="85" t="n"/>
      <c r="Y693" s="85" t="n"/>
      <c r="Z693" s="85" t="n"/>
    </row>
    <row r="694" ht="15.75" customHeight="1" s="86">
      <c r="T694" s="85" t="n"/>
      <c r="U694" s="85" t="n"/>
      <c r="V694" s="85" t="n"/>
      <c r="W694" s="85" t="n"/>
      <c r="X694" s="85" t="n"/>
      <c r="Y694" s="85" t="n"/>
      <c r="Z694" s="85" t="n"/>
    </row>
    <row r="695" ht="15.75" customHeight="1" s="86">
      <c r="T695" s="85" t="n"/>
      <c r="U695" s="85" t="n"/>
      <c r="V695" s="85" t="n"/>
      <c r="W695" s="85" t="n"/>
      <c r="X695" s="85" t="n"/>
      <c r="Y695" s="85" t="n"/>
      <c r="Z695" s="85" t="n"/>
    </row>
    <row r="696" ht="15.75" customHeight="1" s="86">
      <c r="T696" s="85" t="n"/>
      <c r="U696" s="85" t="n"/>
      <c r="V696" s="85" t="n"/>
      <c r="W696" s="85" t="n"/>
      <c r="X696" s="85" t="n"/>
      <c r="Y696" s="85" t="n"/>
      <c r="Z696" s="85" t="n"/>
    </row>
    <row r="697" ht="15.75" customHeight="1" s="86">
      <c r="T697" s="85" t="n"/>
      <c r="U697" s="85" t="n"/>
      <c r="V697" s="85" t="n"/>
      <c r="W697" s="85" t="n"/>
      <c r="X697" s="85" t="n"/>
      <c r="Y697" s="85" t="n"/>
      <c r="Z697" s="85" t="n"/>
    </row>
    <row r="698" ht="15.75" customHeight="1" s="86">
      <c r="T698" s="85" t="n"/>
      <c r="U698" s="85" t="n"/>
      <c r="V698" s="85" t="n"/>
      <c r="W698" s="85" t="n"/>
      <c r="X698" s="85" t="n"/>
      <c r="Y698" s="85" t="n"/>
      <c r="Z698" s="85" t="n"/>
    </row>
    <row r="699" ht="15.75" customHeight="1" s="86">
      <c r="T699" s="85" t="n"/>
      <c r="U699" s="85" t="n"/>
      <c r="V699" s="85" t="n"/>
      <c r="W699" s="85" t="n"/>
      <c r="X699" s="85" t="n"/>
      <c r="Y699" s="85" t="n"/>
      <c r="Z699" s="85" t="n"/>
    </row>
    <row r="700" ht="15.75" customHeight="1" s="86">
      <c r="T700" s="85" t="n"/>
      <c r="U700" s="85" t="n"/>
      <c r="V700" s="85" t="n"/>
      <c r="W700" s="85" t="n"/>
      <c r="X700" s="85" t="n"/>
      <c r="Y700" s="85" t="n"/>
      <c r="Z700" s="85" t="n"/>
    </row>
    <row r="701" ht="15.75" customHeight="1" s="86">
      <c r="T701" s="85" t="n"/>
      <c r="U701" s="85" t="n"/>
      <c r="V701" s="85" t="n"/>
      <c r="W701" s="85" t="n"/>
      <c r="X701" s="85" t="n"/>
      <c r="Y701" s="85" t="n"/>
      <c r="Z701" s="85" t="n"/>
    </row>
    <row r="702" ht="15.75" customHeight="1" s="86">
      <c r="T702" s="85" t="n"/>
      <c r="U702" s="85" t="n"/>
      <c r="V702" s="85" t="n"/>
      <c r="W702" s="85" t="n"/>
      <c r="X702" s="85" t="n"/>
      <c r="Y702" s="85" t="n"/>
      <c r="Z702" s="85" t="n"/>
    </row>
    <row r="703" ht="15.75" customHeight="1" s="86">
      <c r="T703" s="85" t="n"/>
      <c r="U703" s="85" t="n"/>
      <c r="V703" s="85" t="n"/>
      <c r="W703" s="85" t="n"/>
      <c r="X703" s="85" t="n"/>
      <c r="Y703" s="85" t="n"/>
      <c r="Z703" s="85" t="n"/>
    </row>
    <row r="704" ht="15.75" customHeight="1" s="86">
      <c r="T704" s="85" t="n"/>
      <c r="U704" s="85" t="n"/>
      <c r="V704" s="85" t="n"/>
      <c r="W704" s="85" t="n"/>
      <c r="X704" s="85" t="n"/>
      <c r="Y704" s="85" t="n"/>
      <c r="Z704" s="85" t="n"/>
    </row>
    <row r="705" ht="15.75" customHeight="1" s="86">
      <c r="T705" s="85" t="n"/>
      <c r="U705" s="85" t="n"/>
      <c r="V705" s="85" t="n"/>
      <c r="W705" s="85" t="n"/>
      <c r="X705" s="85" t="n"/>
      <c r="Y705" s="85" t="n"/>
      <c r="Z705" s="85" t="n"/>
    </row>
    <row r="706" ht="15.75" customHeight="1" s="86">
      <c r="T706" s="85" t="n"/>
      <c r="U706" s="85" t="n"/>
      <c r="V706" s="85" t="n"/>
      <c r="W706" s="85" t="n"/>
      <c r="X706" s="85" t="n"/>
      <c r="Y706" s="85" t="n"/>
      <c r="Z706" s="85" t="n"/>
    </row>
    <row r="707" ht="15.75" customHeight="1" s="86">
      <c r="T707" s="85" t="n"/>
      <c r="U707" s="85" t="n"/>
      <c r="V707" s="85" t="n"/>
      <c r="W707" s="85" t="n"/>
      <c r="X707" s="85" t="n"/>
      <c r="Y707" s="85" t="n"/>
      <c r="Z707" s="85" t="n"/>
    </row>
    <row r="708" ht="15.75" customHeight="1" s="86">
      <c r="T708" s="85" t="n"/>
      <c r="U708" s="85" t="n"/>
      <c r="V708" s="85" t="n"/>
      <c r="W708" s="85" t="n"/>
      <c r="X708" s="85" t="n"/>
      <c r="Y708" s="85" t="n"/>
      <c r="Z708" s="85" t="n"/>
    </row>
    <row r="709" ht="15.75" customHeight="1" s="86">
      <c r="T709" s="85" t="n"/>
      <c r="U709" s="85" t="n"/>
      <c r="V709" s="85" t="n"/>
      <c r="W709" s="85" t="n"/>
      <c r="X709" s="85" t="n"/>
      <c r="Y709" s="85" t="n"/>
      <c r="Z709" s="85" t="n"/>
    </row>
    <row r="710" ht="15.75" customHeight="1" s="86">
      <c r="T710" s="85" t="n"/>
      <c r="U710" s="85" t="n"/>
      <c r="V710" s="85" t="n"/>
      <c r="W710" s="85" t="n"/>
      <c r="X710" s="85" t="n"/>
      <c r="Y710" s="85" t="n"/>
      <c r="Z710" s="85" t="n"/>
    </row>
    <row r="711" ht="15.75" customHeight="1" s="86">
      <c r="T711" s="85" t="n"/>
      <c r="U711" s="85" t="n"/>
      <c r="V711" s="85" t="n"/>
      <c r="W711" s="85" t="n"/>
      <c r="X711" s="85" t="n"/>
      <c r="Y711" s="85" t="n"/>
      <c r="Z711" s="85" t="n"/>
    </row>
    <row r="712" ht="15.75" customHeight="1" s="86">
      <c r="T712" s="85" t="n"/>
      <c r="U712" s="85" t="n"/>
      <c r="V712" s="85" t="n"/>
      <c r="W712" s="85" t="n"/>
      <c r="X712" s="85" t="n"/>
      <c r="Y712" s="85" t="n"/>
      <c r="Z712" s="85" t="n"/>
    </row>
    <row r="713" ht="15.75" customHeight="1" s="86">
      <c r="T713" s="85" t="n"/>
      <c r="U713" s="85" t="n"/>
      <c r="V713" s="85" t="n"/>
      <c r="W713" s="85" t="n"/>
      <c r="X713" s="85" t="n"/>
      <c r="Y713" s="85" t="n"/>
      <c r="Z713" s="85" t="n"/>
    </row>
    <row r="714" ht="15.75" customHeight="1" s="86">
      <c r="T714" s="85" t="n"/>
      <c r="U714" s="85" t="n"/>
      <c r="V714" s="85" t="n"/>
      <c r="W714" s="85" t="n"/>
      <c r="X714" s="85" t="n"/>
      <c r="Y714" s="85" t="n"/>
      <c r="Z714" s="85" t="n"/>
    </row>
    <row r="715" ht="15.75" customHeight="1" s="86">
      <c r="T715" s="85" t="n"/>
      <c r="U715" s="85" t="n"/>
      <c r="V715" s="85" t="n"/>
      <c r="W715" s="85" t="n"/>
      <c r="X715" s="85" t="n"/>
      <c r="Y715" s="85" t="n"/>
      <c r="Z715" s="85" t="n"/>
    </row>
    <row r="716" ht="15.75" customHeight="1" s="86">
      <c r="T716" s="85" t="n"/>
      <c r="U716" s="85" t="n"/>
      <c r="V716" s="85" t="n"/>
      <c r="W716" s="85" t="n"/>
      <c r="X716" s="85" t="n"/>
      <c r="Y716" s="85" t="n"/>
      <c r="Z716" s="85" t="n"/>
    </row>
    <row r="717" ht="15.75" customHeight="1" s="86">
      <c r="T717" s="85" t="n"/>
      <c r="U717" s="85" t="n"/>
      <c r="V717" s="85" t="n"/>
      <c r="W717" s="85" t="n"/>
      <c r="X717" s="85" t="n"/>
      <c r="Y717" s="85" t="n"/>
      <c r="Z717" s="85" t="n"/>
    </row>
    <row r="718" ht="15.75" customHeight="1" s="86">
      <c r="T718" s="85" t="n"/>
      <c r="U718" s="85" t="n"/>
      <c r="V718" s="85" t="n"/>
      <c r="W718" s="85" t="n"/>
      <c r="X718" s="85" t="n"/>
      <c r="Y718" s="85" t="n"/>
      <c r="Z718" s="85" t="n"/>
    </row>
    <row r="719" ht="15.75" customHeight="1" s="86">
      <c r="T719" s="85" t="n"/>
      <c r="U719" s="85" t="n"/>
      <c r="V719" s="85" t="n"/>
      <c r="W719" s="85" t="n"/>
      <c r="X719" s="85" t="n"/>
      <c r="Y719" s="85" t="n"/>
      <c r="Z719" s="85" t="n"/>
    </row>
    <row r="720" ht="15.75" customHeight="1" s="86">
      <c r="T720" s="85" t="n"/>
      <c r="U720" s="85" t="n"/>
      <c r="V720" s="85" t="n"/>
      <c r="W720" s="85" t="n"/>
      <c r="X720" s="85" t="n"/>
      <c r="Y720" s="85" t="n"/>
      <c r="Z720" s="85" t="n"/>
    </row>
    <row r="721" ht="15.75" customHeight="1" s="86">
      <c r="T721" s="85" t="n"/>
      <c r="U721" s="85" t="n"/>
      <c r="V721" s="85" t="n"/>
      <c r="W721" s="85" t="n"/>
      <c r="X721" s="85" t="n"/>
      <c r="Y721" s="85" t="n"/>
      <c r="Z721" s="85" t="n"/>
    </row>
    <row r="722" ht="15.75" customHeight="1" s="86">
      <c r="T722" s="85" t="n"/>
      <c r="U722" s="85" t="n"/>
      <c r="V722" s="85" t="n"/>
      <c r="W722" s="85" t="n"/>
      <c r="X722" s="85" t="n"/>
      <c r="Y722" s="85" t="n"/>
      <c r="Z722" s="85" t="n"/>
    </row>
    <row r="723" ht="15.75" customHeight="1" s="86">
      <c r="T723" s="85" t="n"/>
      <c r="U723" s="85" t="n"/>
      <c r="V723" s="85" t="n"/>
      <c r="W723" s="85" t="n"/>
      <c r="X723" s="85" t="n"/>
      <c r="Y723" s="85" t="n"/>
      <c r="Z723" s="85" t="n"/>
    </row>
    <row r="724" ht="15.75" customHeight="1" s="86">
      <c r="T724" s="85" t="n"/>
      <c r="U724" s="85" t="n"/>
      <c r="V724" s="85" t="n"/>
      <c r="W724" s="85" t="n"/>
      <c r="X724" s="85" t="n"/>
      <c r="Y724" s="85" t="n"/>
      <c r="Z724" s="85" t="n"/>
    </row>
    <row r="725" ht="15.75" customHeight="1" s="86">
      <c r="T725" s="85" t="n"/>
      <c r="U725" s="85" t="n"/>
      <c r="V725" s="85" t="n"/>
      <c r="W725" s="85" t="n"/>
      <c r="X725" s="85" t="n"/>
      <c r="Y725" s="85" t="n"/>
      <c r="Z725" s="85" t="n"/>
    </row>
    <row r="726" ht="15.75" customHeight="1" s="86">
      <c r="T726" s="85" t="n"/>
      <c r="U726" s="85" t="n"/>
      <c r="V726" s="85" t="n"/>
      <c r="W726" s="85" t="n"/>
      <c r="X726" s="85" t="n"/>
      <c r="Y726" s="85" t="n"/>
      <c r="Z726" s="85" t="n"/>
    </row>
    <row r="727" ht="15.75" customHeight="1" s="86">
      <c r="T727" s="85" t="n"/>
      <c r="U727" s="85" t="n"/>
      <c r="V727" s="85" t="n"/>
      <c r="W727" s="85" t="n"/>
      <c r="X727" s="85" t="n"/>
      <c r="Y727" s="85" t="n"/>
      <c r="Z727" s="85" t="n"/>
    </row>
    <row r="728" ht="15.75" customHeight="1" s="86">
      <c r="T728" s="85" t="n"/>
      <c r="U728" s="85" t="n"/>
      <c r="V728" s="85" t="n"/>
      <c r="W728" s="85" t="n"/>
      <c r="X728" s="85" t="n"/>
      <c r="Y728" s="85" t="n"/>
      <c r="Z728" s="85" t="n"/>
    </row>
    <row r="729" ht="15.75" customHeight="1" s="86">
      <c r="T729" s="85" t="n"/>
      <c r="U729" s="85" t="n"/>
      <c r="V729" s="85" t="n"/>
      <c r="W729" s="85" t="n"/>
      <c r="X729" s="85" t="n"/>
      <c r="Y729" s="85" t="n"/>
      <c r="Z729" s="85" t="n"/>
    </row>
    <row r="730" ht="15.75" customHeight="1" s="86">
      <c r="T730" s="85" t="n"/>
      <c r="U730" s="85" t="n"/>
      <c r="V730" s="85" t="n"/>
      <c r="W730" s="85" t="n"/>
      <c r="X730" s="85" t="n"/>
      <c r="Y730" s="85" t="n"/>
      <c r="Z730" s="85" t="n"/>
    </row>
    <row r="731" ht="15.75" customHeight="1" s="86">
      <c r="T731" s="85" t="n"/>
      <c r="U731" s="85" t="n"/>
      <c r="V731" s="85" t="n"/>
      <c r="W731" s="85" t="n"/>
      <c r="X731" s="85" t="n"/>
      <c r="Y731" s="85" t="n"/>
      <c r="Z731" s="85" t="n"/>
    </row>
    <row r="732" ht="15.75" customHeight="1" s="86">
      <c r="T732" s="85" t="n"/>
      <c r="U732" s="85" t="n"/>
      <c r="V732" s="85" t="n"/>
      <c r="W732" s="85" t="n"/>
      <c r="X732" s="85" t="n"/>
      <c r="Y732" s="85" t="n"/>
      <c r="Z732" s="85" t="n"/>
    </row>
    <row r="733" ht="15.75" customHeight="1" s="86">
      <c r="T733" s="85" t="n"/>
      <c r="U733" s="85" t="n"/>
      <c r="V733" s="85" t="n"/>
      <c r="W733" s="85" t="n"/>
      <c r="X733" s="85" t="n"/>
      <c r="Y733" s="85" t="n"/>
      <c r="Z733" s="85" t="n"/>
    </row>
    <row r="734" ht="15.75" customHeight="1" s="86">
      <c r="T734" s="85" t="n"/>
      <c r="U734" s="85" t="n"/>
      <c r="V734" s="85" t="n"/>
      <c r="W734" s="85" t="n"/>
      <c r="X734" s="85" t="n"/>
      <c r="Y734" s="85" t="n"/>
      <c r="Z734" s="85" t="n"/>
    </row>
    <row r="735" ht="15.75" customHeight="1" s="86">
      <c r="T735" s="85" t="n"/>
      <c r="U735" s="85" t="n"/>
      <c r="V735" s="85" t="n"/>
      <c r="W735" s="85" t="n"/>
      <c r="X735" s="85" t="n"/>
      <c r="Y735" s="85" t="n"/>
      <c r="Z735" s="85" t="n"/>
    </row>
    <row r="736" ht="15.75" customHeight="1" s="86">
      <c r="T736" s="85" t="n"/>
      <c r="U736" s="85" t="n"/>
      <c r="V736" s="85" t="n"/>
      <c r="W736" s="85" t="n"/>
      <c r="X736" s="85" t="n"/>
      <c r="Y736" s="85" t="n"/>
      <c r="Z736" s="85" t="n"/>
    </row>
    <row r="737" ht="15.75" customHeight="1" s="86">
      <c r="T737" s="85" t="n"/>
      <c r="U737" s="85" t="n"/>
      <c r="V737" s="85" t="n"/>
      <c r="W737" s="85" t="n"/>
      <c r="X737" s="85" t="n"/>
      <c r="Y737" s="85" t="n"/>
      <c r="Z737" s="85" t="n"/>
    </row>
    <row r="738" ht="15.75" customHeight="1" s="86">
      <c r="T738" s="85" t="n"/>
      <c r="U738" s="85" t="n"/>
      <c r="V738" s="85" t="n"/>
      <c r="W738" s="85" t="n"/>
      <c r="X738" s="85" t="n"/>
      <c r="Y738" s="85" t="n"/>
      <c r="Z738" s="85" t="n"/>
    </row>
    <row r="739" ht="15.75" customHeight="1" s="86">
      <c r="T739" s="85" t="n"/>
      <c r="U739" s="85" t="n"/>
      <c r="V739" s="85" t="n"/>
      <c r="W739" s="85" t="n"/>
      <c r="X739" s="85" t="n"/>
      <c r="Y739" s="85" t="n"/>
      <c r="Z739" s="85" t="n"/>
    </row>
    <row r="740" ht="15.75" customHeight="1" s="86">
      <c r="T740" s="85" t="n"/>
      <c r="U740" s="85" t="n"/>
      <c r="V740" s="85" t="n"/>
      <c r="W740" s="85" t="n"/>
      <c r="X740" s="85" t="n"/>
      <c r="Y740" s="85" t="n"/>
      <c r="Z740" s="85" t="n"/>
    </row>
    <row r="741" ht="15.75" customHeight="1" s="86">
      <c r="T741" s="85" t="n"/>
      <c r="U741" s="85" t="n"/>
      <c r="V741" s="85" t="n"/>
      <c r="W741" s="85" t="n"/>
      <c r="X741" s="85" t="n"/>
      <c r="Y741" s="85" t="n"/>
      <c r="Z741" s="85" t="n"/>
    </row>
    <row r="742" ht="15.75" customHeight="1" s="86">
      <c r="T742" s="85" t="n"/>
      <c r="U742" s="85" t="n"/>
      <c r="V742" s="85" t="n"/>
      <c r="W742" s="85" t="n"/>
      <c r="X742" s="85" t="n"/>
      <c r="Y742" s="85" t="n"/>
      <c r="Z742" s="85" t="n"/>
    </row>
    <row r="743" ht="15.75" customHeight="1" s="86">
      <c r="T743" s="85" t="n"/>
      <c r="U743" s="85" t="n"/>
      <c r="V743" s="85" t="n"/>
      <c r="W743" s="85" t="n"/>
      <c r="X743" s="85" t="n"/>
      <c r="Y743" s="85" t="n"/>
      <c r="Z743" s="85" t="n"/>
    </row>
    <row r="744" ht="15.75" customHeight="1" s="86">
      <c r="T744" s="85" t="n"/>
      <c r="U744" s="85" t="n"/>
      <c r="V744" s="85" t="n"/>
      <c r="W744" s="85" t="n"/>
      <c r="X744" s="85" t="n"/>
      <c r="Y744" s="85" t="n"/>
      <c r="Z744" s="85" t="n"/>
    </row>
    <row r="745" ht="15.75" customHeight="1" s="86">
      <c r="T745" s="85" t="n"/>
      <c r="U745" s="85" t="n"/>
      <c r="V745" s="85" t="n"/>
      <c r="W745" s="85" t="n"/>
      <c r="X745" s="85" t="n"/>
      <c r="Y745" s="85" t="n"/>
      <c r="Z745" s="85" t="n"/>
    </row>
    <row r="746" ht="15.75" customHeight="1" s="86">
      <c r="T746" s="85" t="n"/>
      <c r="U746" s="85" t="n"/>
      <c r="V746" s="85" t="n"/>
      <c r="W746" s="85" t="n"/>
      <c r="X746" s="85" t="n"/>
      <c r="Y746" s="85" t="n"/>
      <c r="Z746" s="85" t="n"/>
    </row>
    <row r="747" ht="15.75" customHeight="1" s="86">
      <c r="T747" s="85" t="n"/>
      <c r="U747" s="85" t="n"/>
      <c r="V747" s="85" t="n"/>
      <c r="W747" s="85" t="n"/>
      <c r="X747" s="85" t="n"/>
      <c r="Y747" s="85" t="n"/>
      <c r="Z747" s="85" t="n"/>
    </row>
    <row r="748" ht="15.75" customHeight="1" s="86">
      <c r="T748" s="85" t="n"/>
      <c r="U748" s="85" t="n"/>
      <c r="V748" s="85" t="n"/>
      <c r="W748" s="85" t="n"/>
      <c r="X748" s="85" t="n"/>
      <c r="Y748" s="85" t="n"/>
      <c r="Z748" s="85" t="n"/>
    </row>
    <row r="749" ht="15.75" customHeight="1" s="86">
      <c r="T749" s="85" t="n"/>
      <c r="U749" s="85" t="n"/>
      <c r="V749" s="85" t="n"/>
      <c r="W749" s="85" t="n"/>
      <c r="X749" s="85" t="n"/>
      <c r="Y749" s="85" t="n"/>
      <c r="Z749" s="85" t="n"/>
    </row>
    <row r="750" ht="15.75" customHeight="1" s="86">
      <c r="T750" s="85" t="n"/>
      <c r="U750" s="85" t="n"/>
      <c r="V750" s="85" t="n"/>
      <c r="W750" s="85" t="n"/>
      <c r="X750" s="85" t="n"/>
      <c r="Y750" s="85" t="n"/>
      <c r="Z750" s="85" t="n"/>
    </row>
    <row r="751" ht="15.75" customHeight="1" s="86">
      <c r="T751" s="85" t="n"/>
      <c r="U751" s="85" t="n"/>
      <c r="V751" s="85" t="n"/>
      <c r="W751" s="85" t="n"/>
      <c r="X751" s="85" t="n"/>
      <c r="Y751" s="85" t="n"/>
      <c r="Z751" s="85" t="n"/>
    </row>
    <row r="752" ht="15.75" customHeight="1" s="86">
      <c r="T752" s="85" t="n"/>
      <c r="U752" s="85" t="n"/>
      <c r="V752" s="85" t="n"/>
      <c r="W752" s="85" t="n"/>
      <c r="X752" s="85" t="n"/>
      <c r="Y752" s="85" t="n"/>
      <c r="Z752" s="85" t="n"/>
    </row>
    <row r="753" ht="15.75" customHeight="1" s="86">
      <c r="T753" s="85" t="n"/>
      <c r="U753" s="85" t="n"/>
      <c r="V753" s="85" t="n"/>
      <c r="W753" s="85" t="n"/>
      <c r="X753" s="85" t="n"/>
      <c r="Y753" s="85" t="n"/>
      <c r="Z753" s="85" t="n"/>
    </row>
    <row r="754" ht="15.75" customHeight="1" s="86">
      <c r="T754" s="85" t="n"/>
      <c r="U754" s="85" t="n"/>
      <c r="V754" s="85" t="n"/>
      <c r="W754" s="85" t="n"/>
      <c r="X754" s="85" t="n"/>
      <c r="Y754" s="85" t="n"/>
      <c r="Z754" s="85" t="n"/>
    </row>
    <row r="755" ht="15.75" customHeight="1" s="86">
      <c r="T755" s="85" t="n"/>
      <c r="U755" s="85" t="n"/>
      <c r="V755" s="85" t="n"/>
      <c r="W755" s="85" t="n"/>
      <c r="X755" s="85" t="n"/>
      <c r="Y755" s="85" t="n"/>
      <c r="Z755" s="85" t="n"/>
    </row>
    <row r="756" ht="15.75" customHeight="1" s="86">
      <c r="T756" s="85" t="n"/>
      <c r="U756" s="85" t="n"/>
      <c r="V756" s="85" t="n"/>
      <c r="W756" s="85" t="n"/>
      <c r="X756" s="85" t="n"/>
      <c r="Y756" s="85" t="n"/>
      <c r="Z756" s="85" t="n"/>
    </row>
    <row r="757" ht="15.75" customHeight="1" s="86">
      <c r="T757" s="85" t="n"/>
      <c r="U757" s="85" t="n"/>
      <c r="V757" s="85" t="n"/>
      <c r="W757" s="85" t="n"/>
      <c r="X757" s="85" t="n"/>
      <c r="Y757" s="85" t="n"/>
      <c r="Z757" s="85" t="n"/>
    </row>
    <row r="758" ht="15.75" customHeight="1" s="86">
      <c r="T758" s="85" t="n"/>
      <c r="U758" s="85" t="n"/>
      <c r="V758" s="85" t="n"/>
      <c r="W758" s="85" t="n"/>
      <c r="X758" s="85" t="n"/>
      <c r="Y758" s="85" t="n"/>
      <c r="Z758" s="85" t="n"/>
    </row>
    <row r="759" ht="15.75" customHeight="1" s="86">
      <c r="T759" s="85" t="n"/>
      <c r="U759" s="85" t="n"/>
      <c r="V759" s="85" t="n"/>
      <c r="W759" s="85" t="n"/>
      <c r="X759" s="85" t="n"/>
      <c r="Y759" s="85" t="n"/>
      <c r="Z759" s="85" t="n"/>
    </row>
    <row r="760" ht="15.75" customHeight="1" s="86">
      <c r="T760" s="85" t="n"/>
      <c r="U760" s="85" t="n"/>
      <c r="V760" s="85" t="n"/>
      <c r="W760" s="85" t="n"/>
      <c r="X760" s="85" t="n"/>
      <c r="Y760" s="85" t="n"/>
      <c r="Z760" s="85" t="n"/>
    </row>
    <row r="761" ht="15.75" customHeight="1" s="86">
      <c r="T761" s="85" t="n"/>
      <c r="U761" s="85" t="n"/>
      <c r="V761" s="85" t="n"/>
      <c r="W761" s="85" t="n"/>
      <c r="X761" s="85" t="n"/>
      <c r="Y761" s="85" t="n"/>
      <c r="Z761" s="85" t="n"/>
    </row>
    <row r="762" ht="15.75" customHeight="1" s="86">
      <c r="T762" s="85" t="n"/>
      <c r="U762" s="85" t="n"/>
      <c r="V762" s="85" t="n"/>
      <c r="W762" s="85" t="n"/>
      <c r="X762" s="85" t="n"/>
      <c r="Y762" s="85" t="n"/>
      <c r="Z762" s="85" t="n"/>
    </row>
    <row r="763" ht="15.75" customHeight="1" s="86">
      <c r="T763" s="85" t="n"/>
      <c r="U763" s="85" t="n"/>
      <c r="V763" s="85" t="n"/>
      <c r="W763" s="85" t="n"/>
      <c r="X763" s="85" t="n"/>
      <c r="Y763" s="85" t="n"/>
      <c r="Z763" s="85" t="n"/>
    </row>
    <row r="764" ht="15.75" customHeight="1" s="86">
      <c r="T764" s="85" t="n"/>
      <c r="U764" s="85" t="n"/>
      <c r="V764" s="85" t="n"/>
      <c r="W764" s="85" t="n"/>
      <c r="X764" s="85" t="n"/>
      <c r="Y764" s="85" t="n"/>
      <c r="Z764" s="85" t="n"/>
    </row>
    <row r="765" ht="15.75" customHeight="1" s="86">
      <c r="T765" s="85" t="n"/>
      <c r="U765" s="85" t="n"/>
      <c r="V765" s="85" t="n"/>
      <c r="W765" s="85" t="n"/>
      <c r="X765" s="85" t="n"/>
      <c r="Y765" s="85" t="n"/>
      <c r="Z765" s="85" t="n"/>
    </row>
    <row r="766" ht="15.75" customHeight="1" s="86">
      <c r="T766" s="85" t="n"/>
      <c r="U766" s="85" t="n"/>
      <c r="V766" s="85" t="n"/>
      <c r="W766" s="85" t="n"/>
      <c r="X766" s="85" t="n"/>
      <c r="Y766" s="85" t="n"/>
      <c r="Z766" s="85" t="n"/>
    </row>
    <row r="767" ht="15.75" customHeight="1" s="86">
      <c r="T767" s="85" t="n"/>
      <c r="U767" s="85" t="n"/>
      <c r="V767" s="85" t="n"/>
      <c r="W767" s="85" t="n"/>
      <c r="X767" s="85" t="n"/>
      <c r="Y767" s="85" t="n"/>
      <c r="Z767" s="85" t="n"/>
    </row>
    <row r="768" ht="15.75" customHeight="1" s="86">
      <c r="T768" s="85" t="n"/>
      <c r="U768" s="85" t="n"/>
      <c r="V768" s="85" t="n"/>
      <c r="W768" s="85" t="n"/>
      <c r="X768" s="85" t="n"/>
      <c r="Y768" s="85" t="n"/>
      <c r="Z768" s="85" t="n"/>
    </row>
    <row r="769" ht="15.75" customHeight="1" s="86">
      <c r="T769" s="85" t="n"/>
      <c r="U769" s="85" t="n"/>
      <c r="V769" s="85" t="n"/>
      <c r="W769" s="85" t="n"/>
      <c r="X769" s="85" t="n"/>
      <c r="Y769" s="85" t="n"/>
      <c r="Z769" s="85" t="n"/>
    </row>
    <row r="770" ht="15.75" customHeight="1" s="86">
      <c r="T770" s="85" t="n"/>
      <c r="U770" s="85" t="n"/>
      <c r="V770" s="85" t="n"/>
      <c r="W770" s="85" t="n"/>
      <c r="X770" s="85" t="n"/>
      <c r="Y770" s="85" t="n"/>
      <c r="Z770" s="85" t="n"/>
    </row>
    <row r="771" ht="15.75" customHeight="1" s="86">
      <c r="T771" s="85" t="n"/>
      <c r="U771" s="85" t="n"/>
      <c r="V771" s="85" t="n"/>
      <c r="W771" s="85" t="n"/>
      <c r="X771" s="85" t="n"/>
      <c r="Y771" s="85" t="n"/>
      <c r="Z771" s="85" t="n"/>
    </row>
    <row r="772" ht="15.75" customHeight="1" s="86">
      <c r="T772" s="85" t="n"/>
      <c r="U772" s="85" t="n"/>
      <c r="V772" s="85" t="n"/>
      <c r="W772" s="85" t="n"/>
      <c r="X772" s="85" t="n"/>
      <c r="Y772" s="85" t="n"/>
      <c r="Z772" s="85" t="n"/>
    </row>
    <row r="773" ht="15.75" customHeight="1" s="86">
      <c r="T773" s="85" t="n"/>
      <c r="U773" s="85" t="n"/>
      <c r="V773" s="85" t="n"/>
      <c r="W773" s="85" t="n"/>
      <c r="X773" s="85" t="n"/>
      <c r="Y773" s="85" t="n"/>
      <c r="Z773" s="85" t="n"/>
    </row>
    <row r="774" ht="15.75" customHeight="1" s="86">
      <c r="T774" s="85" t="n"/>
      <c r="U774" s="85" t="n"/>
      <c r="V774" s="85" t="n"/>
      <c r="W774" s="85" t="n"/>
      <c r="X774" s="85" t="n"/>
      <c r="Y774" s="85" t="n"/>
      <c r="Z774" s="85" t="n"/>
    </row>
    <row r="775" ht="15.75" customHeight="1" s="86">
      <c r="T775" s="85" t="n"/>
      <c r="U775" s="85" t="n"/>
      <c r="V775" s="85" t="n"/>
      <c r="W775" s="85" t="n"/>
      <c r="X775" s="85" t="n"/>
      <c r="Y775" s="85" t="n"/>
      <c r="Z775" s="85" t="n"/>
    </row>
    <row r="776" ht="15.75" customHeight="1" s="86">
      <c r="T776" s="85" t="n"/>
      <c r="U776" s="85" t="n"/>
      <c r="V776" s="85" t="n"/>
      <c r="W776" s="85" t="n"/>
      <c r="X776" s="85" t="n"/>
      <c r="Y776" s="85" t="n"/>
      <c r="Z776" s="85" t="n"/>
    </row>
    <row r="777" ht="15.75" customHeight="1" s="86">
      <c r="T777" s="85" t="n"/>
      <c r="U777" s="85" t="n"/>
      <c r="V777" s="85" t="n"/>
      <c r="W777" s="85" t="n"/>
      <c r="X777" s="85" t="n"/>
      <c r="Y777" s="85" t="n"/>
      <c r="Z777" s="85" t="n"/>
    </row>
    <row r="778" ht="15.75" customHeight="1" s="86">
      <c r="T778" s="85" t="n"/>
      <c r="U778" s="85" t="n"/>
      <c r="V778" s="85" t="n"/>
      <c r="W778" s="85" t="n"/>
      <c r="X778" s="85" t="n"/>
      <c r="Y778" s="85" t="n"/>
      <c r="Z778" s="85" t="n"/>
    </row>
    <row r="779" ht="15.75" customHeight="1" s="86">
      <c r="T779" s="85" t="n"/>
      <c r="U779" s="85" t="n"/>
      <c r="V779" s="85" t="n"/>
      <c r="W779" s="85" t="n"/>
      <c r="X779" s="85" t="n"/>
      <c r="Y779" s="85" t="n"/>
      <c r="Z779" s="85" t="n"/>
    </row>
    <row r="780" ht="15.75" customHeight="1" s="86">
      <c r="T780" s="85" t="n"/>
      <c r="U780" s="85" t="n"/>
      <c r="V780" s="85" t="n"/>
      <c r="W780" s="85" t="n"/>
      <c r="X780" s="85" t="n"/>
      <c r="Y780" s="85" t="n"/>
      <c r="Z780" s="85" t="n"/>
    </row>
    <row r="781" ht="15.75" customHeight="1" s="86">
      <c r="T781" s="85" t="n"/>
      <c r="U781" s="85" t="n"/>
      <c r="V781" s="85" t="n"/>
      <c r="W781" s="85" t="n"/>
      <c r="X781" s="85" t="n"/>
      <c r="Y781" s="85" t="n"/>
      <c r="Z781" s="85" t="n"/>
    </row>
    <row r="782" ht="15.75" customHeight="1" s="86">
      <c r="T782" s="85" t="n"/>
      <c r="U782" s="85" t="n"/>
      <c r="V782" s="85" t="n"/>
      <c r="W782" s="85" t="n"/>
      <c r="X782" s="85" t="n"/>
      <c r="Y782" s="85" t="n"/>
      <c r="Z782" s="85" t="n"/>
    </row>
    <row r="783" ht="15.75" customHeight="1" s="86">
      <c r="T783" s="85" t="n"/>
      <c r="U783" s="85" t="n"/>
      <c r="V783" s="85" t="n"/>
      <c r="W783" s="85" t="n"/>
      <c r="X783" s="85" t="n"/>
      <c r="Y783" s="85" t="n"/>
      <c r="Z783" s="85" t="n"/>
    </row>
    <row r="784" ht="15.75" customHeight="1" s="86">
      <c r="T784" s="85" t="n"/>
      <c r="U784" s="85" t="n"/>
      <c r="V784" s="85" t="n"/>
      <c r="W784" s="85" t="n"/>
      <c r="X784" s="85" t="n"/>
      <c r="Y784" s="85" t="n"/>
      <c r="Z784" s="85" t="n"/>
    </row>
    <row r="785" ht="15.75" customHeight="1" s="86">
      <c r="T785" s="85" t="n"/>
      <c r="U785" s="85" t="n"/>
      <c r="V785" s="85" t="n"/>
      <c r="W785" s="85" t="n"/>
      <c r="X785" s="85" t="n"/>
      <c r="Y785" s="85" t="n"/>
      <c r="Z785" s="85" t="n"/>
    </row>
    <row r="786" ht="15.75" customHeight="1" s="86">
      <c r="T786" s="85" t="n"/>
      <c r="U786" s="85" t="n"/>
      <c r="V786" s="85" t="n"/>
      <c r="W786" s="85" t="n"/>
      <c r="X786" s="85" t="n"/>
      <c r="Y786" s="85" t="n"/>
      <c r="Z786" s="85" t="n"/>
    </row>
    <row r="787" ht="15.75" customHeight="1" s="86">
      <c r="T787" s="85" t="n"/>
      <c r="U787" s="85" t="n"/>
      <c r="V787" s="85" t="n"/>
      <c r="W787" s="85" t="n"/>
      <c r="X787" s="85" t="n"/>
      <c r="Y787" s="85" t="n"/>
      <c r="Z787" s="85" t="n"/>
    </row>
    <row r="788" ht="15.75" customHeight="1" s="86">
      <c r="T788" s="85" t="n"/>
      <c r="U788" s="85" t="n"/>
      <c r="V788" s="85" t="n"/>
      <c r="W788" s="85" t="n"/>
      <c r="X788" s="85" t="n"/>
      <c r="Y788" s="85" t="n"/>
      <c r="Z788" s="85" t="n"/>
    </row>
    <row r="789" ht="15.75" customHeight="1" s="86">
      <c r="T789" s="85" t="n"/>
      <c r="U789" s="85" t="n"/>
      <c r="V789" s="85" t="n"/>
      <c r="W789" s="85" t="n"/>
      <c r="X789" s="85" t="n"/>
      <c r="Y789" s="85" t="n"/>
      <c r="Z789" s="85" t="n"/>
    </row>
    <row r="790" ht="15.75" customHeight="1" s="86">
      <c r="T790" s="85" t="n"/>
      <c r="U790" s="85" t="n"/>
      <c r="V790" s="85" t="n"/>
      <c r="W790" s="85" t="n"/>
      <c r="X790" s="85" t="n"/>
      <c r="Y790" s="85" t="n"/>
      <c r="Z790" s="85" t="n"/>
    </row>
    <row r="791" ht="15.75" customHeight="1" s="86">
      <c r="T791" s="85" t="n"/>
      <c r="U791" s="85" t="n"/>
      <c r="V791" s="85" t="n"/>
      <c r="W791" s="85" t="n"/>
      <c r="X791" s="85" t="n"/>
      <c r="Y791" s="85" t="n"/>
      <c r="Z791" s="85" t="n"/>
    </row>
    <row r="792" ht="15.75" customHeight="1" s="86">
      <c r="T792" s="85" t="n"/>
      <c r="U792" s="85" t="n"/>
      <c r="V792" s="85" t="n"/>
      <c r="W792" s="85" t="n"/>
      <c r="X792" s="85" t="n"/>
      <c r="Y792" s="85" t="n"/>
      <c r="Z792" s="85" t="n"/>
    </row>
    <row r="793" ht="15.75" customHeight="1" s="86">
      <c r="T793" s="85" t="n"/>
      <c r="U793" s="85" t="n"/>
      <c r="V793" s="85" t="n"/>
      <c r="W793" s="85" t="n"/>
      <c r="X793" s="85" t="n"/>
      <c r="Y793" s="85" t="n"/>
      <c r="Z793" s="85" t="n"/>
    </row>
    <row r="794" ht="15.75" customHeight="1" s="86">
      <c r="T794" s="85" t="n"/>
      <c r="U794" s="85" t="n"/>
      <c r="V794" s="85" t="n"/>
      <c r="W794" s="85" t="n"/>
      <c r="X794" s="85" t="n"/>
      <c r="Y794" s="85" t="n"/>
      <c r="Z794" s="85" t="n"/>
    </row>
    <row r="795" ht="15.75" customHeight="1" s="86">
      <c r="T795" s="85" t="n"/>
      <c r="U795" s="85" t="n"/>
      <c r="V795" s="85" t="n"/>
      <c r="W795" s="85" t="n"/>
      <c r="X795" s="85" t="n"/>
      <c r="Y795" s="85" t="n"/>
      <c r="Z795" s="85" t="n"/>
    </row>
    <row r="796" ht="15.75" customHeight="1" s="86">
      <c r="T796" s="85" t="n"/>
      <c r="U796" s="85" t="n"/>
      <c r="V796" s="85" t="n"/>
      <c r="W796" s="85" t="n"/>
      <c r="X796" s="85" t="n"/>
      <c r="Y796" s="85" t="n"/>
      <c r="Z796" s="85" t="n"/>
    </row>
    <row r="797" ht="15.75" customHeight="1" s="86">
      <c r="T797" s="85" t="n"/>
      <c r="U797" s="85" t="n"/>
      <c r="V797" s="85" t="n"/>
      <c r="W797" s="85" t="n"/>
      <c r="X797" s="85" t="n"/>
      <c r="Y797" s="85" t="n"/>
      <c r="Z797" s="85" t="n"/>
    </row>
    <row r="798" ht="15.75" customHeight="1" s="86">
      <c r="T798" s="85" t="n"/>
      <c r="U798" s="85" t="n"/>
      <c r="V798" s="85" t="n"/>
      <c r="W798" s="85" t="n"/>
      <c r="X798" s="85" t="n"/>
      <c r="Y798" s="85" t="n"/>
      <c r="Z798" s="85" t="n"/>
    </row>
    <row r="799" ht="15.75" customHeight="1" s="86">
      <c r="T799" s="85" t="n"/>
      <c r="U799" s="85" t="n"/>
      <c r="V799" s="85" t="n"/>
      <c r="W799" s="85" t="n"/>
      <c r="X799" s="85" t="n"/>
      <c r="Y799" s="85" t="n"/>
      <c r="Z799" s="85" t="n"/>
    </row>
    <row r="800" ht="15.75" customHeight="1" s="86">
      <c r="T800" s="85" t="n"/>
      <c r="U800" s="85" t="n"/>
      <c r="V800" s="85" t="n"/>
      <c r="W800" s="85" t="n"/>
      <c r="X800" s="85" t="n"/>
      <c r="Y800" s="85" t="n"/>
      <c r="Z800" s="85" t="n"/>
    </row>
    <row r="801" ht="15.75" customHeight="1" s="86">
      <c r="T801" s="85" t="n"/>
      <c r="U801" s="85" t="n"/>
      <c r="V801" s="85" t="n"/>
      <c r="W801" s="85" t="n"/>
      <c r="X801" s="85" t="n"/>
      <c r="Y801" s="85" t="n"/>
      <c r="Z801" s="85" t="n"/>
    </row>
    <row r="802" ht="15.75" customHeight="1" s="86">
      <c r="T802" s="85" t="n"/>
      <c r="U802" s="85" t="n"/>
      <c r="V802" s="85" t="n"/>
      <c r="W802" s="85" t="n"/>
      <c r="X802" s="85" t="n"/>
      <c r="Y802" s="85" t="n"/>
      <c r="Z802" s="85" t="n"/>
    </row>
    <row r="803" ht="15.75" customHeight="1" s="86">
      <c r="T803" s="85" t="n"/>
      <c r="U803" s="85" t="n"/>
      <c r="V803" s="85" t="n"/>
      <c r="W803" s="85" t="n"/>
      <c r="X803" s="85" t="n"/>
      <c r="Y803" s="85" t="n"/>
      <c r="Z803" s="85" t="n"/>
    </row>
    <row r="804" ht="15.75" customHeight="1" s="86">
      <c r="T804" s="85" t="n"/>
      <c r="U804" s="85" t="n"/>
      <c r="V804" s="85" t="n"/>
      <c r="W804" s="85" t="n"/>
      <c r="X804" s="85" t="n"/>
      <c r="Y804" s="85" t="n"/>
      <c r="Z804" s="85" t="n"/>
    </row>
    <row r="805" ht="15.75" customHeight="1" s="86">
      <c r="T805" s="85" t="n"/>
      <c r="U805" s="85" t="n"/>
      <c r="V805" s="85" t="n"/>
      <c r="W805" s="85" t="n"/>
      <c r="X805" s="85" t="n"/>
      <c r="Y805" s="85" t="n"/>
      <c r="Z805" s="85" t="n"/>
    </row>
    <row r="806" ht="15.75" customHeight="1" s="86">
      <c r="T806" s="85" t="n"/>
      <c r="U806" s="85" t="n"/>
      <c r="V806" s="85" t="n"/>
      <c r="W806" s="85" t="n"/>
      <c r="X806" s="85" t="n"/>
      <c r="Y806" s="85" t="n"/>
      <c r="Z806" s="85" t="n"/>
    </row>
    <row r="807" ht="15.75" customHeight="1" s="86">
      <c r="T807" s="85" t="n"/>
      <c r="U807" s="85" t="n"/>
      <c r="V807" s="85" t="n"/>
      <c r="W807" s="85" t="n"/>
      <c r="X807" s="85" t="n"/>
      <c r="Y807" s="85" t="n"/>
      <c r="Z807" s="85" t="n"/>
    </row>
    <row r="808" ht="15.75" customHeight="1" s="86">
      <c r="T808" s="85" t="n"/>
      <c r="U808" s="85" t="n"/>
      <c r="V808" s="85" t="n"/>
      <c r="W808" s="85" t="n"/>
      <c r="X808" s="85" t="n"/>
      <c r="Y808" s="85" t="n"/>
      <c r="Z808" s="85" t="n"/>
    </row>
    <row r="809" ht="15.75" customHeight="1" s="86">
      <c r="T809" s="85" t="n"/>
      <c r="U809" s="85" t="n"/>
      <c r="V809" s="85" t="n"/>
      <c r="W809" s="85" t="n"/>
      <c r="X809" s="85" t="n"/>
      <c r="Y809" s="85" t="n"/>
      <c r="Z809" s="85" t="n"/>
    </row>
    <row r="810" ht="15.75" customHeight="1" s="86">
      <c r="T810" s="85" t="n"/>
      <c r="U810" s="85" t="n"/>
      <c r="V810" s="85" t="n"/>
      <c r="W810" s="85" t="n"/>
      <c r="X810" s="85" t="n"/>
      <c r="Y810" s="85" t="n"/>
      <c r="Z810" s="85" t="n"/>
    </row>
    <row r="811" ht="15.75" customHeight="1" s="86">
      <c r="T811" s="85" t="n"/>
      <c r="U811" s="85" t="n"/>
      <c r="V811" s="85" t="n"/>
      <c r="W811" s="85" t="n"/>
      <c r="X811" s="85" t="n"/>
      <c r="Y811" s="85" t="n"/>
      <c r="Z811" s="85" t="n"/>
    </row>
    <row r="812" ht="15.75" customHeight="1" s="86">
      <c r="T812" s="85" t="n"/>
      <c r="U812" s="85" t="n"/>
      <c r="V812" s="85" t="n"/>
      <c r="W812" s="85" t="n"/>
      <c r="X812" s="85" t="n"/>
      <c r="Y812" s="85" t="n"/>
      <c r="Z812" s="85" t="n"/>
    </row>
    <row r="813" ht="15.75" customHeight="1" s="86">
      <c r="T813" s="85" t="n"/>
      <c r="U813" s="85" t="n"/>
      <c r="V813" s="85" t="n"/>
      <c r="W813" s="85" t="n"/>
      <c r="X813" s="85" t="n"/>
      <c r="Y813" s="85" t="n"/>
      <c r="Z813" s="85" t="n"/>
    </row>
    <row r="814" ht="15.75" customHeight="1" s="86">
      <c r="T814" s="85" t="n"/>
      <c r="U814" s="85" t="n"/>
      <c r="V814" s="85" t="n"/>
      <c r="W814" s="85" t="n"/>
      <c r="X814" s="85" t="n"/>
      <c r="Y814" s="85" t="n"/>
      <c r="Z814" s="85" t="n"/>
    </row>
    <row r="815" ht="15.75" customHeight="1" s="86">
      <c r="T815" s="85" t="n"/>
      <c r="U815" s="85" t="n"/>
      <c r="V815" s="85" t="n"/>
      <c r="W815" s="85" t="n"/>
      <c r="X815" s="85" t="n"/>
      <c r="Y815" s="85" t="n"/>
      <c r="Z815" s="85" t="n"/>
    </row>
    <row r="816" ht="15.75" customHeight="1" s="86">
      <c r="T816" s="85" t="n"/>
      <c r="U816" s="85" t="n"/>
      <c r="V816" s="85" t="n"/>
      <c r="W816" s="85" t="n"/>
      <c r="X816" s="85" t="n"/>
      <c r="Y816" s="85" t="n"/>
      <c r="Z816" s="85" t="n"/>
    </row>
    <row r="817" ht="15.75" customHeight="1" s="86">
      <c r="T817" s="85" t="n"/>
      <c r="U817" s="85" t="n"/>
      <c r="V817" s="85" t="n"/>
      <c r="W817" s="85" t="n"/>
      <c r="X817" s="85" t="n"/>
      <c r="Y817" s="85" t="n"/>
      <c r="Z817" s="85" t="n"/>
    </row>
    <row r="818" ht="15.75" customHeight="1" s="86">
      <c r="T818" s="85" t="n"/>
      <c r="U818" s="85" t="n"/>
      <c r="V818" s="85" t="n"/>
      <c r="W818" s="85" t="n"/>
      <c r="X818" s="85" t="n"/>
      <c r="Y818" s="85" t="n"/>
      <c r="Z818" s="85" t="n"/>
    </row>
    <row r="819" ht="15.75" customHeight="1" s="86">
      <c r="T819" s="85" t="n"/>
      <c r="U819" s="85" t="n"/>
      <c r="V819" s="85" t="n"/>
      <c r="W819" s="85" t="n"/>
      <c r="X819" s="85" t="n"/>
      <c r="Y819" s="85" t="n"/>
      <c r="Z819" s="85" t="n"/>
    </row>
    <row r="820" ht="15.75" customHeight="1" s="86">
      <c r="T820" s="85" t="n"/>
      <c r="U820" s="85" t="n"/>
      <c r="V820" s="85" t="n"/>
      <c r="W820" s="85" t="n"/>
      <c r="X820" s="85" t="n"/>
      <c r="Y820" s="85" t="n"/>
      <c r="Z820" s="85" t="n"/>
    </row>
    <row r="821" ht="15.75" customHeight="1" s="86">
      <c r="T821" s="85" t="n"/>
      <c r="U821" s="85" t="n"/>
      <c r="V821" s="85" t="n"/>
      <c r="W821" s="85" t="n"/>
      <c r="X821" s="85" t="n"/>
      <c r="Y821" s="85" t="n"/>
      <c r="Z821" s="85" t="n"/>
    </row>
    <row r="822" ht="15.75" customHeight="1" s="86">
      <c r="T822" s="85" t="n"/>
      <c r="U822" s="85" t="n"/>
      <c r="V822" s="85" t="n"/>
      <c r="W822" s="85" t="n"/>
      <c r="X822" s="85" t="n"/>
      <c r="Y822" s="85" t="n"/>
      <c r="Z822" s="85" t="n"/>
    </row>
    <row r="823" ht="15.75" customHeight="1" s="86">
      <c r="T823" s="85" t="n"/>
      <c r="U823" s="85" t="n"/>
      <c r="V823" s="85" t="n"/>
      <c r="W823" s="85" t="n"/>
      <c r="X823" s="85" t="n"/>
      <c r="Y823" s="85" t="n"/>
      <c r="Z823" s="85" t="n"/>
    </row>
    <row r="824" ht="15.75" customHeight="1" s="86">
      <c r="T824" s="85" t="n"/>
      <c r="U824" s="85" t="n"/>
      <c r="V824" s="85" t="n"/>
      <c r="W824" s="85" t="n"/>
      <c r="X824" s="85" t="n"/>
      <c r="Y824" s="85" t="n"/>
      <c r="Z824" s="85" t="n"/>
    </row>
    <row r="825" ht="15.75" customHeight="1" s="86">
      <c r="T825" s="85" t="n"/>
      <c r="U825" s="85" t="n"/>
      <c r="V825" s="85" t="n"/>
      <c r="W825" s="85" t="n"/>
      <c r="X825" s="85" t="n"/>
      <c r="Y825" s="85" t="n"/>
      <c r="Z825" s="85" t="n"/>
    </row>
    <row r="826" ht="15.75" customHeight="1" s="86">
      <c r="T826" s="85" t="n"/>
      <c r="U826" s="85" t="n"/>
      <c r="V826" s="85" t="n"/>
      <c r="W826" s="85" t="n"/>
      <c r="X826" s="85" t="n"/>
      <c r="Y826" s="85" t="n"/>
      <c r="Z826" s="85" t="n"/>
    </row>
    <row r="827" ht="15.75" customHeight="1" s="86">
      <c r="T827" s="85" t="n"/>
      <c r="U827" s="85" t="n"/>
      <c r="V827" s="85" t="n"/>
      <c r="W827" s="85" t="n"/>
      <c r="X827" s="85" t="n"/>
      <c r="Y827" s="85" t="n"/>
      <c r="Z827" s="85" t="n"/>
    </row>
    <row r="828" ht="15.75" customHeight="1" s="86">
      <c r="T828" s="85" t="n"/>
      <c r="U828" s="85" t="n"/>
      <c r="V828" s="85" t="n"/>
      <c r="W828" s="85" t="n"/>
      <c r="X828" s="85" t="n"/>
      <c r="Y828" s="85" t="n"/>
      <c r="Z828" s="85" t="n"/>
    </row>
    <row r="829" ht="15.75" customHeight="1" s="86">
      <c r="T829" s="85" t="n"/>
      <c r="U829" s="85" t="n"/>
      <c r="V829" s="85" t="n"/>
      <c r="W829" s="85" t="n"/>
      <c r="X829" s="85" t="n"/>
      <c r="Y829" s="85" t="n"/>
      <c r="Z829" s="85" t="n"/>
    </row>
    <row r="830" ht="15.75" customHeight="1" s="86">
      <c r="T830" s="85" t="n"/>
      <c r="U830" s="85" t="n"/>
      <c r="V830" s="85" t="n"/>
      <c r="W830" s="85" t="n"/>
      <c r="X830" s="85" t="n"/>
      <c r="Y830" s="85" t="n"/>
      <c r="Z830" s="85" t="n"/>
    </row>
    <row r="831" ht="15.75" customHeight="1" s="86">
      <c r="T831" s="85" t="n"/>
      <c r="U831" s="85" t="n"/>
      <c r="V831" s="85" t="n"/>
      <c r="W831" s="85" t="n"/>
      <c r="X831" s="85" t="n"/>
      <c r="Y831" s="85" t="n"/>
      <c r="Z831" s="85" t="n"/>
    </row>
    <row r="832" ht="15.75" customHeight="1" s="86">
      <c r="T832" s="85" t="n"/>
      <c r="U832" s="85" t="n"/>
      <c r="V832" s="85" t="n"/>
      <c r="W832" s="85" t="n"/>
      <c r="X832" s="85" t="n"/>
      <c r="Y832" s="85" t="n"/>
      <c r="Z832" s="85" t="n"/>
    </row>
    <row r="833" ht="15.75" customHeight="1" s="86">
      <c r="T833" s="85" t="n"/>
      <c r="U833" s="85" t="n"/>
      <c r="V833" s="85" t="n"/>
      <c r="W833" s="85" t="n"/>
      <c r="X833" s="85" t="n"/>
      <c r="Y833" s="85" t="n"/>
      <c r="Z833" s="85" t="n"/>
    </row>
    <row r="834" ht="15.75" customHeight="1" s="86">
      <c r="T834" s="85" t="n"/>
      <c r="U834" s="85" t="n"/>
      <c r="V834" s="85" t="n"/>
      <c r="W834" s="85" t="n"/>
      <c r="X834" s="85" t="n"/>
      <c r="Y834" s="85" t="n"/>
      <c r="Z834" s="85" t="n"/>
    </row>
    <row r="835" ht="15.75" customHeight="1" s="86">
      <c r="T835" s="85" t="n"/>
      <c r="U835" s="85" t="n"/>
      <c r="V835" s="85" t="n"/>
      <c r="W835" s="85" t="n"/>
      <c r="X835" s="85" t="n"/>
      <c r="Y835" s="85" t="n"/>
      <c r="Z835" s="85" t="n"/>
    </row>
    <row r="836" ht="15.75" customHeight="1" s="86">
      <c r="T836" s="85" t="n"/>
      <c r="U836" s="85" t="n"/>
      <c r="V836" s="85" t="n"/>
      <c r="W836" s="85" t="n"/>
      <c r="X836" s="85" t="n"/>
      <c r="Y836" s="85" t="n"/>
      <c r="Z836" s="85" t="n"/>
    </row>
    <row r="837" ht="15.75" customHeight="1" s="86">
      <c r="T837" s="85" t="n"/>
      <c r="U837" s="85" t="n"/>
      <c r="V837" s="85" t="n"/>
      <c r="W837" s="85" t="n"/>
      <c r="X837" s="85" t="n"/>
      <c r="Y837" s="85" t="n"/>
      <c r="Z837" s="85" t="n"/>
    </row>
    <row r="838" ht="15.75" customHeight="1" s="86">
      <c r="T838" s="85" t="n"/>
      <c r="U838" s="85" t="n"/>
      <c r="V838" s="85" t="n"/>
      <c r="W838" s="85" t="n"/>
      <c r="X838" s="85" t="n"/>
      <c r="Y838" s="85" t="n"/>
      <c r="Z838" s="85" t="n"/>
    </row>
    <row r="839" ht="15.75" customHeight="1" s="86">
      <c r="T839" s="85" t="n"/>
      <c r="U839" s="85" t="n"/>
      <c r="V839" s="85" t="n"/>
      <c r="W839" s="85" t="n"/>
      <c r="X839" s="85" t="n"/>
      <c r="Y839" s="85" t="n"/>
      <c r="Z839" s="85" t="n"/>
    </row>
    <row r="840" ht="15.75" customHeight="1" s="86">
      <c r="T840" s="85" t="n"/>
      <c r="U840" s="85" t="n"/>
      <c r="V840" s="85" t="n"/>
      <c r="W840" s="85" t="n"/>
      <c r="X840" s="85" t="n"/>
      <c r="Y840" s="85" t="n"/>
      <c r="Z840" s="85" t="n"/>
    </row>
    <row r="841" ht="15.75" customHeight="1" s="86">
      <c r="T841" s="85" t="n"/>
      <c r="U841" s="85" t="n"/>
      <c r="V841" s="85" t="n"/>
      <c r="W841" s="85" t="n"/>
      <c r="X841" s="85" t="n"/>
      <c r="Y841" s="85" t="n"/>
      <c r="Z841" s="85" t="n"/>
    </row>
    <row r="842" ht="15.75" customHeight="1" s="86">
      <c r="T842" s="85" t="n"/>
      <c r="U842" s="85" t="n"/>
      <c r="V842" s="85" t="n"/>
      <c r="W842" s="85" t="n"/>
      <c r="X842" s="85" t="n"/>
      <c r="Y842" s="85" t="n"/>
      <c r="Z842" s="85" t="n"/>
    </row>
    <row r="843" ht="15.75" customHeight="1" s="86">
      <c r="T843" s="85" t="n"/>
      <c r="U843" s="85" t="n"/>
      <c r="V843" s="85" t="n"/>
      <c r="W843" s="85" t="n"/>
      <c r="X843" s="85" t="n"/>
      <c r="Y843" s="85" t="n"/>
      <c r="Z843" s="85" t="n"/>
    </row>
    <row r="844" ht="15.75" customHeight="1" s="86">
      <c r="T844" s="85" t="n"/>
      <c r="U844" s="85" t="n"/>
      <c r="V844" s="85" t="n"/>
      <c r="W844" s="85" t="n"/>
      <c r="X844" s="85" t="n"/>
      <c r="Y844" s="85" t="n"/>
      <c r="Z844" s="85" t="n"/>
    </row>
    <row r="845" ht="15.75" customHeight="1" s="86">
      <c r="T845" s="85" t="n"/>
      <c r="U845" s="85" t="n"/>
      <c r="V845" s="85" t="n"/>
      <c r="W845" s="85" t="n"/>
      <c r="X845" s="85" t="n"/>
      <c r="Y845" s="85" t="n"/>
      <c r="Z845" s="85" t="n"/>
    </row>
    <row r="846" ht="15.75" customHeight="1" s="86">
      <c r="T846" s="85" t="n"/>
      <c r="U846" s="85" t="n"/>
      <c r="V846" s="85" t="n"/>
      <c r="W846" s="85" t="n"/>
      <c r="X846" s="85" t="n"/>
      <c r="Y846" s="85" t="n"/>
      <c r="Z846" s="85" t="n"/>
    </row>
    <row r="847" ht="15.75" customHeight="1" s="86">
      <c r="T847" s="85" t="n"/>
      <c r="U847" s="85" t="n"/>
      <c r="V847" s="85" t="n"/>
      <c r="W847" s="85" t="n"/>
      <c r="X847" s="85" t="n"/>
      <c r="Y847" s="85" t="n"/>
      <c r="Z847" s="85" t="n"/>
    </row>
    <row r="848" ht="15.75" customHeight="1" s="86">
      <c r="T848" s="85" t="n"/>
      <c r="U848" s="85" t="n"/>
      <c r="V848" s="85" t="n"/>
      <c r="W848" s="85" t="n"/>
      <c r="X848" s="85" t="n"/>
      <c r="Y848" s="85" t="n"/>
      <c r="Z848" s="85" t="n"/>
    </row>
    <row r="849" ht="15.75" customHeight="1" s="86">
      <c r="T849" s="85" t="n"/>
      <c r="U849" s="85" t="n"/>
      <c r="V849" s="85" t="n"/>
      <c r="W849" s="85" t="n"/>
      <c r="X849" s="85" t="n"/>
      <c r="Y849" s="85" t="n"/>
      <c r="Z849" s="85" t="n"/>
    </row>
    <row r="850" ht="15.75" customHeight="1" s="86">
      <c r="T850" s="85" t="n"/>
      <c r="U850" s="85" t="n"/>
      <c r="V850" s="85" t="n"/>
      <c r="W850" s="85" t="n"/>
      <c r="X850" s="85" t="n"/>
      <c r="Y850" s="85" t="n"/>
      <c r="Z850" s="85" t="n"/>
    </row>
    <row r="851" ht="15.75" customHeight="1" s="86">
      <c r="T851" s="85" t="n"/>
      <c r="U851" s="85" t="n"/>
      <c r="V851" s="85" t="n"/>
      <c r="W851" s="85" t="n"/>
      <c r="X851" s="85" t="n"/>
      <c r="Y851" s="85" t="n"/>
      <c r="Z851" s="85" t="n"/>
    </row>
    <row r="852" ht="15.75" customHeight="1" s="86">
      <c r="T852" s="85" t="n"/>
      <c r="U852" s="85" t="n"/>
      <c r="V852" s="85" t="n"/>
      <c r="W852" s="85" t="n"/>
      <c r="X852" s="85" t="n"/>
      <c r="Y852" s="85" t="n"/>
      <c r="Z852" s="85" t="n"/>
    </row>
    <row r="853" ht="15.75" customHeight="1" s="86">
      <c r="T853" s="85" t="n"/>
      <c r="U853" s="85" t="n"/>
      <c r="V853" s="85" t="n"/>
      <c r="W853" s="85" t="n"/>
      <c r="X853" s="85" t="n"/>
      <c r="Y853" s="85" t="n"/>
      <c r="Z853" s="85" t="n"/>
    </row>
    <row r="854" ht="15.75" customHeight="1" s="86">
      <c r="T854" s="85" t="n"/>
      <c r="U854" s="85" t="n"/>
      <c r="V854" s="85" t="n"/>
      <c r="W854" s="85" t="n"/>
      <c r="X854" s="85" t="n"/>
      <c r="Y854" s="85" t="n"/>
      <c r="Z854" s="85" t="n"/>
    </row>
    <row r="855" ht="15.75" customHeight="1" s="86">
      <c r="T855" s="85" t="n"/>
      <c r="U855" s="85" t="n"/>
      <c r="V855" s="85" t="n"/>
      <c r="W855" s="85" t="n"/>
      <c r="X855" s="85" t="n"/>
      <c r="Y855" s="85" t="n"/>
      <c r="Z855" s="85" t="n"/>
    </row>
    <row r="856" ht="15.75" customHeight="1" s="86">
      <c r="T856" s="85" t="n"/>
      <c r="U856" s="85" t="n"/>
      <c r="V856" s="85" t="n"/>
      <c r="W856" s="85" t="n"/>
      <c r="X856" s="85" t="n"/>
      <c r="Y856" s="85" t="n"/>
      <c r="Z856" s="85" t="n"/>
    </row>
    <row r="857" ht="15.75" customHeight="1" s="86">
      <c r="T857" s="85" t="n"/>
      <c r="U857" s="85" t="n"/>
      <c r="V857" s="85" t="n"/>
      <c r="W857" s="85" t="n"/>
      <c r="X857" s="85" t="n"/>
      <c r="Y857" s="85" t="n"/>
      <c r="Z857" s="85" t="n"/>
    </row>
    <row r="858" ht="15.75" customHeight="1" s="86">
      <c r="T858" s="85" t="n"/>
      <c r="U858" s="85" t="n"/>
      <c r="V858" s="85" t="n"/>
      <c r="W858" s="85" t="n"/>
      <c r="X858" s="85" t="n"/>
      <c r="Y858" s="85" t="n"/>
      <c r="Z858" s="85" t="n"/>
    </row>
    <row r="859" ht="15.75" customHeight="1" s="86">
      <c r="T859" s="85" t="n"/>
      <c r="U859" s="85" t="n"/>
      <c r="V859" s="85" t="n"/>
      <c r="W859" s="85" t="n"/>
      <c r="X859" s="85" t="n"/>
      <c r="Y859" s="85" t="n"/>
      <c r="Z859" s="85" t="n"/>
    </row>
    <row r="860" ht="15.75" customHeight="1" s="86">
      <c r="T860" s="85" t="n"/>
      <c r="U860" s="85" t="n"/>
      <c r="V860" s="85" t="n"/>
      <c r="W860" s="85" t="n"/>
      <c r="X860" s="85" t="n"/>
      <c r="Y860" s="85" t="n"/>
      <c r="Z860" s="85" t="n"/>
    </row>
    <row r="861" ht="15.75" customHeight="1" s="86">
      <c r="T861" s="85" t="n"/>
      <c r="U861" s="85" t="n"/>
      <c r="V861" s="85" t="n"/>
      <c r="W861" s="85" t="n"/>
      <c r="X861" s="85" t="n"/>
      <c r="Y861" s="85" t="n"/>
      <c r="Z861" s="85" t="n"/>
    </row>
    <row r="862" ht="15.75" customHeight="1" s="86">
      <c r="T862" s="85" t="n"/>
      <c r="U862" s="85" t="n"/>
      <c r="V862" s="85" t="n"/>
      <c r="W862" s="85" t="n"/>
      <c r="X862" s="85" t="n"/>
      <c r="Y862" s="85" t="n"/>
      <c r="Z862" s="85" t="n"/>
    </row>
    <row r="863" ht="15.75" customHeight="1" s="86">
      <c r="T863" s="85" t="n"/>
      <c r="U863" s="85" t="n"/>
      <c r="V863" s="85" t="n"/>
      <c r="W863" s="85" t="n"/>
      <c r="X863" s="85" t="n"/>
      <c r="Y863" s="85" t="n"/>
      <c r="Z863" s="85" t="n"/>
    </row>
    <row r="864" ht="15.75" customHeight="1" s="86">
      <c r="T864" s="85" t="n"/>
      <c r="U864" s="85" t="n"/>
      <c r="V864" s="85" t="n"/>
      <c r="W864" s="85" t="n"/>
      <c r="X864" s="85" t="n"/>
      <c r="Y864" s="85" t="n"/>
      <c r="Z864" s="85" t="n"/>
    </row>
    <row r="865" ht="15.75" customHeight="1" s="86">
      <c r="T865" s="85" t="n"/>
      <c r="U865" s="85" t="n"/>
      <c r="V865" s="85" t="n"/>
      <c r="W865" s="85" t="n"/>
      <c r="X865" s="85" t="n"/>
      <c r="Y865" s="85" t="n"/>
      <c r="Z865" s="85" t="n"/>
    </row>
    <row r="866" ht="15.75" customHeight="1" s="86">
      <c r="T866" s="85" t="n"/>
      <c r="U866" s="85" t="n"/>
      <c r="V866" s="85" t="n"/>
      <c r="W866" s="85" t="n"/>
      <c r="X866" s="85" t="n"/>
      <c r="Y866" s="85" t="n"/>
      <c r="Z866" s="85" t="n"/>
    </row>
    <row r="867" ht="15.75" customHeight="1" s="86">
      <c r="T867" s="85" t="n"/>
      <c r="U867" s="85" t="n"/>
      <c r="V867" s="85" t="n"/>
      <c r="W867" s="85" t="n"/>
      <c r="X867" s="85" t="n"/>
      <c r="Y867" s="85" t="n"/>
      <c r="Z867" s="85" t="n"/>
    </row>
    <row r="868" ht="15.75" customHeight="1" s="86">
      <c r="T868" s="85" t="n"/>
      <c r="U868" s="85" t="n"/>
      <c r="V868" s="85" t="n"/>
      <c r="W868" s="85" t="n"/>
      <c r="X868" s="85" t="n"/>
      <c r="Y868" s="85" t="n"/>
      <c r="Z868" s="85" t="n"/>
    </row>
    <row r="869" ht="15.75" customHeight="1" s="86">
      <c r="T869" s="85" t="n"/>
      <c r="U869" s="85" t="n"/>
      <c r="V869" s="85" t="n"/>
      <c r="W869" s="85" t="n"/>
      <c r="X869" s="85" t="n"/>
      <c r="Y869" s="85" t="n"/>
      <c r="Z869" s="85" t="n"/>
    </row>
    <row r="870" ht="15.75" customHeight="1" s="86">
      <c r="T870" s="85" t="n"/>
      <c r="U870" s="85" t="n"/>
      <c r="V870" s="85" t="n"/>
      <c r="W870" s="85" t="n"/>
      <c r="X870" s="85" t="n"/>
      <c r="Y870" s="85" t="n"/>
      <c r="Z870" s="85" t="n"/>
    </row>
    <row r="871" ht="15.75" customHeight="1" s="86">
      <c r="T871" s="85" t="n"/>
      <c r="U871" s="85" t="n"/>
      <c r="V871" s="85" t="n"/>
      <c r="W871" s="85" t="n"/>
      <c r="X871" s="85" t="n"/>
      <c r="Y871" s="85" t="n"/>
      <c r="Z871" s="85" t="n"/>
    </row>
    <row r="872" ht="15.75" customHeight="1" s="86">
      <c r="T872" s="85" t="n"/>
      <c r="U872" s="85" t="n"/>
      <c r="V872" s="85" t="n"/>
      <c r="W872" s="85" t="n"/>
      <c r="X872" s="85" t="n"/>
      <c r="Y872" s="85" t="n"/>
      <c r="Z872" s="85" t="n"/>
    </row>
    <row r="873" ht="15.75" customHeight="1" s="86">
      <c r="T873" s="85" t="n"/>
      <c r="U873" s="85" t="n"/>
      <c r="V873" s="85" t="n"/>
      <c r="W873" s="85" t="n"/>
      <c r="X873" s="85" t="n"/>
      <c r="Y873" s="85" t="n"/>
      <c r="Z873" s="85" t="n"/>
    </row>
    <row r="874" ht="15.75" customHeight="1" s="86">
      <c r="T874" s="85" t="n"/>
      <c r="U874" s="85" t="n"/>
      <c r="V874" s="85" t="n"/>
      <c r="W874" s="85" t="n"/>
      <c r="X874" s="85" t="n"/>
      <c r="Y874" s="85" t="n"/>
      <c r="Z874" s="85" t="n"/>
    </row>
    <row r="875" ht="15.75" customHeight="1" s="86">
      <c r="T875" s="85" t="n"/>
      <c r="U875" s="85" t="n"/>
      <c r="V875" s="85" t="n"/>
      <c r="W875" s="85" t="n"/>
      <c r="X875" s="85" t="n"/>
      <c r="Y875" s="85" t="n"/>
      <c r="Z875" s="85" t="n"/>
    </row>
    <row r="876" ht="15.75" customHeight="1" s="86">
      <c r="T876" s="85" t="n"/>
      <c r="U876" s="85" t="n"/>
      <c r="V876" s="85" t="n"/>
      <c r="W876" s="85" t="n"/>
      <c r="X876" s="85" t="n"/>
      <c r="Y876" s="85" t="n"/>
      <c r="Z876" s="85" t="n"/>
    </row>
    <row r="877" ht="15.75" customHeight="1" s="86">
      <c r="T877" s="85" t="n"/>
      <c r="U877" s="85" t="n"/>
      <c r="V877" s="85" t="n"/>
      <c r="W877" s="85" t="n"/>
      <c r="X877" s="85" t="n"/>
      <c r="Y877" s="85" t="n"/>
      <c r="Z877" s="85" t="n"/>
    </row>
    <row r="878" ht="15.75" customHeight="1" s="86">
      <c r="T878" s="85" t="n"/>
      <c r="U878" s="85" t="n"/>
      <c r="V878" s="85" t="n"/>
      <c r="W878" s="85" t="n"/>
      <c r="X878" s="85" t="n"/>
      <c r="Y878" s="85" t="n"/>
      <c r="Z878" s="85" t="n"/>
    </row>
    <row r="879" ht="15.75" customHeight="1" s="86">
      <c r="T879" s="85" t="n"/>
      <c r="U879" s="85" t="n"/>
      <c r="V879" s="85" t="n"/>
      <c r="W879" s="85" t="n"/>
      <c r="X879" s="85" t="n"/>
      <c r="Y879" s="85" t="n"/>
      <c r="Z879" s="85" t="n"/>
    </row>
    <row r="880" ht="15.75" customHeight="1" s="86">
      <c r="T880" s="85" t="n"/>
      <c r="U880" s="85" t="n"/>
      <c r="V880" s="85" t="n"/>
      <c r="W880" s="85" t="n"/>
      <c r="X880" s="85" t="n"/>
      <c r="Y880" s="85" t="n"/>
      <c r="Z880" s="85" t="n"/>
    </row>
    <row r="881" ht="15.75" customHeight="1" s="86">
      <c r="T881" s="85" t="n"/>
      <c r="U881" s="85" t="n"/>
      <c r="V881" s="85" t="n"/>
      <c r="W881" s="85" t="n"/>
      <c r="X881" s="85" t="n"/>
      <c r="Y881" s="85" t="n"/>
      <c r="Z881" s="85" t="n"/>
    </row>
    <row r="882" ht="15.75" customHeight="1" s="86">
      <c r="T882" s="85" t="n"/>
      <c r="U882" s="85" t="n"/>
      <c r="V882" s="85" t="n"/>
      <c r="W882" s="85" t="n"/>
      <c r="X882" s="85" t="n"/>
      <c r="Y882" s="85" t="n"/>
      <c r="Z882" s="85" t="n"/>
    </row>
    <row r="883" ht="15.75" customHeight="1" s="86">
      <c r="T883" s="85" t="n"/>
      <c r="U883" s="85" t="n"/>
      <c r="V883" s="85" t="n"/>
      <c r="W883" s="85" t="n"/>
      <c r="X883" s="85" t="n"/>
      <c r="Y883" s="85" t="n"/>
      <c r="Z883" s="85" t="n"/>
    </row>
    <row r="884" ht="15.75" customHeight="1" s="86">
      <c r="T884" s="85" t="n"/>
      <c r="U884" s="85" t="n"/>
      <c r="V884" s="85" t="n"/>
      <c r="W884" s="85" t="n"/>
      <c r="X884" s="85" t="n"/>
      <c r="Y884" s="85" t="n"/>
      <c r="Z884" s="85" t="n"/>
    </row>
    <row r="885" ht="15.75" customHeight="1" s="86">
      <c r="T885" s="85" t="n"/>
      <c r="U885" s="85" t="n"/>
      <c r="V885" s="85" t="n"/>
      <c r="W885" s="85" t="n"/>
      <c r="X885" s="85" t="n"/>
      <c r="Y885" s="85" t="n"/>
      <c r="Z885" s="85" t="n"/>
    </row>
    <row r="886" ht="15.75" customHeight="1" s="86">
      <c r="T886" s="85" t="n"/>
      <c r="U886" s="85" t="n"/>
      <c r="V886" s="85" t="n"/>
      <c r="W886" s="85" t="n"/>
      <c r="X886" s="85" t="n"/>
      <c r="Y886" s="85" t="n"/>
      <c r="Z886" s="85" t="n"/>
    </row>
    <row r="887" ht="15.75" customHeight="1" s="86">
      <c r="T887" s="85" t="n"/>
      <c r="U887" s="85" t="n"/>
      <c r="V887" s="85" t="n"/>
      <c r="W887" s="85" t="n"/>
      <c r="X887" s="85" t="n"/>
      <c r="Y887" s="85" t="n"/>
      <c r="Z887" s="85" t="n"/>
    </row>
    <row r="888" ht="15.75" customHeight="1" s="86">
      <c r="T888" s="85" t="n"/>
      <c r="U888" s="85" t="n"/>
      <c r="V888" s="85" t="n"/>
      <c r="W888" s="85" t="n"/>
      <c r="X888" s="85" t="n"/>
      <c r="Y888" s="85" t="n"/>
      <c r="Z888" s="85" t="n"/>
    </row>
    <row r="889" ht="15.75" customHeight="1" s="86">
      <c r="T889" s="85" t="n"/>
      <c r="U889" s="85" t="n"/>
      <c r="V889" s="85" t="n"/>
      <c r="W889" s="85" t="n"/>
      <c r="X889" s="85" t="n"/>
      <c r="Y889" s="85" t="n"/>
      <c r="Z889" s="85" t="n"/>
    </row>
    <row r="890" ht="15.75" customHeight="1" s="86">
      <c r="T890" s="85" t="n"/>
      <c r="U890" s="85" t="n"/>
      <c r="V890" s="85" t="n"/>
      <c r="W890" s="85" t="n"/>
      <c r="X890" s="85" t="n"/>
      <c r="Y890" s="85" t="n"/>
      <c r="Z890" s="85" t="n"/>
    </row>
    <row r="891" ht="15.75" customHeight="1" s="86">
      <c r="T891" s="85" t="n"/>
      <c r="U891" s="85" t="n"/>
      <c r="V891" s="85" t="n"/>
      <c r="W891" s="85" t="n"/>
      <c r="X891" s="85" t="n"/>
      <c r="Y891" s="85" t="n"/>
      <c r="Z891" s="85" t="n"/>
    </row>
    <row r="892" ht="15.75" customHeight="1" s="86">
      <c r="T892" s="85" t="n"/>
      <c r="U892" s="85" t="n"/>
      <c r="V892" s="85" t="n"/>
      <c r="W892" s="85" t="n"/>
      <c r="X892" s="85" t="n"/>
      <c r="Y892" s="85" t="n"/>
      <c r="Z892" s="85" t="n"/>
    </row>
    <row r="893" ht="15.75" customHeight="1" s="86">
      <c r="T893" s="85" t="n"/>
      <c r="U893" s="85" t="n"/>
      <c r="V893" s="85" t="n"/>
      <c r="W893" s="85" t="n"/>
      <c r="X893" s="85" t="n"/>
      <c r="Y893" s="85" t="n"/>
      <c r="Z893" s="85" t="n"/>
    </row>
    <row r="894" ht="15.75" customHeight="1" s="86">
      <c r="T894" s="85" t="n"/>
      <c r="U894" s="85" t="n"/>
      <c r="V894" s="85" t="n"/>
      <c r="W894" s="85" t="n"/>
      <c r="X894" s="85" t="n"/>
      <c r="Y894" s="85" t="n"/>
      <c r="Z894" s="85" t="n"/>
    </row>
    <row r="895" ht="15.75" customHeight="1" s="86">
      <c r="T895" s="85" t="n"/>
      <c r="U895" s="85" t="n"/>
      <c r="V895" s="85" t="n"/>
      <c r="W895" s="85" t="n"/>
      <c r="X895" s="85" t="n"/>
      <c r="Y895" s="85" t="n"/>
      <c r="Z895" s="85" t="n"/>
    </row>
    <row r="896" ht="15.75" customHeight="1" s="86">
      <c r="T896" s="85" t="n"/>
      <c r="U896" s="85" t="n"/>
      <c r="V896" s="85" t="n"/>
      <c r="W896" s="85" t="n"/>
      <c r="X896" s="85" t="n"/>
      <c r="Y896" s="85" t="n"/>
      <c r="Z896" s="85" t="n"/>
    </row>
    <row r="897" ht="15.75" customHeight="1" s="86">
      <c r="T897" s="85" t="n"/>
      <c r="U897" s="85" t="n"/>
      <c r="V897" s="85" t="n"/>
      <c r="W897" s="85" t="n"/>
      <c r="X897" s="85" t="n"/>
      <c r="Y897" s="85" t="n"/>
      <c r="Z897" s="85" t="n"/>
    </row>
    <row r="898" ht="15.75" customHeight="1" s="86">
      <c r="T898" s="85" t="n"/>
      <c r="U898" s="85" t="n"/>
      <c r="V898" s="85" t="n"/>
      <c r="W898" s="85" t="n"/>
      <c r="X898" s="85" t="n"/>
      <c r="Y898" s="85" t="n"/>
      <c r="Z898" s="85" t="n"/>
    </row>
    <row r="899" ht="15.75" customHeight="1" s="86">
      <c r="T899" s="85" t="n"/>
      <c r="U899" s="85" t="n"/>
      <c r="V899" s="85" t="n"/>
      <c r="W899" s="85" t="n"/>
      <c r="X899" s="85" t="n"/>
      <c r="Y899" s="85" t="n"/>
      <c r="Z899" s="85" t="n"/>
    </row>
    <row r="900" ht="15.75" customHeight="1" s="86">
      <c r="T900" s="85" t="n"/>
      <c r="U900" s="85" t="n"/>
      <c r="V900" s="85" t="n"/>
      <c r="W900" s="85" t="n"/>
      <c r="X900" s="85" t="n"/>
      <c r="Y900" s="85" t="n"/>
      <c r="Z900" s="85" t="n"/>
    </row>
    <row r="901" ht="15.75" customHeight="1" s="86">
      <c r="T901" s="85" t="n"/>
      <c r="U901" s="85" t="n"/>
      <c r="V901" s="85" t="n"/>
      <c r="W901" s="85" t="n"/>
      <c r="X901" s="85" t="n"/>
      <c r="Y901" s="85" t="n"/>
      <c r="Z901" s="85" t="n"/>
    </row>
    <row r="902" ht="15.75" customHeight="1" s="86">
      <c r="T902" s="85" t="n"/>
      <c r="U902" s="85" t="n"/>
      <c r="V902" s="85" t="n"/>
      <c r="W902" s="85" t="n"/>
      <c r="X902" s="85" t="n"/>
      <c r="Y902" s="85" t="n"/>
      <c r="Z902" s="85" t="n"/>
    </row>
    <row r="903" ht="15.75" customHeight="1" s="86">
      <c r="T903" s="85" t="n"/>
      <c r="U903" s="85" t="n"/>
      <c r="V903" s="85" t="n"/>
      <c r="W903" s="85" t="n"/>
      <c r="X903" s="85" t="n"/>
      <c r="Y903" s="85" t="n"/>
      <c r="Z903" s="85" t="n"/>
    </row>
    <row r="904" ht="15.75" customHeight="1" s="86">
      <c r="T904" s="85" t="n"/>
      <c r="U904" s="85" t="n"/>
      <c r="V904" s="85" t="n"/>
      <c r="W904" s="85" t="n"/>
      <c r="X904" s="85" t="n"/>
      <c r="Y904" s="85" t="n"/>
      <c r="Z904" s="85" t="n"/>
    </row>
    <row r="905" ht="15.75" customHeight="1" s="86">
      <c r="T905" s="85" t="n"/>
      <c r="U905" s="85" t="n"/>
      <c r="V905" s="85" t="n"/>
      <c r="W905" s="85" t="n"/>
      <c r="X905" s="85" t="n"/>
      <c r="Y905" s="85" t="n"/>
      <c r="Z905" s="85" t="n"/>
    </row>
    <row r="906" ht="15.75" customHeight="1" s="86">
      <c r="T906" s="85" t="n"/>
      <c r="U906" s="85" t="n"/>
      <c r="V906" s="85" t="n"/>
      <c r="W906" s="85" t="n"/>
      <c r="X906" s="85" t="n"/>
      <c r="Y906" s="85" t="n"/>
      <c r="Z906" s="85" t="n"/>
    </row>
    <row r="907" ht="15.75" customHeight="1" s="86">
      <c r="T907" s="85" t="n"/>
      <c r="U907" s="85" t="n"/>
      <c r="V907" s="85" t="n"/>
      <c r="W907" s="85" t="n"/>
      <c r="X907" s="85" t="n"/>
      <c r="Y907" s="85" t="n"/>
      <c r="Z907" s="85" t="n"/>
    </row>
    <row r="908" ht="15.75" customHeight="1" s="86">
      <c r="T908" s="85" t="n"/>
      <c r="U908" s="85" t="n"/>
      <c r="V908" s="85" t="n"/>
      <c r="W908" s="85" t="n"/>
      <c r="X908" s="85" t="n"/>
      <c r="Y908" s="85" t="n"/>
      <c r="Z908" s="85" t="n"/>
    </row>
    <row r="909" ht="15.75" customHeight="1" s="86">
      <c r="T909" s="85" t="n"/>
      <c r="U909" s="85" t="n"/>
      <c r="V909" s="85" t="n"/>
      <c r="W909" s="85" t="n"/>
      <c r="X909" s="85" t="n"/>
      <c r="Y909" s="85" t="n"/>
      <c r="Z909" s="85" t="n"/>
    </row>
    <row r="910" ht="15.75" customHeight="1" s="86">
      <c r="T910" s="85" t="n"/>
      <c r="U910" s="85" t="n"/>
      <c r="V910" s="85" t="n"/>
      <c r="W910" s="85" t="n"/>
      <c r="X910" s="85" t="n"/>
      <c r="Y910" s="85" t="n"/>
      <c r="Z910" s="85" t="n"/>
    </row>
    <row r="911" ht="15.75" customHeight="1" s="86">
      <c r="T911" s="85" t="n"/>
      <c r="U911" s="85" t="n"/>
      <c r="V911" s="85" t="n"/>
      <c r="W911" s="85" t="n"/>
      <c r="X911" s="85" t="n"/>
      <c r="Y911" s="85" t="n"/>
      <c r="Z911" s="85" t="n"/>
    </row>
    <row r="912" ht="15.75" customHeight="1" s="86">
      <c r="T912" s="85" t="n"/>
      <c r="U912" s="85" t="n"/>
      <c r="V912" s="85" t="n"/>
      <c r="W912" s="85" t="n"/>
      <c r="X912" s="85" t="n"/>
      <c r="Y912" s="85" t="n"/>
      <c r="Z912" s="85" t="n"/>
    </row>
    <row r="913" ht="15.75" customHeight="1" s="86">
      <c r="T913" s="85" t="n"/>
      <c r="U913" s="85" t="n"/>
      <c r="V913" s="85" t="n"/>
      <c r="W913" s="85" t="n"/>
      <c r="X913" s="85" t="n"/>
      <c r="Y913" s="85" t="n"/>
      <c r="Z913" s="85" t="n"/>
    </row>
    <row r="914" ht="15.75" customHeight="1" s="86">
      <c r="T914" s="85" t="n"/>
      <c r="U914" s="85" t="n"/>
      <c r="V914" s="85" t="n"/>
      <c r="W914" s="85" t="n"/>
      <c r="X914" s="85" t="n"/>
      <c r="Y914" s="85" t="n"/>
      <c r="Z914" s="85" t="n"/>
    </row>
    <row r="915" ht="15.75" customHeight="1" s="86">
      <c r="T915" s="85" t="n"/>
      <c r="U915" s="85" t="n"/>
      <c r="V915" s="85" t="n"/>
      <c r="W915" s="85" t="n"/>
      <c r="X915" s="85" t="n"/>
      <c r="Y915" s="85" t="n"/>
      <c r="Z915" s="85" t="n"/>
    </row>
    <row r="916" ht="15.75" customHeight="1" s="86">
      <c r="T916" s="85" t="n"/>
      <c r="U916" s="85" t="n"/>
      <c r="V916" s="85" t="n"/>
      <c r="W916" s="85" t="n"/>
      <c r="X916" s="85" t="n"/>
      <c r="Y916" s="85" t="n"/>
      <c r="Z916" s="85" t="n"/>
    </row>
    <row r="917" ht="15.75" customHeight="1" s="86">
      <c r="T917" s="85" t="n"/>
      <c r="U917" s="85" t="n"/>
      <c r="V917" s="85" t="n"/>
      <c r="W917" s="85" t="n"/>
      <c r="X917" s="85" t="n"/>
      <c r="Y917" s="85" t="n"/>
      <c r="Z917" s="85" t="n"/>
    </row>
    <row r="918" ht="15.75" customHeight="1" s="86">
      <c r="T918" s="85" t="n"/>
      <c r="U918" s="85" t="n"/>
      <c r="V918" s="85" t="n"/>
      <c r="W918" s="85" t="n"/>
      <c r="X918" s="85" t="n"/>
      <c r="Y918" s="85" t="n"/>
      <c r="Z918" s="85" t="n"/>
    </row>
    <row r="919" ht="15.75" customHeight="1" s="86">
      <c r="T919" s="85" t="n"/>
      <c r="U919" s="85" t="n"/>
      <c r="V919" s="85" t="n"/>
      <c r="W919" s="85" t="n"/>
      <c r="X919" s="85" t="n"/>
      <c r="Y919" s="85" t="n"/>
      <c r="Z919" s="85" t="n"/>
    </row>
    <row r="920" ht="15.75" customHeight="1" s="86">
      <c r="T920" s="85" t="n"/>
      <c r="U920" s="85" t="n"/>
      <c r="V920" s="85" t="n"/>
      <c r="W920" s="85" t="n"/>
      <c r="X920" s="85" t="n"/>
      <c r="Y920" s="85" t="n"/>
      <c r="Z920" s="85" t="n"/>
    </row>
    <row r="921" ht="15.75" customHeight="1" s="86">
      <c r="T921" s="85" t="n"/>
      <c r="U921" s="85" t="n"/>
      <c r="V921" s="85" t="n"/>
      <c r="W921" s="85" t="n"/>
      <c r="X921" s="85" t="n"/>
      <c r="Y921" s="85" t="n"/>
      <c r="Z921" s="85" t="n"/>
    </row>
    <row r="922" ht="15.75" customHeight="1" s="86">
      <c r="T922" s="85" t="n"/>
      <c r="U922" s="85" t="n"/>
      <c r="V922" s="85" t="n"/>
      <c r="W922" s="85" t="n"/>
      <c r="X922" s="85" t="n"/>
      <c r="Y922" s="85" t="n"/>
      <c r="Z922" s="85" t="n"/>
    </row>
    <row r="923" ht="15.75" customHeight="1" s="86">
      <c r="T923" s="85" t="n"/>
      <c r="U923" s="85" t="n"/>
      <c r="V923" s="85" t="n"/>
      <c r="W923" s="85" t="n"/>
      <c r="X923" s="85" t="n"/>
      <c r="Y923" s="85" t="n"/>
      <c r="Z923" s="85" t="n"/>
    </row>
    <row r="924" ht="15.75" customHeight="1" s="86">
      <c r="T924" s="85" t="n"/>
      <c r="U924" s="85" t="n"/>
      <c r="V924" s="85" t="n"/>
      <c r="W924" s="85" t="n"/>
      <c r="X924" s="85" t="n"/>
      <c r="Y924" s="85" t="n"/>
      <c r="Z924" s="85" t="n"/>
    </row>
    <row r="925" ht="15.75" customHeight="1" s="86">
      <c r="T925" s="85" t="n"/>
      <c r="U925" s="85" t="n"/>
      <c r="V925" s="85" t="n"/>
      <c r="W925" s="85" t="n"/>
      <c r="X925" s="85" t="n"/>
      <c r="Y925" s="85" t="n"/>
      <c r="Z925" s="85" t="n"/>
    </row>
    <row r="926" ht="15.75" customHeight="1" s="86">
      <c r="T926" s="85" t="n"/>
      <c r="U926" s="85" t="n"/>
      <c r="V926" s="85" t="n"/>
      <c r="W926" s="85" t="n"/>
      <c r="X926" s="85" t="n"/>
      <c r="Y926" s="85" t="n"/>
      <c r="Z926" s="85" t="n"/>
    </row>
    <row r="927" ht="15.75" customHeight="1" s="86">
      <c r="T927" s="85" t="n"/>
      <c r="U927" s="85" t="n"/>
      <c r="V927" s="85" t="n"/>
      <c r="W927" s="85" t="n"/>
      <c r="X927" s="85" t="n"/>
      <c r="Y927" s="85" t="n"/>
      <c r="Z927" s="85" t="n"/>
    </row>
    <row r="928" ht="15.75" customHeight="1" s="86">
      <c r="T928" s="85" t="n"/>
      <c r="U928" s="85" t="n"/>
      <c r="V928" s="85" t="n"/>
      <c r="W928" s="85" t="n"/>
      <c r="X928" s="85" t="n"/>
      <c r="Y928" s="85" t="n"/>
      <c r="Z928" s="85" t="n"/>
    </row>
    <row r="929" ht="15.75" customHeight="1" s="86">
      <c r="T929" s="85" t="n"/>
      <c r="U929" s="85" t="n"/>
      <c r="V929" s="85" t="n"/>
      <c r="W929" s="85" t="n"/>
      <c r="X929" s="85" t="n"/>
      <c r="Y929" s="85" t="n"/>
      <c r="Z929" s="85" t="n"/>
    </row>
    <row r="930" ht="15.75" customHeight="1" s="86">
      <c r="T930" s="85" t="n"/>
      <c r="U930" s="85" t="n"/>
      <c r="V930" s="85" t="n"/>
      <c r="W930" s="85" t="n"/>
      <c r="X930" s="85" t="n"/>
      <c r="Y930" s="85" t="n"/>
      <c r="Z930" s="85" t="n"/>
    </row>
    <row r="931" ht="15.75" customHeight="1" s="86">
      <c r="T931" s="85" t="n"/>
      <c r="U931" s="85" t="n"/>
      <c r="V931" s="85" t="n"/>
      <c r="W931" s="85" t="n"/>
      <c r="X931" s="85" t="n"/>
      <c r="Y931" s="85" t="n"/>
      <c r="Z931" s="85" t="n"/>
    </row>
    <row r="932" ht="15.75" customHeight="1" s="86">
      <c r="T932" s="85" t="n"/>
      <c r="U932" s="85" t="n"/>
      <c r="V932" s="85" t="n"/>
      <c r="W932" s="85" t="n"/>
      <c r="X932" s="85" t="n"/>
      <c r="Y932" s="85" t="n"/>
      <c r="Z932" s="85" t="n"/>
    </row>
    <row r="933" ht="15.75" customHeight="1" s="86">
      <c r="T933" s="85" t="n"/>
      <c r="U933" s="85" t="n"/>
      <c r="V933" s="85" t="n"/>
      <c r="W933" s="85" t="n"/>
      <c r="X933" s="85" t="n"/>
      <c r="Y933" s="85" t="n"/>
      <c r="Z933" s="85" t="n"/>
    </row>
    <row r="934" ht="15.75" customHeight="1" s="86">
      <c r="T934" s="85" t="n"/>
      <c r="U934" s="85" t="n"/>
      <c r="V934" s="85" t="n"/>
      <c r="W934" s="85" t="n"/>
      <c r="X934" s="85" t="n"/>
      <c r="Y934" s="85" t="n"/>
      <c r="Z934" s="85" t="n"/>
    </row>
    <row r="935" ht="15.75" customHeight="1" s="86">
      <c r="T935" s="85" t="n"/>
      <c r="U935" s="85" t="n"/>
      <c r="V935" s="85" t="n"/>
      <c r="W935" s="85" t="n"/>
      <c r="X935" s="85" t="n"/>
      <c r="Y935" s="85" t="n"/>
      <c r="Z935" s="85" t="n"/>
    </row>
    <row r="936" ht="15.75" customHeight="1" s="86">
      <c r="T936" s="85" t="n"/>
      <c r="U936" s="85" t="n"/>
      <c r="V936" s="85" t="n"/>
      <c r="W936" s="85" t="n"/>
      <c r="X936" s="85" t="n"/>
      <c r="Y936" s="85" t="n"/>
      <c r="Z936" s="85" t="n"/>
    </row>
    <row r="937" ht="15.75" customHeight="1" s="86">
      <c r="T937" s="85" t="n"/>
      <c r="U937" s="85" t="n"/>
      <c r="V937" s="85" t="n"/>
      <c r="W937" s="85" t="n"/>
      <c r="X937" s="85" t="n"/>
      <c r="Y937" s="85" t="n"/>
      <c r="Z937" s="85" t="n"/>
    </row>
    <row r="938" ht="15.75" customHeight="1" s="86">
      <c r="T938" s="85" t="n"/>
      <c r="U938" s="85" t="n"/>
      <c r="V938" s="85" t="n"/>
      <c r="W938" s="85" t="n"/>
      <c r="X938" s="85" t="n"/>
      <c r="Y938" s="85" t="n"/>
      <c r="Z938" s="85" t="n"/>
    </row>
    <row r="939" ht="15.75" customHeight="1" s="86">
      <c r="T939" s="85" t="n"/>
      <c r="U939" s="85" t="n"/>
      <c r="V939" s="85" t="n"/>
      <c r="W939" s="85" t="n"/>
      <c r="X939" s="85" t="n"/>
      <c r="Y939" s="85" t="n"/>
      <c r="Z939" s="85" t="n"/>
    </row>
    <row r="940" ht="15.75" customHeight="1" s="86">
      <c r="T940" s="85" t="n"/>
      <c r="U940" s="85" t="n"/>
      <c r="V940" s="85" t="n"/>
      <c r="W940" s="85" t="n"/>
      <c r="X940" s="85" t="n"/>
      <c r="Y940" s="85" t="n"/>
      <c r="Z940" s="85" t="n"/>
    </row>
    <row r="941" ht="15.75" customHeight="1" s="86">
      <c r="T941" s="85" t="n"/>
      <c r="U941" s="85" t="n"/>
      <c r="V941" s="85" t="n"/>
      <c r="W941" s="85" t="n"/>
      <c r="X941" s="85" t="n"/>
      <c r="Y941" s="85" t="n"/>
      <c r="Z941" s="85" t="n"/>
    </row>
    <row r="942" ht="15.75" customHeight="1" s="86">
      <c r="T942" s="85" t="n"/>
      <c r="U942" s="85" t="n"/>
      <c r="V942" s="85" t="n"/>
      <c r="W942" s="85" t="n"/>
      <c r="X942" s="85" t="n"/>
      <c r="Y942" s="85" t="n"/>
      <c r="Z942" s="85" t="n"/>
    </row>
    <row r="943" ht="15.75" customHeight="1" s="86">
      <c r="T943" s="85" t="n"/>
      <c r="U943" s="85" t="n"/>
      <c r="V943" s="85" t="n"/>
      <c r="W943" s="85" t="n"/>
      <c r="X943" s="85" t="n"/>
      <c r="Y943" s="85" t="n"/>
      <c r="Z943" s="85" t="n"/>
    </row>
    <row r="944" ht="15.75" customHeight="1" s="86">
      <c r="T944" s="85" t="n"/>
      <c r="U944" s="85" t="n"/>
      <c r="V944" s="85" t="n"/>
      <c r="W944" s="85" t="n"/>
      <c r="X944" s="85" t="n"/>
      <c r="Y944" s="85" t="n"/>
      <c r="Z944" s="85" t="n"/>
    </row>
    <row r="945" ht="15.75" customHeight="1" s="86">
      <c r="T945" s="85" t="n"/>
      <c r="U945" s="85" t="n"/>
      <c r="V945" s="85" t="n"/>
      <c r="W945" s="85" t="n"/>
      <c r="X945" s="85" t="n"/>
      <c r="Y945" s="85" t="n"/>
      <c r="Z945" s="85" t="n"/>
    </row>
    <row r="946" ht="15.75" customHeight="1" s="86">
      <c r="T946" s="85" t="n"/>
      <c r="U946" s="85" t="n"/>
      <c r="V946" s="85" t="n"/>
      <c r="W946" s="85" t="n"/>
      <c r="X946" s="85" t="n"/>
      <c r="Y946" s="85" t="n"/>
      <c r="Z946" s="85" t="n"/>
    </row>
    <row r="947" ht="15.75" customHeight="1" s="86">
      <c r="T947" s="85" t="n"/>
      <c r="U947" s="85" t="n"/>
      <c r="V947" s="85" t="n"/>
      <c r="W947" s="85" t="n"/>
      <c r="X947" s="85" t="n"/>
      <c r="Y947" s="85" t="n"/>
      <c r="Z947" s="85" t="n"/>
    </row>
    <row r="948" ht="15.75" customHeight="1" s="86">
      <c r="T948" s="85" t="n"/>
      <c r="U948" s="85" t="n"/>
      <c r="V948" s="85" t="n"/>
      <c r="W948" s="85" t="n"/>
      <c r="X948" s="85" t="n"/>
      <c r="Y948" s="85" t="n"/>
      <c r="Z948" s="85" t="n"/>
    </row>
    <row r="949" ht="15.75" customHeight="1" s="86">
      <c r="T949" s="85" t="n"/>
      <c r="U949" s="85" t="n"/>
      <c r="V949" s="85" t="n"/>
      <c r="W949" s="85" t="n"/>
      <c r="X949" s="85" t="n"/>
      <c r="Y949" s="85" t="n"/>
      <c r="Z949" s="85" t="n"/>
    </row>
    <row r="950" ht="15.75" customHeight="1" s="86">
      <c r="T950" s="85" t="n"/>
      <c r="U950" s="85" t="n"/>
      <c r="V950" s="85" t="n"/>
      <c r="W950" s="85" t="n"/>
      <c r="X950" s="85" t="n"/>
      <c r="Y950" s="85" t="n"/>
      <c r="Z950" s="85" t="n"/>
    </row>
    <row r="951" ht="15.75" customHeight="1" s="86">
      <c r="T951" s="85" t="n"/>
      <c r="U951" s="85" t="n"/>
      <c r="V951" s="85" t="n"/>
      <c r="W951" s="85" t="n"/>
      <c r="X951" s="85" t="n"/>
      <c r="Y951" s="85" t="n"/>
      <c r="Z951" s="85" t="n"/>
    </row>
    <row r="952" ht="15.75" customHeight="1" s="86">
      <c r="T952" s="85" t="n"/>
      <c r="U952" s="85" t="n"/>
      <c r="V952" s="85" t="n"/>
      <c r="W952" s="85" t="n"/>
      <c r="X952" s="85" t="n"/>
      <c r="Y952" s="85" t="n"/>
      <c r="Z952" s="85" t="n"/>
    </row>
    <row r="953" ht="15.75" customHeight="1" s="86">
      <c r="T953" s="85" t="n"/>
      <c r="U953" s="85" t="n"/>
      <c r="V953" s="85" t="n"/>
      <c r="W953" s="85" t="n"/>
      <c r="X953" s="85" t="n"/>
      <c r="Y953" s="85" t="n"/>
      <c r="Z953" s="85" t="n"/>
    </row>
    <row r="954" ht="15.75" customHeight="1" s="86">
      <c r="T954" s="85" t="n"/>
      <c r="U954" s="85" t="n"/>
      <c r="V954" s="85" t="n"/>
      <c r="W954" s="85" t="n"/>
      <c r="X954" s="85" t="n"/>
      <c r="Y954" s="85" t="n"/>
      <c r="Z954" s="85" t="n"/>
    </row>
    <row r="955" ht="15.75" customHeight="1" s="86">
      <c r="T955" s="85" t="n"/>
      <c r="U955" s="85" t="n"/>
      <c r="V955" s="85" t="n"/>
      <c r="W955" s="85" t="n"/>
      <c r="X955" s="85" t="n"/>
      <c r="Y955" s="85" t="n"/>
      <c r="Z955" s="85" t="n"/>
    </row>
    <row r="956" ht="15.75" customHeight="1" s="86">
      <c r="T956" s="85" t="n"/>
      <c r="U956" s="85" t="n"/>
      <c r="V956" s="85" t="n"/>
      <c r="W956" s="85" t="n"/>
      <c r="X956" s="85" t="n"/>
      <c r="Y956" s="85" t="n"/>
      <c r="Z956" s="85" t="n"/>
    </row>
    <row r="957" ht="15.75" customHeight="1" s="86">
      <c r="T957" s="85" t="n"/>
      <c r="U957" s="85" t="n"/>
      <c r="V957" s="85" t="n"/>
      <c r="W957" s="85" t="n"/>
      <c r="X957" s="85" t="n"/>
      <c r="Y957" s="85" t="n"/>
      <c r="Z957" s="85" t="n"/>
    </row>
    <row r="958" ht="15.75" customHeight="1" s="86">
      <c r="T958" s="85" t="n"/>
      <c r="U958" s="85" t="n"/>
      <c r="V958" s="85" t="n"/>
      <c r="W958" s="85" t="n"/>
      <c r="X958" s="85" t="n"/>
      <c r="Y958" s="85" t="n"/>
      <c r="Z958" s="85" t="n"/>
    </row>
    <row r="959" ht="15.75" customHeight="1" s="86">
      <c r="T959" s="85" t="n"/>
      <c r="U959" s="85" t="n"/>
      <c r="V959" s="85" t="n"/>
      <c r="W959" s="85" t="n"/>
      <c r="X959" s="85" t="n"/>
      <c r="Y959" s="85" t="n"/>
      <c r="Z959" s="85" t="n"/>
    </row>
    <row r="960" ht="15.75" customHeight="1" s="86">
      <c r="T960" s="85" t="n"/>
      <c r="U960" s="85" t="n"/>
      <c r="V960" s="85" t="n"/>
      <c r="W960" s="85" t="n"/>
      <c r="X960" s="85" t="n"/>
      <c r="Y960" s="85" t="n"/>
      <c r="Z960" s="85" t="n"/>
    </row>
    <row r="961" ht="15.75" customHeight="1" s="86">
      <c r="T961" s="85" t="n"/>
      <c r="U961" s="85" t="n"/>
      <c r="V961" s="85" t="n"/>
      <c r="W961" s="85" t="n"/>
      <c r="X961" s="85" t="n"/>
      <c r="Y961" s="85" t="n"/>
      <c r="Z961" s="85" t="n"/>
    </row>
    <row r="962" ht="15.75" customHeight="1" s="86">
      <c r="T962" s="85" t="n"/>
      <c r="U962" s="85" t="n"/>
      <c r="V962" s="85" t="n"/>
      <c r="W962" s="85" t="n"/>
      <c r="X962" s="85" t="n"/>
      <c r="Y962" s="85" t="n"/>
      <c r="Z962" s="85" t="n"/>
    </row>
    <row r="963" ht="15.75" customHeight="1" s="86">
      <c r="T963" s="85" t="n"/>
      <c r="U963" s="85" t="n"/>
      <c r="V963" s="85" t="n"/>
      <c r="W963" s="85" t="n"/>
      <c r="X963" s="85" t="n"/>
      <c r="Y963" s="85" t="n"/>
      <c r="Z963" s="85" t="n"/>
    </row>
    <row r="964" ht="15.75" customHeight="1" s="86">
      <c r="T964" s="85" t="n"/>
      <c r="U964" s="85" t="n"/>
      <c r="V964" s="85" t="n"/>
      <c r="W964" s="85" t="n"/>
      <c r="X964" s="85" t="n"/>
      <c r="Y964" s="85" t="n"/>
      <c r="Z964" s="85" t="n"/>
    </row>
    <row r="965" ht="15.75" customHeight="1" s="86">
      <c r="T965" s="85" t="n"/>
      <c r="U965" s="85" t="n"/>
      <c r="V965" s="85" t="n"/>
      <c r="W965" s="85" t="n"/>
      <c r="X965" s="85" t="n"/>
      <c r="Y965" s="85" t="n"/>
      <c r="Z965" s="85" t="n"/>
    </row>
    <row r="966" ht="15.75" customHeight="1" s="86">
      <c r="T966" s="85" t="n"/>
      <c r="U966" s="85" t="n"/>
      <c r="V966" s="85" t="n"/>
      <c r="W966" s="85" t="n"/>
      <c r="X966" s="85" t="n"/>
      <c r="Y966" s="85" t="n"/>
      <c r="Z966" s="85" t="n"/>
    </row>
    <row r="967" ht="15.75" customHeight="1" s="86">
      <c r="T967" s="85" t="n"/>
      <c r="U967" s="85" t="n"/>
      <c r="V967" s="85" t="n"/>
      <c r="W967" s="85" t="n"/>
      <c r="X967" s="85" t="n"/>
      <c r="Y967" s="85" t="n"/>
      <c r="Z967" s="85" t="n"/>
    </row>
    <row r="968" ht="15.75" customHeight="1" s="86">
      <c r="T968" s="85" t="n"/>
      <c r="U968" s="85" t="n"/>
      <c r="V968" s="85" t="n"/>
      <c r="W968" s="85" t="n"/>
      <c r="X968" s="85" t="n"/>
      <c r="Y968" s="85" t="n"/>
      <c r="Z968" s="85" t="n"/>
    </row>
    <row r="969" ht="15.75" customHeight="1" s="86">
      <c r="T969" s="85" t="n"/>
      <c r="U969" s="85" t="n"/>
      <c r="V969" s="85" t="n"/>
      <c r="W969" s="85" t="n"/>
      <c r="X969" s="85" t="n"/>
      <c r="Y969" s="85" t="n"/>
      <c r="Z969" s="85" t="n"/>
    </row>
    <row r="970" ht="15.75" customHeight="1" s="86">
      <c r="T970" s="85" t="n"/>
      <c r="U970" s="85" t="n"/>
      <c r="V970" s="85" t="n"/>
      <c r="W970" s="85" t="n"/>
      <c r="X970" s="85" t="n"/>
      <c r="Y970" s="85" t="n"/>
      <c r="Z970" s="85" t="n"/>
    </row>
    <row r="971" ht="15.75" customHeight="1" s="86">
      <c r="T971" s="85" t="n"/>
      <c r="U971" s="85" t="n"/>
      <c r="V971" s="85" t="n"/>
      <c r="W971" s="85" t="n"/>
      <c r="X971" s="85" t="n"/>
      <c r="Y971" s="85" t="n"/>
      <c r="Z971" s="85" t="n"/>
    </row>
    <row r="972" ht="15.75" customHeight="1" s="86">
      <c r="T972" s="85" t="n"/>
      <c r="U972" s="85" t="n"/>
      <c r="V972" s="85" t="n"/>
      <c r="W972" s="85" t="n"/>
      <c r="X972" s="85" t="n"/>
      <c r="Y972" s="85" t="n"/>
      <c r="Z972" s="85" t="n"/>
    </row>
    <row r="973" ht="15.75" customHeight="1" s="86">
      <c r="T973" s="85" t="n"/>
      <c r="U973" s="85" t="n"/>
      <c r="V973" s="85" t="n"/>
      <c r="W973" s="85" t="n"/>
      <c r="X973" s="85" t="n"/>
      <c r="Y973" s="85" t="n"/>
      <c r="Z973" s="85" t="n"/>
    </row>
    <row r="974" ht="15.75" customHeight="1" s="86">
      <c r="T974" s="85" t="n"/>
      <c r="U974" s="85" t="n"/>
      <c r="V974" s="85" t="n"/>
      <c r="W974" s="85" t="n"/>
      <c r="X974" s="85" t="n"/>
      <c r="Y974" s="85" t="n"/>
      <c r="Z974" s="85" t="n"/>
    </row>
    <row r="975" ht="15.75" customHeight="1" s="86">
      <c r="T975" s="85" t="n"/>
      <c r="U975" s="85" t="n"/>
      <c r="V975" s="85" t="n"/>
      <c r="W975" s="85" t="n"/>
      <c r="X975" s="85" t="n"/>
      <c r="Y975" s="85" t="n"/>
      <c r="Z975" s="85" t="n"/>
    </row>
    <row r="976" ht="15.75" customHeight="1" s="86">
      <c r="T976" s="85" t="n"/>
      <c r="U976" s="85" t="n"/>
      <c r="V976" s="85" t="n"/>
      <c r="W976" s="85" t="n"/>
      <c r="X976" s="85" t="n"/>
      <c r="Y976" s="85" t="n"/>
      <c r="Z976" s="85" t="n"/>
    </row>
    <row r="977" ht="15.75" customHeight="1" s="86">
      <c r="T977" s="85" t="n"/>
      <c r="U977" s="85" t="n"/>
      <c r="V977" s="85" t="n"/>
      <c r="W977" s="85" t="n"/>
      <c r="X977" s="85" t="n"/>
      <c r="Y977" s="85" t="n"/>
      <c r="Z977" s="85" t="n"/>
    </row>
    <row r="978" ht="15.75" customHeight="1" s="86">
      <c r="T978" s="85" t="n"/>
      <c r="U978" s="85" t="n"/>
      <c r="V978" s="85" t="n"/>
      <c r="W978" s="85" t="n"/>
      <c r="X978" s="85" t="n"/>
      <c r="Y978" s="85" t="n"/>
      <c r="Z978" s="85" t="n"/>
    </row>
    <row r="979" ht="15.75" customHeight="1" s="86">
      <c r="T979" s="85" t="n"/>
      <c r="U979" s="85" t="n"/>
      <c r="V979" s="85" t="n"/>
      <c r="W979" s="85" t="n"/>
      <c r="X979" s="85" t="n"/>
      <c r="Y979" s="85" t="n"/>
      <c r="Z979" s="85" t="n"/>
    </row>
    <row r="980" ht="15.75" customHeight="1" s="86">
      <c r="T980" s="85" t="n"/>
      <c r="U980" s="85" t="n"/>
      <c r="V980" s="85" t="n"/>
      <c r="W980" s="85" t="n"/>
      <c r="X980" s="85" t="n"/>
      <c r="Y980" s="85" t="n"/>
      <c r="Z980" s="85" t="n"/>
    </row>
    <row r="981" ht="15.75" customHeight="1" s="86">
      <c r="T981" s="85" t="n"/>
      <c r="U981" s="85" t="n"/>
      <c r="V981" s="85" t="n"/>
      <c r="W981" s="85" t="n"/>
      <c r="X981" s="85" t="n"/>
      <c r="Y981" s="85" t="n"/>
      <c r="Z981" s="85" t="n"/>
    </row>
    <row r="982" ht="15.75" customHeight="1" s="86">
      <c r="T982" s="85" t="n"/>
      <c r="U982" s="85" t="n"/>
      <c r="V982" s="85" t="n"/>
      <c r="W982" s="85" t="n"/>
      <c r="X982" s="85" t="n"/>
      <c r="Y982" s="85" t="n"/>
      <c r="Z982" s="85" t="n"/>
    </row>
    <row r="983" ht="15.75" customHeight="1" s="86">
      <c r="T983" s="85" t="n"/>
      <c r="U983" s="85" t="n"/>
      <c r="V983" s="85" t="n"/>
      <c r="W983" s="85" t="n"/>
      <c r="X983" s="85" t="n"/>
      <c r="Y983" s="85" t="n"/>
      <c r="Z983" s="85" t="n"/>
    </row>
    <row r="984" ht="15.75" customHeight="1" s="86">
      <c r="T984" s="85" t="n"/>
      <c r="U984" s="85" t="n"/>
      <c r="V984" s="85" t="n"/>
      <c r="W984" s="85" t="n"/>
      <c r="X984" s="85" t="n"/>
      <c r="Y984" s="85" t="n"/>
      <c r="Z984" s="85" t="n"/>
    </row>
    <row r="985" ht="15.75" customHeight="1" s="86">
      <c r="T985" s="85" t="n"/>
      <c r="U985" s="85" t="n"/>
      <c r="V985" s="85" t="n"/>
      <c r="W985" s="85" t="n"/>
      <c r="X985" s="85" t="n"/>
      <c r="Y985" s="85" t="n"/>
      <c r="Z985" s="85" t="n"/>
    </row>
    <row r="986" ht="15.75" customHeight="1" s="86">
      <c r="T986" s="85" t="n"/>
      <c r="U986" s="85" t="n"/>
      <c r="V986" s="85" t="n"/>
      <c r="W986" s="85" t="n"/>
      <c r="X986" s="85" t="n"/>
      <c r="Y986" s="85" t="n"/>
      <c r="Z986" s="85" t="n"/>
    </row>
    <row r="987" ht="15.75" customHeight="1" s="86">
      <c r="T987" s="85" t="n"/>
      <c r="U987" s="85" t="n"/>
      <c r="V987" s="85" t="n"/>
      <c r="W987" s="85" t="n"/>
      <c r="X987" s="85" t="n"/>
      <c r="Y987" s="85" t="n"/>
      <c r="Z987" s="85" t="n"/>
    </row>
    <row r="988" ht="15.75" customHeight="1" s="86">
      <c r="T988" s="85" t="n"/>
      <c r="U988" s="85" t="n"/>
      <c r="V988" s="85" t="n"/>
      <c r="W988" s="85" t="n"/>
      <c r="X988" s="85" t="n"/>
      <c r="Y988" s="85" t="n"/>
      <c r="Z988" s="85" t="n"/>
    </row>
    <row r="989" ht="15.75" customHeight="1" s="86">
      <c r="T989" s="85" t="n"/>
      <c r="U989" s="85" t="n"/>
      <c r="V989" s="85" t="n"/>
      <c r="W989" s="85" t="n"/>
      <c r="X989" s="85" t="n"/>
      <c r="Y989" s="85" t="n"/>
      <c r="Z989" s="85" t="n"/>
    </row>
    <row r="990" ht="15.75" customHeight="1" s="86">
      <c r="T990" s="85" t="n"/>
      <c r="U990" s="85" t="n"/>
      <c r="V990" s="85" t="n"/>
      <c r="W990" s="85" t="n"/>
      <c r="X990" s="85" t="n"/>
      <c r="Y990" s="85" t="n"/>
      <c r="Z990" s="85" t="n"/>
    </row>
    <row r="991" ht="15.75" customHeight="1" s="86">
      <c r="T991" s="85" t="n"/>
      <c r="U991" s="85" t="n"/>
      <c r="V991" s="85" t="n"/>
      <c r="W991" s="85" t="n"/>
      <c r="X991" s="85" t="n"/>
      <c r="Y991" s="85" t="n"/>
      <c r="Z991" s="85" t="n"/>
    </row>
    <row r="992" ht="15.75" customHeight="1" s="86">
      <c r="T992" s="85" t="n"/>
      <c r="U992" s="85" t="n"/>
      <c r="V992" s="85" t="n"/>
      <c r="W992" s="85" t="n"/>
      <c r="X992" s="85" t="n"/>
      <c r="Y992" s="85" t="n"/>
      <c r="Z992" s="85" t="n"/>
    </row>
    <row r="993" ht="15.75" customHeight="1" s="86">
      <c r="T993" s="85" t="n"/>
      <c r="U993" s="85" t="n"/>
      <c r="V993" s="85" t="n"/>
      <c r="W993" s="85" t="n"/>
      <c r="X993" s="85" t="n"/>
      <c r="Y993" s="85" t="n"/>
      <c r="Z993" s="85" t="n"/>
    </row>
    <row r="994" ht="15.75" customHeight="1" s="86">
      <c r="T994" s="85" t="n"/>
      <c r="U994" s="85" t="n"/>
      <c r="V994" s="85" t="n"/>
      <c r="W994" s="85" t="n"/>
      <c r="X994" s="85" t="n"/>
      <c r="Y994" s="85" t="n"/>
      <c r="Z994" s="85" t="n"/>
    </row>
    <row r="995" ht="15.75" customHeight="1" s="86">
      <c r="T995" s="85" t="n"/>
      <c r="U995" s="85" t="n"/>
      <c r="V995" s="85" t="n"/>
      <c r="W995" s="85" t="n"/>
      <c r="X995" s="85" t="n"/>
      <c r="Y995" s="85" t="n"/>
      <c r="Z995" s="85" t="n"/>
    </row>
    <row r="996" ht="15.75" customHeight="1" s="86">
      <c r="T996" s="85" t="n"/>
      <c r="U996" s="85" t="n"/>
      <c r="V996" s="85" t="n"/>
      <c r="W996" s="85" t="n"/>
      <c r="X996" s="85" t="n"/>
      <c r="Y996" s="85" t="n"/>
      <c r="Z996" s="85" t="n"/>
    </row>
    <row r="997" ht="15.75" customHeight="1" s="86">
      <c r="T997" s="85" t="n"/>
      <c r="U997" s="85" t="n"/>
      <c r="V997" s="85" t="n"/>
      <c r="W997" s="85" t="n"/>
      <c r="X997" s="85" t="n"/>
      <c r="Y997" s="85" t="n"/>
      <c r="Z997" s="85" t="n"/>
    </row>
    <row r="998" ht="15.75" customHeight="1" s="86">
      <c r="T998" s="85" t="n"/>
      <c r="U998" s="85" t="n"/>
      <c r="V998" s="85" t="n"/>
      <c r="W998" s="85" t="n"/>
      <c r="X998" s="85" t="n"/>
      <c r="Y998" s="85" t="n"/>
      <c r="Z998" s="85" t="n"/>
    </row>
    <row r="999" ht="15.75" customHeight="1" s="86">
      <c r="T999" s="85" t="n"/>
      <c r="U999" s="85" t="n"/>
      <c r="V999" s="85" t="n"/>
      <c r="W999" s="85" t="n"/>
      <c r="X999" s="85" t="n"/>
      <c r="Y999" s="85" t="n"/>
      <c r="Z999" s="85" t="n"/>
    </row>
    <row r="1000" ht="15.75" customHeight="1" s="86">
      <c r="T1000" s="85" t="n"/>
      <c r="U1000" s="85" t="n"/>
      <c r="V1000" s="85" t="n"/>
      <c r="W1000" s="85" t="n"/>
      <c r="X1000" s="85" t="n"/>
      <c r="Y1000" s="85" t="n"/>
      <c r="Z1000" s="8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">
    <mergeCell ref="K7:M7"/>
    <mergeCell ref="H6:J6"/>
    <mergeCell ref="B6:D6"/>
    <mergeCell ref="K6:M6"/>
    <mergeCell ref="A1:P1"/>
    <mergeCell ref="E6:G6"/>
    <mergeCell ref="B7:D7"/>
    <mergeCell ref="E7:G7"/>
    <mergeCell ref="A32:D32"/>
    <mergeCell ref="H7:J7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Q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85" min="1" max="1"/>
    <col width="15" customWidth="1" style="85" min="2" max="5"/>
  </cols>
  <sheetData>
    <row r="1" ht="33.75" customHeight="1" s="86">
      <c r="A1" s="134" t="inlineStr">
        <is>
          <t>50 / 30 / 20 Rule</t>
        </is>
      </c>
      <c r="B1" s="135" t="n"/>
      <c r="C1" s="135" t="n"/>
      <c r="D1" s="135" t="n"/>
      <c r="E1" s="135" t="n"/>
      <c r="F1" s="135" t="n"/>
      <c r="G1" s="135" t="n"/>
      <c r="H1" s="135" t="n"/>
      <c r="I1" s="135" t="n"/>
      <c r="J1" s="135" t="n"/>
      <c r="K1" s="135" t="n"/>
      <c r="L1" s="135" t="n"/>
      <c r="M1" s="135" t="n"/>
      <c r="N1" s="135" t="n"/>
      <c r="O1" s="135" t="n"/>
      <c r="P1" s="135" t="n"/>
      <c r="Q1" s="135" t="n"/>
    </row>
    <row r="2" ht="19.5" customHeight="1" s="86">
      <c r="A2" s="136" t="inlineStr">
        <is>
          <t>How your spending splits into Needs, Wants and Savings — straight from your logged transactions.</t>
        </is>
      </c>
      <c r="B2" s="137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8" t="n"/>
      <c r="Q2" s="138" t="n"/>
    </row>
    <row r="3" ht="15" customHeight="1" s="86">
      <c r="B3" s="139" t="n"/>
    </row>
    <row r="5" ht="15" customHeight="1" s="86">
      <c r="A5" s="140" t="n"/>
      <c r="B5" s="141" t="inlineStr">
        <is>
          <t>TARGET</t>
        </is>
      </c>
      <c r="C5" s="141" t="inlineStr">
        <is>
          <t>ACTUAL</t>
        </is>
      </c>
      <c r="D5" s="141" t="inlineStr">
        <is>
          <t>% OF INCOME</t>
        </is>
      </c>
      <c r="E5" s="141" t="inlineStr">
        <is>
          <t>STATUS</t>
        </is>
      </c>
    </row>
    <row r="6" ht="15" customHeight="1" s="86">
      <c r="A6" s="142" t="inlineStr">
        <is>
          <t>Needs</t>
        </is>
      </c>
      <c r="B6" s="143" t="n">
        <v>0.5</v>
      </c>
      <c r="C6" s="144">
        <f>SUMIFS(Transactions!$E$5:$E$504,Transactions!$K$5:$K$504,"needs",Transactions!$J$5:$J$504,Setup!$F$4,Transactions!$B$5:$B$504,"Expense")</f>
        <v/>
      </c>
      <c r="D6" s="145">
        <f>IFERROR(C6/$B$10,0)</f>
        <v/>
      </c>
      <c r="E6" s="146">
        <f>IF($B$10=0,"—",IF(D6&lt;=B6,"On track","Over"))</f>
        <v/>
      </c>
    </row>
    <row r="7" ht="15" customHeight="1" s="86">
      <c r="A7" s="142" t="inlineStr">
        <is>
          <t>Wants</t>
        </is>
      </c>
      <c r="B7" s="143" t="n">
        <v>0.3</v>
      </c>
      <c r="C7" s="144">
        <f>SUMIFS(Transactions!$E$5:$E$504,Transactions!$K$5:$K$504,"wants",Transactions!$J$5:$J$504,Setup!$F$4,Transactions!$B$5:$B$504,"Expense")</f>
        <v/>
      </c>
      <c r="D7" s="145">
        <f>IFERROR(C7/$B$10,0)</f>
        <v/>
      </c>
      <c r="E7" s="146">
        <f>IF($B$10=0,"—",IF(D7&lt;=B7,"On track","Over"))</f>
        <v/>
      </c>
    </row>
    <row r="8" ht="15" customHeight="1" s="86">
      <c r="A8" s="142" t="inlineStr">
        <is>
          <t>Savings</t>
        </is>
      </c>
      <c r="B8" s="143" t="n">
        <v>0.2</v>
      </c>
      <c r="C8" s="144">
        <f>SUMIFS(Transactions!$E$5:$E$504,Transactions!$K$5:$K$504,"savings",Transactions!$J$5:$J$504,Setup!$F$4,Transactions!$B$5:$B$504,"Expense")+SUMIFS(Transactions!$E$5:$E$504,Transactions!$B$5:$B$504,"Transfer",Transactions!$J$5:$J$504,Setup!$F$4)</f>
        <v/>
      </c>
      <c r="D8" s="145">
        <f>IFERROR(C8/$B$10,0)</f>
        <v/>
      </c>
      <c r="E8" s="146">
        <f>IF($B$10=0,"—",IF(D8&gt;=B8,"On track","Below"))</f>
        <v/>
      </c>
    </row>
    <row r="10" ht="15" customHeight="1" s="86">
      <c r="A10" s="148" t="inlineStr">
        <is>
          <t>Annual income</t>
        </is>
      </c>
      <c r="B10" s="149">
        <f>SUMIFS(Transactions!$E$5:$E$504,Transactions!$B$5:$B$504,"Income",Transactions!$J$5:$J$504,Setup!$F$4)</f>
        <v/>
      </c>
      <c r="C10" s="149" t="n"/>
    </row>
    <row r="11" ht="15" customHeight="1" s="86">
      <c r="A11" s="148" t="inlineStr">
        <is>
          <t>Left to allocate</t>
        </is>
      </c>
      <c r="B11" s="150">
        <f>B10-C6-C7-C8</f>
        <v/>
      </c>
      <c r="C11" s="150" t="n"/>
    </row>
    <row r="13" ht="15" customHeight="1" s="86">
      <c r="A13" s="151" t="inlineStr">
        <is>
          <t>Tip: tag each category as needs / wants / savings on the Setup tab.</t>
        </is>
      </c>
      <c r="B13" s="15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Q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85" min="1" max="1"/>
    <col width="15" customWidth="1" style="85" min="2" max="2"/>
    <col width="30" customWidth="1" style="85" min="3" max="3"/>
  </cols>
  <sheetData>
    <row r="1" ht="33.75" customHeight="1" s="86">
      <c r="A1" s="134" t="inlineStr">
        <is>
          <t>Spending Tracker</t>
        </is>
      </c>
      <c r="B1" s="135" t="n"/>
      <c r="C1" s="135" t="n"/>
      <c r="D1" s="135" t="n"/>
      <c r="E1" s="135" t="n"/>
      <c r="F1" s="135" t="n"/>
      <c r="G1" s="135" t="n"/>
      <c r="H1" s="135" t="n"/>
      <c r="I1" s="135" t="n"/>
      <c r="J1" s="135" t="n"/>
      <c r="K1" s="135" t="n"/>
      <c r="L1" s="135" t="n"/>
      <c r="M1" s="135" t="n"/>
      <c r="N1" s="135" t="n"/>
      <c r="O1" s="135" t="n"/>
      <c r="P1" s="135" t="n"/>
      <c r="Q1" s="135" t="n"/>
    </row>
    <row r="2" ht="19.5" customHeight="1" s="86">
      <c r="A2" s="136" t="inlineStr">
        <is>
          <t>Where your money goes — by category, this year.</t>
        </is>
      </c>
      <c r="B2" s="137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8" t="n"/>
      <c r="Q2" s="138" t="n"/>
    </row>
    <row r="3" ht="15" customHeight="1" s="86">
      <c r="B3" s="139" t="n"/>
    </row>
    <row r="5" ht="15" customHeight="1" s="86">
      <c r="A5" s="140" t="inlineStr">
        <is>
          <t>CATEGORY</t>
        </is>
      </c>
      <c r="B5" s="141" t="inlineStr">
        <is>
          <t>SPENT</t>
        </is>
      </c>
      <c r="C5" s="141" t="inlineStr">
        <is>
          <t>% OF SPENDING</t>
        </is>
      </c>
    </row>
    <row r="6" ht="15" customHeight="1" s="86">
      <c r="A6" s="152">
        <f>Setup!$D$7</f>
        <v/>
      </c>
      <c r="B6" s="144">
        <f>SUMIFS(Transactions!$E$5:$E$504,Transactions!$C$5:$C$504,Setup!$D$7,Transactions!$B$5:$B$504,"Expense",Transactions!$J$5:$J$504,Setup!$F$4)</f>
        <v/>
      </c>
      <c r="C6" s="145">
        <f>IFERROR(B6/$B$21,0)</f>
        <v/>
      </c>
    </row>
    <row r="7" ht="15" customHeight="1" s="86">
      <c r="A7" s="152">
        <f>Setup!$D$8</f>
        <v/>
      </c>
      <c r="B7" s="144">
        <f>SUMIFS(Transactions!$E$5:$E$504,Transactions!$C$5:$C$504,Setup!$D$8,Transactions!$B$5:$B$504,"Expense",Transactions!$J$5:$J$504,Setup!$F$4)</f>
        <v/>
      </c>
      <c r="C7" s="145">
        <f>IFERROR(B7/$B$21,0)</f>
        <v/>
      </c>
    </row>
    <row r="8" ht="15" customHeight="1" s="86">
      <c r="A8" s="152">
        <f>Setup!$D$9</f>
        <v/>
      </c>
      <c r="B8" s="144">
        <f>SUMIFS(Transactions!$E$5:$E$504,Transactions!$C$5:$C$504,Setup!$D$9,Transactions!$B$5:$B$504,"Expense",Transactions!$J$5:$J$504,Setup!$F$4)</f>
        <v/>
      </c>
      <c r="C8" s="145">
        <f>IFERROR(B8/$B$21,0)</f>
        <v/>
      </c>
    </row>
    <row r="9" ht="15" customHeight="1" s="86">
      <c r="A9" s="152">
        <f>Setup!$D$10</f>
        <v/>
      </c>
      <c r="B9" s="144">
        <f>SUMIFS(Transactions!$E$5:$E$504,Transactions!$C$5:$C$504,Setup!$D$10,Transactions!$B$5:$B$504,"Expense",Transactions!$J$5:$J$504,Setup!$F$4)</f>
        <v/>
      </c>
      <c r="C9" s="145">
        <f>IFERROR(B9/$B$21,0)</f>
        <v/>
      </c>
    </row>
    <row r="10" ht="15" customHeight="1" s="86">
      <c r="A10" s="152">
        <f>Setup!$D$11</f>
        <v/>
      </c>
      <c r="B10" s="144">
        <f>SUMIFS(Transactions!$E$5:$E$504,Transactions!$C$5:$C$504,Setup!$D$11,Transactions!$B$5:$B$504,"Expense",Transactions!$J$5:$J$504,Setup!$F$4)</f>
        <v/>
      </c>
      <c r="C10" s="145">
        <f>IFERROR(B10/$B$21,0)</f>
        <v/>
      </c>
    </row>
    <row r="11" ht="15" customHeight="1" s="86">
      <c r="A11" s="152">
        <f>Setup!$D$12</f>
        <v/>
      </c>
      <c r="B11" s="144">
        <f>SUMIFS(Transactions!$E$5:$E$504,Transactions!$C$5:$C$504,Setup!$D$12,Transactions!$B$5:$B$504,"Expense",Transactions!$J$5:$J$504,Setup!$F$4)</f>
        <v/>
      </c>
      <c r="C11" s="145">
        <f>IFERROR(B11/$B$21,0)</f>
        <v/>
      </c>
    </row>
    <row r="12" ht="15" customHeight="1" s="86">
      <c r="A12" s="152">
        <f>Setup!$D$13</f>
        <v/>
      </c>
      <c r="B12" s="144">
        <f>SUMIFS(Transactions!$E$5:$E$504,Transactions!$C$5:$C$504,Setup!$D$13,Transactions!$B$5:$B$504,"Expense",Transactions!$J$5:$J$504,Setup!$F$4)</f>
        <v/>
      </c>
      <c r="C12" s="145">
        <f>IFERROR(B12/$B$21,0)</f>
        <v/>
      </c>
    </row>
    <row r="13" ht="15" customHeight="1" s="86">
      <c r="A13" s="152">
        <f>Setup!$D$14</f>
        <v/>
      </c>
      <c r="B13" s="144">
        <f>SUMIFS(Transactions!$E$5:$E$504,Transactions!$C$5:$C$504,Setup!$D$14,Transactions!$B$5:$B$504,"Expense",Transactions!$J$5:$J$504,Setup!$F$4)</f>
        <v/>
      </c>
      <c r="C13" s="145">
        <f>IFERROR(B13/$B$21,0)</f>
        <v/>
      </c>
    </row>
    <row r="14" ht="15" customHeight="1" s="86">
      <c r="A14" s="152">
        <f>Setup!$D$15</f>
        <v/>
      </c>
      <c r="B14" s="144">
        <f>SUMIFS(Transactions!$E$5:$E$504,Transactions!$C$5:$C$504,Setup!$D$15,Transactions!$B$5:$B$504,"Expense",Transactions!$J$5:$J$504,Setup!$F$4)</f>
        <v/>
      </c>
      <c r="C14" s="145">
        <f>IFERROR(B14/$B$21,0)</f>
        <v/>
      </c>
    </row>
    <row r="15" ht="15" customHeight="1" s="86">
      <c r="A15" s="152">
        <f>Setup!$D$16</f>
        <v/>
      </c>
      <c r="B15" s="144">
        <f>SUMIFS(Transactions!$E$5:$E$504,Transactions!$C$5:$C$504,Setup!$D$16,Transactions!$B$5:$B$504,"Expense",Transactions!$J$5:$J$504,Setup!$F$4)</f>
        <v/>
      </c>
      <c r="C15" s="145">
        <f>IFERROR(B15/$B$21,0)</f>
        <v/>
      </c>
    </row>
    <row r="16" ht="15" customHeight="1" s="86">
      <c r="A16" s="152">
        <f>Setup!$D$17</f>
        <v/>
      </c>
      <c r="B16" s="144">
        <f>SUMIFS(Transactions!$E$5:$E$504,Transactions!$C$5:$C$504,Setup!$D$17,Transactions!$B$5:$B$504,"Expense",Transactions!$J$5:$J$504,Setup!$F$4)</f>
        <v/>
      </c>
      <c r="C16" s="145">
        <f>IFERROR(B16/$B$21,0)</f>
        <v/>
      </c>
    </row>
    <row r="17" ht="15" customHeight="1" s="86">
      <c r="A17" s="152">
        <f>Setup!$D$18</f>
        <v/>
      </c>
      <c r="B17" s="144">
        <f>SUMIFS(Transactions!$E$5:$E$504,Transactions!$C$5:$C$504,Setup!$D$18,Transactions!$B$5:$B$504,"Expense",Transactions!$J$5:$J$504,Setup!$F$4)</f>
        <v/>
      </c>
      <c r="C17" s="145">
        <f>IFERROR(B17/$B$21,0)</f>
        <v/>
      </c>
    </row>
    <row r="18" ht="15" customHeight="1" s="86">
      <c r="A18" s="152">
        <f>Setup!$D$19</f>
        <v/>
      </c>
      <c r="B18" s="144">
        <f>SUMIFS(Transactions!$E$5:$E$504,Transactions!$C$5:$C$504,Setup!$D$19,Transactions!$B$5:$B$504,"Expense",Transactions!$J$5:$J$504,Setup!$F$4)</f>
        <v/>
      </c>
      <c r="C18" s="145">
        <f>IFERROR(B18/$B$21,0)</f>
        <v/>
      </c>
    </row>
    <row r="19" ht="15" customHeight="1" s="86">
      <c r="A19" s="152">
        <f>Setup!$D$20</f>
        <v/>
      </c>
      <c r="B19" s="144">
        <f>SUMIFS(Transactions!$E$5:$E$504,Transactions!$C$5:$C$504,Setup!$D$20,Transactions!$B$5:$B$504,"Expense",Transactions!$J$5:$J$504,Setup!$F$4)</f>
        <v/>
      </c>
      <c r="C19" s="145">
        <f>IFERROR(B19/$B$21,0)</f>
        <v/>
      </c>
    </row>
    <row r="21" ht="15" customHeight="1" s="86">
      <c r="A21" s="148" t="inlineStr">
        <is>
          <t>Total spending</t>
        </is>
      </c>
      <c r="B21" s="154">
        <f>SUMIFS(Transactions!$E$5:$E$504,Transactions!$B$5:$B$504,"Expense",Transactions!$J$5:$J$504,Setup!$F$4)</f>
        <v/>
      </c>
    </row>
    <row r="23" ht="15" customHeight="1" s="86">
      <c r="A23" s="148" t="inlineStr">
        <is>
          <t>Top category</t>
        </is>
      </c>
      <c r="B23" s="93">
        <f>IF($B$21=0,"—",IFERROR(INDEX(A6:A19,MATCH(MAX(B6:B19),B6:B19,0)),"—"))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C6:C19">
    <cfRule type="dataBar" priority="3">
      <dataBar minLength="10" maxLength="90" showValue="1">
        <cfvo type="num" val="0"/>
        <cfvo type="num" val="1"/>
        <color rgb="FF70C9A0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21"/>
  <sheetViews>
    <sheetView showGridLines="0" workbookViewId="0">
      <selection activeCell="A1" sqref="A1"/>
    </sheetView>
  </sheetViews>
  <sheetFormatPr baseColWidth="8" defaultRowHeight="15"/>
  <cols>
    <col width="3" customWidth="1" style="86" min="1" max="1"/>
    <col width="26" customWidth="1" style="86" min="2" max="2"/>
    <col width="16" customWidth="1" style="86" min="3" max="3"/>
    <col width="16" customWidth="1" style="86" min="4" max="4"/>
    <col width="16" customWidth="1" style="86" min="5" max="5"/>
    <col width="3" customWidth="1" style="86" min="6" max="6"/>
  </cols>
  <sheetData>
    <row r="1" ht="44" customHeight="1" s="86">
      <c r="B1" s="171" t="inlineStr">
        <is>
          <t>Split and Settle Up</t>
        </is>
      </c>
    </row>
    <row r="2">
      <c r="B2" s="172" t="inlineStr">
        <is>
          <t>Mark who paid on Transactions. This works out a fair split and who owes whom.</t>
        </is>
      </c>
    </row>
    <row r="4">
      <c r="B4" s="173" t="inlineStr">
        <is>
          <t>Split mode</t>
        </is>
      </c>
      <c r="C4" s="174">
        <f>Setup!$N$13</f>
        <v/>
      </c>
    </row>
    <row r="5">
      <c r="B5" s="173" t="inlineStr">
        <is>
          <t>Partner A share</t>
        </is>
      </c>
      <c r="C5" s="175">
        <f>Setup!$N$16</f>
        <v/>
      </c>
    </row>
    <row r="6">
      <c r="B6" s="173" t="inlineStr">
        <is>
          <t>Partner B share</t>
        </is>
      </c>
      <c r="C6" s="175">
        <f>Setup!$N$17</f>
        <v/>
      </c>
    </row>
    <row r="8">
      <c r="B8" s="176" t="inlineStr">
        <is>
          <t>SHARED EXPENSES</t>
        </is>
      </c>
      <c r="C8" s="177">
        <f>Setup!$N$7</f>
        <v/>
      </c>
      <c r="D8" s="177">
        <f>Setup!$N$8</f>
        <v/>
      </c>
      <c r="E8" s="177" t="inlineStr">
        <is>
          <t>Joint</t>
        </is>
      </c>
    </row>
    <row r="9">
      <c r="B9" s="178" t="inlineStr">
        <is>
          <t>Paid (shared)</t>
        </is>
      </c>
      <c r="C9" s="179">
        <f>SUMIFS(Transactions!$E$5:$E$504,Transactions!$B$5:$B$504,"Expense",Transactions!$G$5:$G$504,"Shared",Transactions!$F$5:$F$504,Setup!$N$7)</f>
        <v/>
      </c>
      <c r="D9" s="179">
        <f>SUMIFS(Transactions!$E$5:$E$504,Transactions!$B$5:$B$504,"Expense",Transactions!$G$5:$G$504,"Shared",Transactions!$F$5:$F$504,Setup!$N$8)</f>
        <v/>
      </c>
      <c r="E9" s="179">
        <f>SUMIFS(Transactions!$E$5:$E$504,Transactions!$B$5:$B$504,"Expense",Transactions!$G$5:$G$504,"Shared",Transactions!$F$5:$F$504,"Joint")</f>
        <v/>
      </c>
    </row>
    <row r="11">
      <c r="B11" s="178" t="inlineStr">
        <is>
          <t>Shared to split (A+B)</t>
        </is>
      </c>
      <c r="C11" s="179">
        <f>C9+D9</f>
        <v/>
      </c>
    </row>
    <row r="12">
      <c r="B12" s="178" t="inlineStr">
        <is>
          <t>Fair share</t>
        </is>
      </c>
      <c r="C12" s="179">
        <f>$C$11*Setup!$N$16</f>
        <v/>
      </c>
      <c r="D12" s="179">
        <f>$C$11*Setup!$N$17</f>
        <v/>
      </c>
    </row>
    <row r="13">
      <c r="B13" s="178" t="inlineStr">
        <is>
          <t>Difference (paid − fair)</t>
        </is>
      </c>
      <c r="C13" s="179">
        <f>C9-C12</f>
        <v/>
      </c>
      <c r="D13" s="179">
        <f>D9-D12</f>
        <v/>
      </c>
    </row>
    <row r="14">
      <c r="B14" s="178" t="inlineStr">
        <is>
          <t>Contribution %</t>
        </is>
      </c>
      <c r="C14" s="180">
        <f>IF($C$11=0,0,C9/$C$11)</f>
        <v/>
      </c>
      <c r="D14" s="180">
        <f>IF($C$11=0,0,D9/$C$11)</f>
        <v/>
      </c>
    </row>
    <row r="16" ht="40" customHeight="1" s="86">
      <c r="B16" s="181">
        <f>IF(C13&gt;0,Setup!$N$8&amp;" owes "&amp;Setup!$N$7&amp;" "&amp;TEXT(C13,"$#,##0.00"),IF(C13&lt;0,Setup!$N$7&amp;" owes "&amp;Setup!$N$8&amp;" "&amp;TEXT(-C13,"$#,##0.00"),"All settled up")) </f>
        <v/>
      </c>
    </row>
    <row r="18">
      <c r="B18" s="173" t="inlineStr">
        <is>
          <t>Check</t>
        </is>
      </c>
      <c r="C18" s="182">
        <f>IF(SUMPRODUCT((Transactions!$G$5:$G$504="Shared")*(Transactions!$F$5:$F$504="")*(Transactions!$B$5:$B$504="Expense"))&gt;0,SUMPRODUCT((Transactions!$G$5:$G$504="Shared")*(Transactions!$F$5:$F$504="")*(Transactions!$B$5:$B$504="Expense"))&amp;" shared expense(s) missing Paid by — fix on Transactions","No errors ✓")</f>
        <v/>
      </c>
    </row>
    <row r="20">
      <c r="B20" s="176" t="inlineStr">
        <is>
          <t>Personal (each pays own)</t>
        </is>
      </c>
    </row>
    <row r="21">
      <c r="B21" s="178" t="inlineStr">
        <is>
          <t>Personal spend</t>
        </is>
      </c>
      <c r="C21" s="179">
        <f>SUMIFS(Transactions!$E$5:$E$504,Transactions!$B$5:$B$504,"Expense",Transactions!$G$5:$G$504,"Personal",Transactions!$F$5:$F$504,Setup!$N$7)</f>
        <v/>
      </c>
      <c r="D21" s="179">
        <f>SUMIFS(Transactions!$E$5:$E$504,Transactions!$B$5:$B$504,"Expense",Transactions!$G$5:$G$504,"Personal",Transactions!$F$5:$F$504,Setup!$N$8)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B1:E1"/>
    <mergeCell ref="B2:E2"/>
    <mergeCell ref="B16:E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" customWidth="1" style="85" min="1" max="1"/>
    <col width="22" customWidth="1" style="85" min="2" max="2"/>
    <col width="14" customWidth="1" style="85" min="3" max="4"/>
    <col width="8.710000000000001" customWidth="1" style="85" min="5" max="19"/>
  </cols>
  <sheetData>
    <row r="1" ht="42" customHeight="1" s="86">
      <c r="A1" s="87" t="inlineStr">
        <is>
          <t>Month View</t>
        </is>
      </c>
      <c r="K1" s="88" t="n"/>
      <c r="L1" s="88" t="n"/>
      <c r="M1" s="88" t="n"/>
      <c r="N1" s="88" t="n"/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  <c r="Z1" s="88" t="n"/>
    </row>
    <row r="2" ht="21.75" customHeight="1" s="86">
      <c r="A2" s="89" t="inlineStr">
        <is>
          <t>Pick a month to see it on its own. No re-typing — it reads your Transactions.</t>
        </is>
      </c>
      <c r="K2" s="88" t="n"/>
      <c r="L2" s="88" t="n"/>
      <c r="M2" s="88" t="n"/>
      <c r="N2" s="88" t="n"/>
      <c r="O2" s="88" t="n"/>
      <c r="P2" s="88" t="n"/>
      <c r="Q2" s="88" t="n"/>
      <c r="R2" s="88" t="n"/>
      <c r="S2" s="88" t="n"/>
      <c r="T2" s="88" t="n"/>
      <c r="U2" s="88" t="n"/>
      <c r="V2" s="88" t="n"/>
      <c r="W2" s="88" t="n"/>
      <c r="X2" s="88" t="n"/>
      <c r="Y2" s="88" t="n"/>
      <c r="Z2" s="88" t="n"/>
    </row>
    <row r="3" ht="15" customHeight="1" s="86">
      <c r="A3" s="88" t="n"/>
      <c r="B3" s="88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</row>
    <row r="4" ht="15" customHeight="1" s="86">
      <c r="A4" s="88" t="n"/>
      <c r="B4" s="91" t="inlineStr">
        <is>
          <t>Pick month (1-12)</t>
        </is>
      </c>
      <c r="C4" s="88" t="n"/>
      <c r="D4" s="96" t="n">
        <v>1</v>
      </c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</row>
    <row r="5" ht="15" customHeight="1" s="86">
      <c r="A5" s="88" t="n"/>
      <c r="B5" s="88" t="n"/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</row>
    <row r="6" ht="15" customHeight="1" s="86">
      <c r="A6" s="88" t="n"/>
      <c r="B6" s="115" t="inlineStr">
        <is>
          <t>INCOME</t>
        </is>
      </c>
      <c r="D6" s="116" t="inlineStr">
        <is>
          <t>EXPENSES</t>
        </is>
      </c>
      <c r="F6" s="117" t="inlineStr">
        <is>
          <t>SAVED</t>
        </is>
      </c>
      <c r="H6" s="118" t="inlineStr">
        <is>
          <t>LEFT</t>
        </is>
      </c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</row>
    <row r="7" ht="27.75" customHeight="1" s="86">
      <c r="A7" s="88" t="n"/>
      <c r="B7" s="155">
        <f>SUMIFS(Transactions!$E$5:$E$504,Transactions!$B$5:$B$504,"Income",Transactions!$I$5:$I$504,$D$4,Transactions!$J$5:$J$504,Setup!$F$4)</f>
        <v/>
      </c>
      <c r="D7" s="156">
        <f>SUMIFS(Transactions!$E$5:$E$504,Transactions!$B$5:$B$504,"Expense",Transactions!$I$5:$I$504,$D$4,Transactions!$J$5:$J$504,Setup!$F$4)</f>
        <v/>
      </c>
      <c r="F7" s="157">
        <f>SUMIFS(Transactions!$E$5:$E$504,Transactions!$B$5:$B$504,"Transfer",Transactions!$I$5:$I$504,$D$4,Transactions!$J$5:$J$504,Setup!$F$4)</f>
        <v/>
      </c>
      <c r="H7" s="158">
        <f>B7-D7-F7</f>
        <v/>
      </c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88" t="n"/>
      <c r="W7" s="88" t="n"/>
      <c r="X7" s="88" t="n"/>
      <c r="Y7" s="88" t="n"/>
      <c r="Z7" s="88" t="n"/>
    </row>
    <row r="8" ht="15" customHeight="1" s="86">
      <c r="A8" s="88" t="n"/>
      <c r="B8" s="88" t="n"/>
      <c r="C8" s="88" t="n"/>
      <c r="D8" s="88" t="n"/>
      <c r="E8" s="88" t="n"/>
      <c r="F8" s="88" t="n"/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8" t="n"/>
      <c r="U8" s="88" t="n"/>
      <c r="V8" s="88" t="n"/>
      <c r="W8" s="88" t="n"/>
      <c r="X8" s="88" t="n"/>
      <c r="Y8" s="88" t="n"/>
      <c r="Z8" s="88" t="n"/>
    </row>
    <row r="9" ht="15" customHeight="1" s="86">
      <c r="A9" s="88" t="n"/>
      <c r="B9" s="88" t="n"/>
      <c r="C9" s="88" t="n"/>
      <c r="D9" s="88" t="n"/>
      <c r="E9" s="88" t="n"/>
      <c r="F9" s="88" t="n"/>
      <c r="G9" s="88" t="n"/>
      <c r="H9" s="88" t="n"/>
      <c r="I9" s="88" t="n"/>
      <c r="J9" s="88" t="n"/>
      <c r="K9" s="88" t="n"/>
      <c r="L9" s="88" t="n"/>
      <c r="M9" s="88" t="n"/>
      <c r="N9" s="88" t="n"/>
      <c r="O9" s="88" t="n"/>
      <c r="P9" s="88" t="n"/>
      <c r="Q9" s="88" t="n"/>
      <c r="R9" s="88" t="n"/>
      <c r="S9" s="88" t="n"/>
      <c r="T9" s="88" t="n"/>
      <c r="U9" s="88" t="n"/>
      <c r="V9" s="88" t="n"/>
      <c r="W9" s="88" t="n"/>
      <c r="X9" s="88" t="n"/>
      <c r="Y9" s="88" t="n"/>
      <c r="Z9" s="88" t="n"/>
    </row>
    <row r="10" ht="15" customHeight="1" s="86">
      <c r="A10" s="88" t="n"/>
      <c r="B10" s="99" t="inlineStr">
        <is>
          <t>SPENDING THIS MONTH BY CATEGORY</t>
        </is>
      </c>
      <c r="C10" s="131" t="n"/>
      <c r="D10" s="132" t="n"/>
      <c r="E10" s="88" t="n"/>
      <c r="F10" s="88" t="n"/>
      <c r="G10" s="88" t="n"/>
      <c r="H10" s="88" t="n"/>
      <c r="I10" s="88" t="n"/>
      <c r="J10" s="88" t="n"/>
      <c r="K10" s="88" t="n"/>
      <c r="L10" s="88" t="n"/>
      <c r="M10" s="88" t="n"/>
      <c r="N10" s="88" t="n"/>
      <c r="O10" s="88" t="n"/>
      <c r="P10" s="88" t="n"/>
      <c r="Q10" s="88" t="n"/>
      <c r="R10" s="88" t="n"/>
      <c r="S10" s="88" t="n"/>
      <c r="T10" s="88" t="n"/>
      <c r="U10" s="88" t="n"/>
      <c r="V10" s="88" t="n"/>
      <c r="W10" s="88" t="n"/>
      <c r="X10" s="88" t="n"/>
      <c r="Y10" s="88" t="n"/>
      <c r="Z10" s="88" t="n"/>
    </row>
    <row r="11" ht="15" customHeight="1" s="86">
      <c r="A11" s="88" t="n"/>
      <c r="B11" s="106" t="inlineStr">
        <is>
          <t>Category</t>
        </is>
      </c>
      <c r="C11" s="106" t="inlineStr">
        <is>
          <t>Spent</t>
        </is>
      </c>
      <c r="D11" s="106" t="inlineStr">
        <is>
          <t>% of expenses</t>
        </is>
      </c>
      <c r="E11" s="88" t="n"/>
      <c r="F11" s="88" t="n"/>
      <c r="G11" s="88" t="n"/>
      <c r="H11" s="88" t="n"/>
      <c r="I11" s="88" t="n"/>
      <c r="J11" s="88" t="n"/>
      <c r="K11" s="88" t="n"/>
      <c r="L11" s="88" t="n"/>
      <c r="M11" s="88" t="n"/>
      <c r="N11" s="88" t="n"/>
      <c r="O11" s="88" t="n"/>
      <c r="P11" s="88" t="n"/>
      <c r="Q11" s="88" t="n"/>
      <c r="R11" s="88" t="n"/>
      <c r="S11" s="88" t="n"/>
      <c r="T11" s="88" t="n"/>
      <c r="U11" s="88" t="n"/>
      <c r="V11" s="88" t="n"/>
      <c r="W11" s="88" t="n"/>
      <c r="X11" s="88" t="n"/>
      <c r="Y11" s="88" t="n"/>
      <c r="Z11" s="88" t="n"/>
    </row>
    <row r="12" ht="15" customHeight="1" s="86">
      <c r="A12" s="88" t="n"/>
      <c r="B12" s="103">
        <f>IF(Setup!D7="","",Setup!D7)</f>
        <v/>
      </c>
      <c r="C12" s="124">
        <f>IF($B12="","",SUMIFS(Transactions!$E$5:$E$504,Transactions!$B$5:$B$504,"Expense",Transactions!$C$5:$C$504,$B12,Transactions!$I$5:$I$504,$D$4,Transactions!$J$5:$J$504,Setup!$F$4))</f>
        <v/>
      </c>
      <c r="D12" s="159">
        <f>IF(OR($B12="",$D$7=0),"",C12/$D$7)</f>
        <v/>
      </c>
      <c r="E12" s="88" t="n"/>
      <c r="F12" s="88" t="n"/>
      <c r="G12" s="88" t="n"/>
      <c r="H12" s="88" t="n"/>
      <c r="I12" s="88" t="n"/>
      <c r="J12" s="88" t="n"/>
      <c r="K12" s="88" t="n"/>
      <c r="L12" s="88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 t="n"/>
      <c r="Z12" s="88" t="n"/>
    </row>
    <row r="13" ht="15" customHeight="1" s="86">
      <c r="A13" s="88" t="n"/>
      <c r="B13" s="103">
        <f>IF(Setup!D8="","",Setup!D8)</f>
        <v/>
      </c>
      <c r="C13" s="124">
        <f>IF($B13="","",SUMIFS(Transactions!$E$5:$E$504,Transactions!$B$5:$B$504,"Expense",Transactions!$C$5:$C$504,$B13,Transactions!$I$5:$I$504,$D$4,Transactions!$J$5:$J$504,Setup!$F$4))</f>
        <v/>
      </c>
      <c r="D13" s="159">
        <f>IF(OR($B13="",$D$7=0),"",C13/$D$7)</f>
        <v/>
      </c>
      <c r="E13" s="88" t="n"/>
      <c r="F13" s="88" t="n"/>
      <c r="G13" s="88" t="n"/>
      <c r="H13" s="88" t="n"/>
      <c r="I13" s="88" t="n"/>
      <c r="J13" s="88" t="n"/>
      <c r="K13" s="88" t="n"/>
      <c r="L13" s="88" t="n"/>
      <c r="M13" s="88" t="n"/>
      <c r="N13" s="88" t="n"/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  <c r="Y13" s="88" t="n"/>
      <c r="Z13" s="88" t="n"/>
    </row>
    <row r="14" ht="15" customHeight="1" s="86">
      <c r="A14" s="88" t="n"/>
      <c r="B14" s="103">
        <f>IF(Setup!D9="","",Setup!D9)</f>
        <v/>
      </c>
      <c r="C14" s="124">
        <f>IF($B14="","",SUMIFS(Transactions!$E$5:$E$504,Transactions!$B$5:$B$504,"Expense",Transactions!$C$5:$C$504,$B14,Transactions!$I$5:$I$504,$D$4,Transactions!$J$5:$J$504,Setup!$F$4))</f>
        <v/>
      </c>
      <c r="D14" s="159">
        <f>IF(OR($B14="",$D$7=0),"",C14/$D$7)</f>
        <v/>
      </c>
      <c r="E14" s="88" t="n"/>
      <c r="F14" s="88" t="n"/>
      <c r="G14" s="88" t="n"/>
      <c r="H14" s="88" t="n"/>
      <c r="I14" s="88" t="n"/>
      <c r="J14" s="88" t="n"/>
      <c r="K14" s="88" t="n"/>
      <c r="L14" s="88" t="n"/>
      <c r="M14" s="88" t="n"/>
      <c r="N14" s="88" t="n"/>
      <c r="O14" s="88" t="n"/>
      <c r="P14" s="88" t="n"/>
      <c r="Q14" s="88" t="n"/>
      <c r="R14" s="88" t="n"/>
      <c r="S14" s="88" t="n"/>
      <c r="T14" s="88" t="n"/>
      <c r="U14" s="88" t="n"/>
      <c r="V14" s="88" t="n"/>
      <c r="W14" s="88" t="n"/>
      <c r="X14" s="88" t="n"/>
      <c r="Y14" s="88" t="n"/>
      <c r="Z14" s="88" t="n"/>
    </row>
    <row r="15" ht="15" customHeight="1" s="86">
      <c r="A15" s="88" t="n"/>
      <c r="B15" s="103">
        <f>IF(Setup!D10="","",Setup!D10)</f>
        <v/>
      </c>
      <c r="C15" s="124">
        <f>IF($B15="","",SUMIFS(Transactions!$E$5:$E$504,Transactions!$B$5:$B$504,"Expense",Transactions!$C$5:$C$504,$B15,Transactions!$I$5:$I$504,$D$4,Transactions!$J$5:$J$504,Setup!$F$4))</f>
        <v/>
      </c>
      <c r="D15" s="159">
        <f>IF(OR($B15="",$D$7=0),"",C15/$D$7)</f>
        <v/>
      </c>
      <c r="E15" s="88" t="n"/>
      <c r="F15" s="88" t="n"/>
      <c r="G15" s="88" t="n"/>
      <c r="H15" s="88" t="n"/>
      <c r="I15" s="88" t="n"/>
      <c r="J15" s="88" t="n"/>
      <c r="K15" s="88" t="n"/>
      <c r="L15" s="88" t="n"/>
      <c r="M15" s="88" t="n"/>
      <c r="N15" s="88" t="n"/>
      <c r="O15" s="88" t="n"/>
      <c r="P15" s="88" t="n"/>
      <c r="Q15" s="88" t="n"/>
      <c r="R15" s="88" t="n"/>
      <c r="S15" s="88" t="n"/>
      <c r="T15" s="88" t="n"/>
      <c r="U15" s="88" t="n"/>
      <c r="V15" s="88" t="n"/>
      <c r="W15" s="88" t="n"/>
      <c r="X15" s="88" t="n"/>
      <c r="Y15" s="88" t="n"/>
      <c r="Z15" s="88" t="n"/>
    </row>
    <row r="16" ht="15" customHeight="1" s="86">
      <c r="A16" s="88" t="n"/>
      <c r="B16" s="103">
        <f>IF(Setup!D11="","",Setup!D11)</f>
        <v/>
      </c>
      <c r="C16" s="124">
        <f>IF($B16="","",SUMIFS(Transactions!$E$5:$E$504,Transactions!$B$5:$B$504,"Expense",Transactions!$C$5:$C$504,$B16,Transactions!$I$5:$I$504,$D$4,Transactions!$J$5:$J$504,Setup!$F$4))</f>
        <v/>
      </c>
      <c r="D16" s="159">
        <f>IF(OR($B16="",$D$7=0),"",C16/$D$7)</f>
        <v/>
      </c>
      <c r="E16" s="88" t="n"/>
      <c r="F16" s="88" t="n"/>
      <c r="G16" s="88" t="n"/>
      <c r="H16" s="88" t="n"/>
      <c r="I16" s="88" t="n"/>
      <c r="J16" s="88" t="n"/>
      <c r="K16" s="88" t="n"/>
      <c r="L16" s="88" t="n"/>
      <c r="M16" s="88" t="n"/>
      <c r="N16" s="88" t="n"/>
      <c r="O16" s="88" t="n"/>
      <c r="P16" s="88" t="n"/>
      <c r="Q16" s="88" t="n"/>
      <c r="R16" s="88" t="n"/>
      <c r="S16" s="88" t="n"/>
      <c r="T16" s="88" t="n"/>
      <c r="U16" s="88" t="n"/>
      <c r="V16" s="88" t="n"/>
      <c r="W16" s="88" t="n"/>
      <c r="X16" s="88" t="n"/>
      <c r="Y16" s="88" t="n"/>
      <c r="Z16" s="88" t="n"/>
    </row>
    <row r="17" ht="15" customHeight="1" s="86">
      <c r="A17" s="88" t="n"/>
      <c r="B17" s="103">
        <f>IF(Setup!D12="","",Setup!D12)</f>
        <v/>
      </c>
      <c r="C17" s="124">
        <f>IF($B17="","",SUMIFS(Transactions!$E$5:$E$504,Transactions!$B$5:$B$504,"Expense",Transactions!$C$5:$C$504,$B17,Transactions!$I$5:$I$504,$D$4,Transactions!$J$5:$J$504,Setup!$F$4))</f>
        <v/>
      </c>
      <c r="D17" s="159">
        <f>IF(OR($B17="",$D$7=0),"",C17/$D$7)</f>
        <v/>
      </c>
      <c r="E17" s="88" t="n"/>
      <c r="F17" s="88" t="n"/>
      <c r="G17" s="88" t="n"/>
      <c r="H17" s="88" t="n"/>
      <c r="I17" s="88" t="n"/>
      <c r="J17" s="88" t="n"/>
      <c r="K17" s="88" t="n"/>
      <c r="L17" s="88" t="n"/>
      <c r="M17" s="88" t="n"/>
      <c r="N17" s="88" t="n"/>
      <c r="O17" s="88" t="n"/>
      <c r="P17" s="88" t="n"/>
      <c r="Q17" s="88" t="n"/>
      <c r="R17" s="88" t="n"/>
      <c r="S17" s="88" t="n"/>
      <c r="T17" s="88" t="n"/>
      <c r="U17" s="88" t="n"/>
      <c r="V17" s="88" t="n"/>
      <c r="W17" s="88" t="n"/>
      <c r="X17" s="88" t="n"/>
      <c r="Y17" s="88" t="n"/>
      <c r="Z17" s="88" t="n"/>
    </row>
    <row r="18" ht="15" customHeight="1" s="86">
      <c r="A18" s="88" t="n"/>
      <c r="B18" s="103">
        <f>IF(Setup!D13="","",Setup!D13)</f>
        <v/>
      </c>
      <c r="C18" s="124">
        <f>IF($B18="","",SUMIFS(Transactions!$E$5:$E$504,Transactions!$B$5:$B$504,"Expense",Transactions!$C$5:$C$504,$B18,Transactions!$I$5:$I$504,$D$4,Transactions!$J$5:$J$504,Setup!$F$4))</f>
        <v/>
      </c>
      <c r="D18" s="159">
        <f>IF(OR($B18="",$D$7=0),"",C18/$D$7)</f>
        <v/>
      </c>
      <c r="E18" s="88" t="n"/>
      <c r="F18" s="88" t="n"/>
      <c r="G18" s="88" t="n"/>
      <c r="H18" s="88" t="n"/>
      <c r="I18" s="88" t="n"/>
      <c r="J18" s="88" t="n"/>
      <c r="K18" s="88" t="n"/>
      <c r="L18" s="88" t="n"/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  <c r="Y18" s="88" t="n"/>
      <c r="Z18" s="88" t="n"/>
    </row>
    <row r="19" ht="15" customHeight="1" s="86">
      <c r="A19" s="88" t="n"/>
      <c r="B19" s="103">
        <f>IF(Setup!D14="","",Setup!D14)</f>
        <v/>
      </c>
      <c r="C19" s="124">
        <f>IF($B19="","",SUMIFS(Transactions!$E$5:$E$504,Transactions!$B$5:$B$504,"Expense",Transactions!$C$5:$C$504,$B19,Transactions!$I$5:$I$504,$D$4,Transactions!$J$5:$J$504,Setup!$F$4))</f>
        <v/>
      </c>
      <c r="D19" s="159">
        <f>IF(OR($B19="",$D$7=0),"",C19/$D$7)</f>
        <v/>
      </c>
      <c r="E19" s="88" t="n"/>
      <c r="F19" s="88" t="n"/>
      <c r="G19" s="88" t="n"/>
      <c r="H19" s="88" t="n"/>
      <c r="I19" s="88" t="n"/>
      <c r="J19" s="88" t="n"/>
      <c r="K19" s="88" t="n"/>
      <c r="L19" s="88" t="n"/>
      <c r="M19" s="88" t="n"/>
      <c r="N19" s="88" t="n"/>
      <c r="O19" s="88" t="n"/>
      <c r="P19" s="88" t="n"/>
      <c r="Q19" s="88" t="n"/>
      <c r="R19" s="88" t="n"/>
      <c r="S19" s="88" t="n"/>
      <c r="T19" s="88" t="n"/>
      <c r="U19" s="88" t="n"/>
      <c r="V19" s="88" t="n"/>
      <c r="W19" s="88" t="n"/>
      <c r="X19" s="88" t="n"/>
      <c r="Y19" s="88" t="n"/>
      <c r="Z19" s="88" t="n"/>
    </row>
    <row r="20" ht="15" customHeight="1" s="86">
      <c r="A20" s="88" t="n"/>
      <c r="B20" s="103">
        <f>IF(Setup!D15="","",Setup!D15)</f>
        <v/>
      </c>
      <c r="C20" s="124">
        <f>IF($B20="","",SUMIFS(Transactions!$E$5:$E$504,Transactions!$B$5:$B$504,"Expense",Transactions!$C$5:$C$504,$B20,Transactions!$I$5:$I$504,$D$4,Transactions!$J$5:$J$504,Setup!$F$4))</f>
        <v/>
      </c>
      <c r="D20" s="159">
        <f>IF(OR($B20="",$D$7=0),"",C20/$D$7)</f>
        <v/>
      </c>
      <c r="E20" s="88" t="n"/>
      <c r="F20" s="88" t="n"/>
      <c r="G20" s="88" t="n"/>
      <c r="H20" s="88" t="n"/>
      <c r="I20" s="88" t="n"/>
      <c r="J20" s="88" t="n"/>
      <c r="K20" s="88" t="n"/>
      <c r="L20" s="88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  <c r="Z20" s="88" t="n"/>
    </row>
    <row r="21" ht="15" customHeight="1" s="86">
      <c r="A21" s="88" t="n"/>
      <c r="B21" s="103">
        <f>IF(Setup!D16="","",Setup!D16)</f>
        <v/>
      </c>
      <c r="C21" s="124">
        <f>IF($B21="","",SUMIFS(Transactions!$E$5:$E$504,Transactions!$B$5:$B$504,"Expense",Transactions!$C$5:$C$504,$B21,Transactions!$I$5:$I$504,$D$4,Transactions!$J$5:$J$504,Setup!$F$4))</f>
        <v/>
      </c>
      <c r="D21" s="159">
        <f>IF(OR($B21="",$D$7=0),"",C21/$D$7)</f>
        <v/>
      </c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</row>
    <row r="22" ht="15" customHeight="1" s="86">
      <c r="A22" s="88" t="n"/>
      <c r="B22" s="103">
        <f>IF(Setup!D17="","",Setup!D17)</f>
        <v/>
      </c>
      <c r="C22" s="124">
        <f>IF($B22="","",SUMIFS(Transactions!$E$5:$E$504,Transactions!$B$5:$B$504,"Expense",Transactions!$C$5:$C$504,$B22,Transactions!$I$5:$I$504,$D$4,Transactions!$J$5:$J$504,Setup!$F$4))</f>
        <v/>
      </c>
      <c r="D22" s="159">
        <f>IF(OR($B22="",$D$7=0),"",C22/$D$7)</f>
        <v/>
      </c>
      <c r="E22" s="88" t="n"/>
      <c r="F22" s="88" t="n"/>
      <c r="G22" s="88" t="n"/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</row>
    <row r="23" ht="15" customHeight="1" s="86">
      <c r="A23" s="88" t="n"/>
      <c r="B23" s="103">
        <f>IF(Setup!D18="","",Setup!D18)</f>
        <v/>
      </c>
      <c r="C23" s="124">
        <f>IF($B23="","",SUMIFS(Transactions!$E$5:$E$504,Transactions!$B$5:$B$504,"Expense",Transactions!$C$5:$C$504,$B23,Transactions!$I$5:$I$504,$D$4,Transactions!$J$5:$J$504,Setup!$F$4))</f>
        <v/>
      </c>
      <c r="D23" s="159">
        <f>IF(OR($B23="",$D$7=0),"",C23/$D$7)</f>
        <v/>
      </c>
      <c r="E23" s="88" t="n"/>
      <c r="F23" s="88" t="n"/>
      <c r="G23" s="88" t="n"/>
      <c r="H23" s="88" t="n"/>
      <c r="I23" s="88" t="n"/>
      <c r="J23" s="88" t="n"/>
      <c r="K23" s="88" t="n"/>
      <c r="L23" s="88" t="n"/>
      <c r="M23" s="88" t="n"/>
      <c r="N23" s="88" t="n"/>
      <c r="O23" s="88" t="n"/>
      <c r="P23" s="88" t="n"/>
      <c r="Q23" s="88" t="n"/>
      <c r="R23" s="88" t="n"/>
      <c r="S23" s="88" t="n"/>
      <c r="T23" s="88" t="n"/>
      <c r="U23" s="88" t="n"/>
      <c r="V23" s="88" t="n"/>
      <c r="W23" s="88" t="n"/>
      <c r="X23" s="88" t="n"/>
      <c r="Y23" s="88" t="n"/>
      <c r="Z23" s="88" t="n"/>
    </row>
    <row r="24" ht="15" customHeight="1" s="86">
      <c r="A24" s="88" t="n"/>
      <c r="B24" s="103">
        <f>IF(Setup!D19="","",Setup!D19)</f>
        <v/>
      </c>
      <c r="C24" s="124">
        <f>IF($B24="","",SUMIFS(Transactions!$E$5:$E$504,Transactions!$B$5:$B$504,"Expense",Transactions!$C$5:$C$504,$B24,Transactions!$I$5:$I$504,$D$4,Transactions!$J$5:$J$504,Setup!$F$4))</f>
        <v/>
      </c>
      <c r="D24" s="159">
        <f>IF(OR($B24="",$D$7=0),"",C24/$D$7)</f>
        <v/>
      </c>
      <c r="E24" s="88" t="n"/>
      <c r="F24" s="88" t="n"/>
      <c r="G24" s="88" t="n"/>
      <c r="H24" s="88" t="n"/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8" t="n"/>
      <c r="W24" s="88" t="n"/>
      <c r="X24" s="88" t="n"/>
      <c r="Y24" s="88" t="n"/>
      <c r="Z24" s="88" t="n"/>
    </row>
    <row r="25" ht="15" customHeight="1" s="86">
      <c r="A25" s="88" t="n"/>
      <c r="B25" s="103">
        <f>IF(Setup!D20="","",Setup!D20)</f>
        <v/>
      </c>
      <c r="C25" s="124">
        <f>IF($B25="","",SUMIFS(Transactions!$E$5:$E$504,Transactions!$B$5:$B$504,"Expense",Transactions!$C$5:$C$504,$B25,Transactions!$I$5:$I$504,$D$4,Transactions!$J$5:$J$504,Setup!$F$4))</f>
        <v/>
      </c>
      <c r="D25" s="159">
        <f>IF(OR($B25="",$D$7=0),"",C25/$D$7)</f>
        <v/>
      </c>
      <c r="E25" s="88" t="n"/>
      <c r="F25" s="88" t="n"/>
      <c r="G25" s="88" t="n"/>
      <c r="H25" s="88" t="n"/>
      <c r="I25" s="88" t="n"/>
      <c r="J25" s="88" t="n"/>
      <c r="K25" s="88" t="n"/>
      <c r="L25" s="88" t="n"/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8" t="n"/>
      <c r="W25" s="88" t="n"/>
      <c r="X25" s="88" t="n"/>
      <c r="Y25" s="88" t="n"/>
      <c r="Z25" s="88" t="n"/>
    </row>
    <row r="26" ht="15" customHeight="1" s="86">
      <c r="A26" s="88" t="n"/>
      <c r="B26" s="88" t="n"/>
      <c r="C26" s="88" t="n"/>
      <c r="D26" s="88" t="n"/>
      <c r="E26" s="88" t="n"/>
      <c r="F26" s="88" t="n"/>
      <c r="G26" s="88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8" t="n"/>
      <c r="W26" s="88" t="n"/>
      <c r="X26" s="88" t="n"/>
      <c r="Y26" s="88" t="n"/>
      <c r="Z26" s="88" t="n"/>
    </row>
    <row r="27" ht="15" customHeight="1" s="86">
      <c r="A27" s="88" t="n"/>
      <c r="B27" s="88" t="n"/>
      <c r="C27" s="88" t="n"/>
      <c r="D27" s="88" t="n"/>
      <c r="E27" s="88" t="n"/>
      <c r="F27" s="88" t="n"/>
      <c r="G27" s="88" t="n"/>
      <c r="H27" s="88" t="n"/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8" t="n"/>
      <c r="W27" s="88" t="n"/>
      <c r="X27" s="88" t="n"/>
      <c r="Y27" s="88" t="n"/>
      <c r="Z27" s="88" t="n"/>
    </row>
    <row r="28" ht="15" customHeight="1" s="86">
      <c r="A28" s="88" t="n"/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  <c r="Z28" s="88" t="n"/>
    </row>
    <row r="29" ht="15" customHeight="1" s="86">
      <c r="A29" s="88" t="n"/>
      <c r="B29" s="88" t="n"/>
      <c r="C29" s="88" t="n"/>
      <c r="D29" s="88" t="n"/>
      <c r="E29" s="88" t="n"/>
      <c r="F29" s="88" t="n"/>
      <c r="G29" s="88" t="n"/>
      <c r="H29" s="88" t="n"/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8" t="n"/>
      <c r="Z29" s="88" t="n"/>
    </row>
    <row r="30" ht="15" customHeight="1" s="86">
      <c r="A30" s="88" t="n"/>
      <c r="B30" s="88" t="n"/>
      <c r="C30" s="88" t="n"/>
      <c r="D30" s="88" t="n"/>
      <c r="E30" s="88" t="n"/>
      <c r="F30" s="88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  <c r="Y30" s="88" t="n"/>
      <c r="Z30" s="88" t="n"/>
    </row>
    <row r="31" ht="15" customHeight="1" s="86">
      <c r="A31" s="88" t="n"/>
      <c r="B31" s="88" t="n"/>
      <c r="C31" s="88" t="n"/>
      <c r="D31" s="88" t="n"/>
      <c r="E31" s="88" t="n"/>
      <c r="F31" s="88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  <c r="Y31" s="88" t="n"/>
      <c r="Z31" s="88" t="n"/>
    </row>
    <row r="32" ht="15" customHeight="1" s="86">
      <c r="A32" s="88" t="n"/>
      <c r="B32" s="88" t="n"/>
      <c r="C32" s="88" t="n"/>
      <c r="D32" s="88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8" t="n"/>
      <c r="W32" s="88" t="n"/>
      <c r="X32" s="88" t="n"/>
      <c r="Y32" s="88" t="n"/>
      <c r="Z32" s="88" t="n"/>
    </row>
    <row r="33" ht="15" customHeight="1" s="86">
      <c r="A33" s="88" t="n"/>
      <c r="B33" s="88" t="n"/>
      <c r="C33" s="88" t="n"/>
      <c r="D33" s="88" t="n"/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8" t="n"/>
      <c r="W33" s="88" t="n"/>
      <c r="X33" s="88" t="n"/>
      <c r="Y33" s="88" t="n"/>
      <c r="Z33" s="88" t="n"/>
    </row>
    <row r="34" ht="15" customHeight="1" s="86">
      <c r="A34" s="88" t="n"/>
      <c r="B34" s="88" t="n"/>
      <c r="C34" s="88" t="n"/>
      <c r="D34" s="88" t="n"/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8" t="n"/>
      <c r="W34" s="88" t="n"/>
      <c r="X34" s="88" t="n"/>
      <c r="Y34" s="88" t="n"/>
      <c r="Z34" s="88" t="n"/>
    </row>
    <row r="35" ht="15" customHeight="1" s="86">
      <c r="A35" s="88" t="n"/>
      <c r="B35" s="88" t="n"/>
      <c r="C35" s="88" t="n"/>
      <c r="D35" s="88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8" t="n"/>
      <c r="X35" s="88" t="n"/>
      <c r="Y35" s="88" t="n"/>
      <c r="Z35" s="88" t="n"/>
    </row>
    <row r="36" ht="15" customHeight="1" s="86">
      <c r="A36" s="88" t="n"/>
      <c r="B36" s="88" t="n"/>
      <c r="C36" s="88" t="n"/>
      <c r="D36" s="88" t="n"/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  <c r="Y36" s="88" t="n"/>
      <c r="Z36" s="88" t="n"/>
    </row>
    <row r="37" ht="15" customHeight="1" s="86">
      <c r="A37" s="88" t="n"/>
      <c r="B37" s="88" t="n"/>
      <c r="C37" s="88" t="n"/>
      <c r="D37" s="88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8" t="n"/>
      <c r="X37" s="88" t="n"/>
      <c r="Y37" s="88" t="n"/>
      <c r="Z37" s="88" t="n"/>
    </row>
    <row r="38" ht="15" customHeight="1" s="86">
      <c r="A38" s="88" t="n"/>
      <c r="B38" s="88" t="n"/>
      <c r="C38" s="88" t="n"/>
      <c r="D38" s="88" t="n"/>
      <c r="E38" s="88" t="n"/>
      <c r="F38" s="88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8" t="n"/>
      <c r="W38" s="88" t="n"/>
      <c r="X38" s="88" t="n"/>
      <c r="Y38" s="88" t="n"/>
      <c r="Z38" s="88" t="n"/>
    </row>
    <row r="39" ht="15" customHeight="1" s="86">
      <c r="A39" s="88" t="n"/>
      <c r="B39" s="88" t="n"/>
      <c r="C39" s="88" t="n"/>
      <c r="D39" s="88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8" t="n"/>
      <c r="X39" s="88" t="n"/>
      <c r="Y39" s="88" t="n"/>
      <c r="Z39" s="88" t="n"/>
    </row>
    <row r="40" ht="15" customHeight="1" s="86">
      <c r="A40" s="88" t="n"/>
      <c r="B40" s="88" t="n"/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8" t="n"/>
      <c r="X40" s="88" t="n"/>
      <c r="Y40" s="88" t="n"/>
      <c r="Z40" s="88" t="n"/>
    </row>
    <row r="41" ht="15" customHeight="1" s="86">
      <c r="A41" s="88" t="n"/>
      <c r="B41" s="88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8" t="n"/>
      <c r="X41" s="88" t="n"/>
      <c r="Y41" s="88" t="n"/>
      <c r="Z41" s="88" t="n"/>
    </row>
    <row r="42" ht="15" customHeight="1" s="86">
      <c r="A42" s="88" t="n"/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8" t="n"/>
      <c r="X42" s="88" t="n"/>
      <c r="Y42" s="88" t="n"/>
      <c r="Z42" s="88" t="n"/>
    </row>
    <row r="43" ht="15" customHeight="1" s="86">
      <c r="A43" s="88" t="n"/>
      <c r="B43" s="88" t="n"/>
      <c r="C43" s="88" t="n"/>
      <c r="D43" s="88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8" t="n"/>
      <c r="W43" s="88" t="n"/>
      <c r="X43" s="88" t="n"/>
      <c r="Y43" s="88" t="n"/>
      <c r="Z43" s="88" t="n"/>
    </row>
    <row r="44" ht="15" customHeight="1" s="86">
      <c r="A44" s="88" t="n"/>
      <c r="B44" s="88" t="n"/>
      <c r="C44" s="88" t="n"/>
      <c r="D44" s="88" t="n"/>
      <c r="E44" s="88" t="n"/>
      <c r="F44" s="88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8" t="n"/>
      <c r="W44" s="88" t="n"/>
      <c r="X44" s="88" t="n"/>
      <c r="Y44" s="88" t="n"/>
      <c r="Z44" s="88" t="n"/>
    </row>
    <row r="45" ht="15" customHeight="1" s="86">
      <c r="A45" s="88" t="n"/>
      <c r="B45" s="88" t="n"/>
      <c r="C45" s="88" t="n"/>
      <c r="D45" s="88" t="n"/>
      <c r="E45" s="88" t="n"/>
      <c r="F45" s="88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8" t="n"/>
      <c r="W45" s="88" t="n"/>
      <c r="X45" s="88" t="n"/>
      <c r="Y45" s="88" t="n"/>
      <c r="Z45" s="88" t="n"/>
    </row>
    <row r="46" ht="15" customHeight="1" s="86">
      <c r="A46" s="88" t="n"/>
      <c r="B46" s="88" t="n"/>
      <c r="C46" s="88" t="n"/>
      <c r="D46" s="88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8" t="n"/>
      <c r="W46" s="88" t="n"/>
      <c r="X46" s="88" t="n"/>
      <c r="Y46" s="88" t="n"/>
      <c r="Z46" s="88" t="n"/>
    </row>
    <row r="47" ht="15" customHeight="1" s="86">
      <c r="A47" s="88" t="n"/>
      <c r="B47" s="88" t="n"/>
      <c r="C47" s="88" t="n"/>
      <c r="D47" s="88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8" t="n"/>
      <c r="X47" s="88" t="n"/>
      <c r="Y47" s="88" t="n"/>
      <c r="Z47" s="88" t="n"/>
    </row>
    <row r="48" ht="15" customHeight="1" s="86">
      <c r="A48" s="88" t="n"/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</row>
    <row r="49" ht="15" customHeight="1" s="86">
      <c r="A49" s="88" t="n"/>
      <c r="B49" s="88" t="n"/>
      <c r="C49" s="88" t="n"/>
      <c r="D49" s="88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8" t="n"/>
      <c r="X49" s="88" t="n"/>
      <c r="Y49" s="88" t="n"/>
      <c r="Z49" s="88" t="n"/>
    </row>
    <row r="50" ht="15" customHeight="1" s="86">
      <c r="A50" s="88" t="n"/>
      <c r="B50" s="88" t="n"/>
      <c r="C50" s="88" t="n"/>
      <c r="D50" s="88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8" t="n"/>
      <c r="X50" s="88" t="n"/>
      <c r="Y50" s="88" t="n"/>
      <c r="Z50" s="88" t="n"/>
    </row>
    <row r="51" ht="15" customHeight="1" s="86">
      <c r="A51" s="88" t="n"/>
      <c r="B51" s="88" t="n"/>
      <c r="C51" s="88" t="n"/>
      <c r="D51" s="88" t="n"/>
      <c r="E51" s="88" t="n"/>
      <c r="F51" s="88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8" t="n"/>
      <c r="X51" s="88" t="n"/>
      <c r="Y51" s="88" t="n"/>
      <c r="Z51" s="88" t="n"/>
    </row>
    <row r="52" ht="15" customHeight="1" s="86">
      <c r="A52" s="88" t="n"/>
      <c r="B52" s="88" t="n"/>
      <c r="C52" s="88" t="n"/>
      <c r="D52" s="88" t="n"/>
      <c r="E52" s="88" t="n"/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8" t="n"/>
      <c r="X52" s="88" t="n"/>
      <c r="Y52" s="88" t="n"/>
      <c r="Z52" s="88" t="n"/>
    </row>
    <row r="53" ht="15" customHeight="1" s="86">
      <c r="A53" s="88" t="n"/>
      <c r="B53" s="88" t="n"/>
      <c r="C53" s="88" t="n"/>
      <c r="D53" s="88" t="n"/>
      <c r="E53" s="88" t="n"/>
      <c r="F53" s="88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8" t="n"/>
      <c r="W53" s="88" t="n"/>
      <c r="X53" s="88" t="n"/>
      <c r="Y53" s="88" t="n"/>
      <c r="Z53" s="88" t="n"/>
    </row>
    <row r="54" ht="15" customHeight="1" s="86">
      <c r="A54" s="88" t="n"/>
      <c r="B54" s="88" t="n"/>
      <c r="C54" s="88" t="n"/>
      <c r="D54" s="88" t="n"/>
      <c r="E54" s="88" t="n"/>
      <c r="F54" s="88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8" t="n"/>
      <c r="W54" s="88" t="n"/>
      <c r="X54" s="88" t="n"/>
      <c r="Y54" s="88" t="n"/>
      <c r="Z54" s="88" t="n"/>
    </row>
    <row r="55" ht="15" customHeight="1" s="86">
      <c r="A55" s="88" t="n"/>
      <c r="B55" s="88" t="n"/>
      <c r="C55" s="88" t="n"/>
      <c r="D55" s="88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8" t="n"/>
      <c r="Y55" s="88" t="n"/>
      <c r="Z55" s="88" t="n"/>
    </row>
    <row r="56" ht="15" customHeight="1" s="86">
      <c r="A56" s="88" t="n"/>
      <c r="B56" s="88" t="n"/>
      <c r="C56" s="88" t="n"/>
      <c r="D56" s="88" t="n"/>
      <c r="E56" s="88" t="n"/>
      <c r="F56" s="88" t="n"/>
      <c r="G56" s="88" t="n"/>
      <c r="H56" s="88" t="n"/>
      <c r="I56" s="88" t="n"/>
      <c r="J56" s="88" t="n"/>
      <c r="K56" s="88" t="n"/>
      <c r="L56" s="88" t="n"/>
      <c r="M56" s="88" t="n"/>
      <c r="N56" s="88" t="n"/>
      <c r="O56" s="88" t="n"/>
      <c r="P56" s="88" t="n"/>
      <c r="Q56" s="88" t="n"/>
      <c r="R56" s="88" t="n"/>
      <c r="S56" s="88" t="n"/>
      <c r="T56" s="88" t="n"/>
      <c r="U56" s="88" t="n"/>
      <c r="V56" s="88" t="n"/>
      <c r="W56" s="88" t="n"/>
      <c r="X56" s="88" t="n"/>
      <c r="Y56" s="88" t="n"/>
      <c r="Z56" s="88" t="n"/>
    </row>
    <row r="57" ht="15" customHeight="1" s="86">
      <c r="A57" s="88" t="n"/>
      <c r="B57" s="88" t="n"/>
      <c r="C57" s="88" t="n"/>
      <c r="D57" s="88" t="n"/>
      <c r="E57" s="88" t="n"/>
      <c r="F57" s="88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88" t="n"/>
      <c r="Q57" s="88" t="n"/>
      <c r="R57" s="88" t="n"/>
      <c r="S57" s="88" t="n"/>
      <c r="T57" s="88" t="n"/>
      <c r="U57" s="88" t="n"/>
      <c r="V57" s="88" t="n"/>
      <c r="W57" s="88" t="n"/>
      <c r="X57" s="88" t="n"/>
      <c r="Y57" s="88" t="n"/>
      <c r="Z57" s="88" t="n"/>
    </row>
    <row r="58" ht="15" customHeight="1" s="86">
      <c r="A58" s="88" t="n"/>
      <c r="B58" s="88" t="n"/>
      <c r="C58" s="88" t="n"/>
      <c r="D58" s="88" t="n"/>
      <c r="E58" s="88" t="n"/>
      <c r="F58" s="88" t="n"/>
      <c r="G58" s="88" t="n"/>
      <c r="H58" s="88" t="n"/>
      <c r="I58" s="88" t="n"/>
      <c r="J58" s="88" t="n"/>
      <c r="K58" s="88" t="n"/>
      <c r="L58" s="88" t="n"/>
      <c r="M58" s="88" t="n"/>
      <c r="N58" s="88" t="n"/>
      <c r="O58" s="88" t="n"/>
      <c r="P58" s="88" t="n"/>
      <c r="Q58" s="88" t="n"/>
      <c r="R58" s="88" t="n"/>
      <c r="S58" s="88" t="n"/>
      <c r="T58" s="88" t="n"/>
      <c r="U58" s="88" t="n"/>
      <c r="V58" s="88" t="n"/>
      <c r="W58" s="88" t="n"/>
      <c r="X58" s="88" t="n"/>
      <c r="Y58" s="88" t="n"/>
      <c r="Z58" s="88" t="n"/>
    </row>
    <row r="59" ht="15" customHeight="1" s="86">
      <c r="A59" s="88" t="n"/>
      <c r="B59" s="88" t="n"/>
      <c r="C59" s="88" t="n"/>
      <c r="D59" s="88" t="n"/>
      <c r="E59" s="88" t="n"/>
      <c r="F59" s="88" t="n"/>
      <c r="G59" s="88" t="n"/>
      <c r="H59" s="88" t="n"/>
      <c r="I59" s="88" t="n"/>
      <c r="J59" s="88" t="n"/>
      <c r="K59" s="88" t="n"/>
      <c r="L59" s="88" t="n"/>
      <c r="M59" s="88" t="n"/>
      <c r="N59" s="88" t="n"/>
      <c r="O59" s="88" t="n"/>
      <c r="P59" s="88" t="n"/>
      <c r="Q59" s="88" t="n"/>
      <c r="R59" s="88" t="n"/>
      <c r="S59" s="88" t="n"/>
      <c r="T59" s="88" t="n"/>
      <c r="U59" s="88" t="n"/>
      <c r="V59" s="88" t="n"/>
      <c r="W59" s="88" t="n"/>
      <c r="X59" s="88" t="n"/>
      <c r="Y59" s="88" t="n"/>
      <c r="Z59" s="88" t="n"/>
    </row>
    <row r="60" ht="15" customHeight="1" s="86">
      <c r="A60" s="88" t="n"/>
      <c r="B60" s="88" t="n"/>
      <c r="C60" s="88" t="n"/>
      <c r="D60" s="88" t="n"/>
      <c r="E60" s="88" t="n"/>
      <c r="F60" s="88" t="n"/>
      <c r="G60" s="88" t="n"/>
      <c r="H60" s="88" t="n"/>
      <c r="I60" s="88" t="n"/>
      <c r="J60" s="88" t="n"/>
      <c r="K60" s="88" t="n"/>
      <c r="L60" s="88" t="n"/>
      <c r="M60" s="88" t="n"/>
      <c r="N60" s="88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  <c r="Y60" s="88" t="n"/>
      <c r="Z60" s="88" t="n"/>
    </row>
    <row r="61" ht="15" customHeight="1" s="86">
      <c r="A61" s="88" t="n"/>
      <c r="B61" s="88" t="n"/>
      <c r="C61" s="88" t="n"/>
      <c r="D61" s="88" t="n"/>
      <c r="E61" s="88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8" t="n"/>
      <c r="Y61" s="88" t="n"/>
      <c r="Z61" s="88" t="n"/>
    </row>
    <row r="62" ht="15" customHeight="1" s="86">
      <c r="A62" s="88" t="n"/>
      <c r="B62" s="88" t="n"/>
      <c r="C62" s="88" t="n"/>
      <c r="D62" s="88" t="n"/>
      <c r="E62" s="88" t="n"/>
      <c r="F62" s="88" t="n"/>
      <c r="G62" s="88" t="n"/>
      <c r="H62" s="88" t="n"/>
      <c r="I62" s="88" t="n"/>
      <c r="J62" s="88" t="n"/>
      <c r="K62" s="88" t="n"/>
      <c r="L62" s="88" t="n"/>
      <c r="M62" s="88" t="n"/>
      <c r="N62" s="88" t="n"/>
      <c r="O62" s="88" t="n"/>
      <c r="P62" s="88" t="n"/>
      <c r="Q62" s="88" t="n"/>
      <c r="R62" s="88" t="n"/>
      <c r="S62" s="88" t="n"/>
      <c r="T62" s="88" t="n"/>
      <c r="U62" s="88" t="n"/>
      <c r="V62" s="88" t="n"/>
      <c r="W62" s="88" t="n"/>
      <c r="X62" s="88" t="n"/>
      <c r="Y62" s="88" t="n"/>
      <c r="Z62" s="88" t="n"/>
    </row>
    <row r="63" ht="15" customHeight="1" s="86">
      <c r="A63" s="88" t="n"/>
      <c r="B63" s="88" t="n"/>
      <c r="C63" s="88" t="n"/>
      <c r="D63" s="88" t="n"/>
      <c r="E63" s="88" t="n"/>
      <c r="F63" s="88" t="n"/>
      <c r="G63" s="88" t="n"/>
      <c r="H63" s="88" t="n"/>
      <c r="I63" s="88" t="n"/>
      <c r="J63" s="88" t="n"/>
      <c r="K63" s="88" t="n"/>
      <c r="L63" s="88" t="n"/>
      <c r="M63" s="88" t="n"/>
      <c r="N63" s="88" t="n"/>
      <c r="O63" s="88" t="n"/>
      <c r="P63" s="88" t="n"/>
      <c r="Q63" s="88" t="n"/>
      <c r="R63" s="88" t="n"/>
      <c r="S63" s="88" t="n"/>
      <c r="T63" s="88" t="n"/>
      <c r="U63" s="88" t="n"/>
      <c r="V63" s="88" t="n"/>
      <c r="W63" s="88" t="n"/>
      <c r="X63" s="88" t="n"/>
      <c r="Y63" s="88" t="n"/>
      <c r="Z63" s="88" t="n"/>
    </row>
    <row r="64" ht="15.75" customHeight="1" s="86">
      <c r="T64" s="85" t="n"/>
      <c r="U64" s="85" t="n"/>
      <c r="V64" s="85" t="n"/>
      <c r="W64" s="85" t="n"/>
      <c r="X64" s="85" t="n"/>
      <c r="Y64" s="85" t="n"/>
      <c r="Z64" s="85" t="n"/>
    </row>
    <row r="65" ht="15.75" customHeight="1" s="86">
      <c r="T65" s="85" t="n"/>
      <c r="U65" s="85" t="n"/>
      <c r="V65" s="85" t="n"/>
      <c r="W65" s="85" t="n"/>
      <c r="X65" s="85" t="n"/>
      <c r="Y65" s="85" t="n"/>
      <c r="Z65" s="85" t="n"/>
    </row>
    <row r="66" ht="15.75" customHeight="1" s="86">
      <c r="T66" s="85" t="n"/>
      <c r="U66" s="85" t="n"/>
      <c r="V66" s="85" t="n"/>
      <c r="W66" s="85" t="n"/>
      <c r="X66" s="85" t="n"/>
      <c r="Y66" s="85" t="n"/>
      <c r="Z66" s="85" t="n"/>
    </row>
    <row r="67" ht="15.75" customHeight="1" s="86">
      <c r="T67" s="85" t="n"/>
      <c r="U67" s="85" t="n"/>
      <c r="V67" s="85" t="n"/>
      <c r="W67" s="85" t="n"/>
      <c r="X67" s="85" t="n"/>
      <c r="Y67" s="85" t="n"/>
      <c r="Z67" s="85" t="n"/>
    </row>
    <row r="68" ht="15.75" customHeight="1" s="86">
      <c r="T68" s="85" t="n"/>
      <c r="U68" s="85" t="n"/>
      <c r="V68" s="85" t="n"/>
      <c r="W68" s="85" t="n"/>
      <c r="X68" s="85" t="n"/>
      <c r="Y68" s="85" t="n"/>
      <c r="Z68" s="85" t="n"/>
    </row>
    <row r="69" ht="15.75" customHeight="1" s="86">
      <c r="T69" s="85" t="n"/>
      <c r="U69" s="85" t="n"/>
      <c r="V69" s="85" t="n"/>
      <c r="W69" s="85" t="n"/>
      <c r="X69" s="85" t="n"/>
      <c r="Y69" s="85" t="n"/>
      <c r="Z69" s="85" t="n"/>
    </row>
    <row r="70" ht="15.75" customHeight="1" s="86">
      <c r="T70" s="85" t="n"/>
      <c r="U70" s="85" t="n"/>
      <c r="V70" s="85" t="n"/>
      <c r="W70" s="85" t="n"/>
      <c r="X70" s="85" t="n"/>
      <c r="Y70" s="85" t="n"/>
      <c r="Z70" s="85" t="n"/>
    </row>
    <row r="71" ht="15.75" customHeight="1" s="86">
      <c r="T71" s="85" t="n"/>
      <c r="U71" s="85" t="n"/>
      <c r="V71" s="85" t="n"/>
      <c r="W71" s="85" t="n"/>
      <c r="X71" s="85" t="n"/>
      <c r="Y71" s="85" t="n"/>
      <c r="Z71" s="85" t="n"/>
    </row>
    <row r="72" ht="15.75" customHeight="1" s="86">
      <c r="T72" s="85" t="n"/>
      <c r="U72" s="85" t="n"/>
      <c r="V72" s="85" t="n"/>
      <c r="W72" s="85" t="n"/>
      <c r="X72" s="85" t="n"/>
      <c r="Y72" s="85" t="n"/>
      <c r="Z72" s="85" t="n"/>
    </row>
    <row r="73" ht="15.75" customHeight="1" s="86">
      <c r="T73" s="85" t="n"/>
      <c r="U73" s="85" t="n"/>
      <c r="V73" s="85" t="n"/>
      <c r="W73" s="85" t="n"/>
      <c r="X73" s="85" t="n"/>
      <c r="Y73" s="85" t="n"/>
      <c r="Z73" s="85" t="n"/>
    </row>
    <row r="74" ht="15.75" customHeight="1" s="86">
      <c r="T74" s="85" t="n"/>
      <c r="U74" s="85" t="n"/>
      <c r="V74" s="85" t="n"/>
      <c r="W74" s="85" t="n"/>
      <c r="X74" s="85" t="n"/>
      <c r="Y74" s="85" t="n"/>
      <c r="Z74" s="85" t="n"/>
    </row>
    <row r="75" ht="15.75" customHeight="1" s="86">
      <c r="T75" s="85" t="n"/>
      <c r="U75" s="85" t="n"/>
      <c r="V75" s="85" t="n"/>
      <c r="W75" s="85" t="n"/>
      <c r="X75" s="85" t="n"/>
      <c r="Y75" s="85" t="n"/>
      <c r="Z75" s="85" t="n"/>
    </row>
    <row r="76" ht="15.75" customHeight="1" s="86">
      <c r="T76" s="85" t="n"/>
      <c r="U76" s="85" t="n"/>
      <c r="V76" s="85" t="n"/>
      <c r="W76" s="85" t="n"/>
      <c r="X76" s="85" t="n"/>
      <c r="Y76" s="85" t="n"/>
      <c r="Z76" s="85" t="n"/>
    </row>
    <row r="77" ht="15.75" customHeight="1" s="86">
      <c r="T77" s="85" t="n"/>
      <c r="U77" s="85" t="n"/>
      <c r="V77" s="85" t="n"/>
      <c r="W77" s="85" t="n"/>
      <c r="X77" s="85" t="n"/>
      <c r="Y77" s="85" t="n"/>
      <c r="Z77" s="85" t="n"/>
    </row>
    <row r="78" ht="15.75" customHeight="1" s="86">
      <c r="T78" s="85" t="n"/>
      <c r="U78" s="85" t="n"/>
      <c r="V78" s="85" t="n"/>
      <c r="W78" s="85" t="n"/>
      <c r="X78" s="85" t="n"/>
      <c r="Y78" s="85" t="n"/>
      <c r="Z78" s="85" t="n"/>
    </row>
    <row r="79" ht="15.75" customHeight="1" s="86">
      <c r="T79" s="85" t="n"/>
      <c r="U79" s="85" t="n"/>
      <c r="V79" s="85" t="n"/>
      <c r="W79" s="85" t="n"/>
      <c r="X79" s="85" t="n"/>
      <c r="Y79" s="85" t="n"/>
      <c r="Z79" s="85" t="n"/>
    </row>
    <row r="80" ht="15.75" customHeight="1" s="86">
      <c r="T80" s="85" t="n"/>
      <c r="U80" s="85" t="n"/>
      <c r="V80" s="85" t="n"/>
      <c r="W80" s="85" t="n"/>
      <c r="X80" s="85" t="n"/>
      <c r="Y80" s="85" t="n"/>
      <c r="Z80" s="85" t="n"/>
    </row>
    <row r="81" ht="15.75" customHeight="1" s="86">
      <c r="T81" s="85" t="n"/>
      <c r="U81" s="85" t="n"/>
      <c r="V81" s="85" t="n"/>
      <c r="W81" s="85" t="n"/>
      <c r="X81" s="85" t="n"/>
      <c r="Y81" s="85" t="n"/>
      <c r="Z81" s="85" t="n"/>
    </row>
    <row r="82" ht="15.75" customHeight="1" s="86">
      <c r="T82" s="85" t="n"/>
      <c r="U82" s="85" t="n"/>
      <c r="V82" s="85" t="n"/>
      <c r="W82" s="85" t="n"/>
      <c r="X82" s="85" t="n"/>
      <c r="Y82" s="85" t="n"/>
      <c r="Z82" s="85" t="n"/>
    </row>
    <row r="83" ht="15.75" customHeight="1" s="86">
      <c r="T83" s="85" t="n"/>
      <c r="U83" s="85" t="n"/>
      <c r="V83" s="85" t="n"/>
      <c r="W83" s="85" t="n"/>
      <c r="X83" s="85" t="n"/>
      <c r="Y83" s="85" t="n"/>
      <c r="Z83" s="85" t="n"/>
    </row>
    <row r="84" ht="15.75" customHeight="1" s="86">
      <c r="T84" s="85" t="n"/>
      <c r="U84" s="85" t="n"/>
      <c r="V84" s="85" t="n"/>
      <c r="W84" s="85" t="n"/>
      <c r="X84" s="85" t="n"/>
      <c r="Y84" s="85" t="n"/>
      <c r="Z84" s="85" t="n"/>
    </row>
    <row r="85" ht="15.75" customHeight="1" s="86">
      <c r="T85" s="85" t="n"/>
      <c r="U85" s="85" t="n"/>
      <c r="V85" s="85" t="n"/>
      <c r="W85" s="85" t="n"/>
      <c r="X85" s="85" t="n"/>
      <c r="Y85" s="85" t="n"/>
      <c r="Z85" s="85" t="n"/>
    </row>
    <row r="86" ht="15.75" customHeight="1" s="86">
      <c r="T86" s="85" t="n"/>
      <c r="U86" s="85" t="n"/>
      <c r="V86" s="85" t="n"/>
      <c r="W86" s="85" t="n"/>
      <c r="X86" s="85" t="n"/>
      <c r="Y86" s="85" t="n"/>
      <c r="Z86" s="85" t="n"/>
    </row>
    <row r="87" ht="15.75" customHeight="1" s="86">
      <c r="T87" s="85" t="n"/>
      <c r="U87" s="85" t="n"/>
      <c r="V87" s="85" t="n"/>
      <c r="W87" s="85" t="n"/>
      <c r="X87" s="85" t="n"/>
      <c r="Y87" s="85" t="n"/>
      <c r="Z87" s="85" t="n"/>
    </row>
    <row r="88" ht="15.75" customHeight="1" s="86">
      <c r="T88" s="85" t="n"/>
      <c r="U88" s="85" t="n"/>
      <c r="V88" s="85" t="n"/>
      <c r="W88" s="85" t="n"/>
      <c r="X88" s="85" t="n"/>
      <c r="Y88" s="85" t="n"/>
      <c r="Z88" s="85" t="n"/>
    </row>
    <row r="89" ht="15.75" customHeight="1" s="86">
      <c r="T89" s="85" t="n"/>
      <c r="U89" s="85" t="n"/>
      <c r="V89" s="85" t="n"/>
      <c r="W89" s="85" t="n"/>
      <c r="X89" s="85" t="n"/>
      <c r="Y89" s="85" t="n"/>
      <c r="Z89" s="85" t="n"/>
    </row>
    <row r="90" ht="15.75" customHeight="1" s="86">
      <c r="T90" s="85" t="n"/>
      <c r="U90" s="85" t="n"/>
      <c r="V90" s="85" t="n"/>
      <c r="W90" s="85" t="n"/>
      <c r="X90" s="85" t="n"/>
      <c r="Y90" s="85" t="n"/>
      <c r="Z90" s="85" t="n"/>
    </row>
    <row r="91" ht="15.75" customHeight="1" s="86">
      <c r="T91" s="85" t="n"/>
      <c r="U91" s="85" t="n"/>
      <c r="V91" s="85" t="n"/>
      <c r="W91" s="85" t="n"/>
      <c r="X91" s="85" t="n"/>
      <c r="Y91" s="85" t="n"/>
      <c r="Z91" s="85" t="n"/>
    </row>
    <row r="92" ht="15.75" customHeight="1" s="86">
      <c r="T92" s="85" t="n"/>
      <c r="U92" s="85" t="n"/>
      <c r="V92" s="85" t="n"/>
      <c r="W92" s="85" t="n"/>
      <c r="X92" s="85" t="n"/>
      <c r="Y92" s="85" t="n"/>
      <c r="Z92" s="85" t="n"/>
    </row>
    <row r="93" ht="15.75" customHeight="1" s="86">
      <c r="T93" s="85" t="n"/>
      <c r="U93" s="85" t="n"/>
      <c r="V93" s="85" t="n"/>
      <c r="W93" s="85" t="n"/>
      <c r="X93" s="85" t="n"/>
      <c r="Y93" s="85" t="n"/>
      <c r="Z93" s="85" t="n"/>
    </row>
    <row r="94" ht="15.75" customHeight="1" s="86">
      <c r="T94" s="85" t="n"/>
      <c r="U94" s="85" t="n"/>
      <c r="V94" s="85" t="n"/>
      <c r="W94" s="85" t="n"/>
      <c r="X94" s="85" t="n"/>
      <c r="Y94" s="85" t="n"/>
      <c r="Z94" s="85" t="n"/>
    </row>
    <row r="95" ht="15.75" customHeight="1" s="86">
      <c r="T95" s="85" t="n"/>
      <c r="U95" s="85" t="n"/>
      <c r="V95" s="85" t="n"/>
      <c r="W95" s="85" t="n"/>
      <c r="X95" s="85" t="n"/>
      <c r="Y95" s="85" t="n"/>
      <c r="Z95" s="85" t="n"/>
    </row>
    <row r="96" ht="15.75" customHeight="1" s="86">
      <c r="T96" s="85" t="n"/>
      <c r="U96" s="85" t="n"/>
      <c r="V96" s="85" t="n"/>
      <c r="W96" s="85" t="n"/>
      <c r="X96" s="85" t="n"/>
      <c r="Y96" s="85" t="n"/>
      <c r="Z96" s="85" t="n"/>
    </row>
    <row r="97" ht="15.75" customHeight="1" s="86">
      <c r="T97" s="85" t="n"/>
      <c r="U97" s="85" t="n"/>
      <c r="V97" s="85" t="n"/>
      <c r="W97" s="85" t="n"/>
      <c r="X97" s="85" t="n"/>
      <c r="Y97" s="85" t="n"/>
      <c r="Z97" s="85" t="n"/>
    </row>
    <row r="98" ht="15.75" customHeight="1" s="86">
      <c r="T98" s="85" t="n"/>
      <c r="U98" s="85" t="n"/>
      <c r="V98" s="85" t="n"/>
      <c r="W98" s="85" t="n"/>
      <c r="X98" s="85" t="n"/>
      <c r="Y98" s="85" t="n"/>
      <c r="Z98" s="85" t="n"/>
    </row>
    <row r="99" ht="15.75" customHeight="1" s="86">
      <c r="T99" s="85" t="n"/>
      <c r="U99" s="85" t="n"/>
      <c r="V99" s="85" t="n"/>
      <c r="W99" s="85" t="n"/>
      <c r="X99" s="85" t="n"/>
      <c r="Y99" s="85" t="n"/>
      <c r="Z99" s="85" t="n"/>
    </row>
    <row r="100" ht="15.75" customHeight="1" s="86">
      <c r="T100" s="85" t="n"/>
      <c r="U100" s="85" t="n"/>
      <c r="V100" s="85" t="n"/>
      <c r="W100" s="85" t="n"/>
      <c r="X100" s="85" t="n"/>
      <c r="Y100" s="85" t="n"/>
      <c r="Z100" s="85" t="n"/>
    </row>
    <row r="101" ht="15.75" customHeight="1" s="86">
      <c r="T101" s="85" t="n"/>
      <c r="U101" s="85" t="n"/>
      <c r="V101" s="85" t="n"/>
      <c r="W101" s="85" t="n"/>
      <c r="X101" s="85" t="n"/>
      <c r="Y101" s="85" t="n"/>
      <c r="Z101" s="85" t="n"/>
    </row>
    <row r="102" ht="15.75" customHeight="1" s="86">
      <c r="T102" s="85" t="n"/>
      <c r="U102" s="85" t="n"/>
      <c r="V102" s="85" t="n"/>
      <c r="W102" s="85" t="n"/>
      <c r="X102" s="85" t="n"/>
      <c r="Y102" s="85" t="n"/>
      <c r="Z102" s="85" t="n"/>
    </row>
    <row r="103" ht="15.75" customHeight="1" s="86">
      <c r="T103" s="85" t="n"/>
      <c r="U103" s="85" t="n"/>
      <c r="V103" s="85" t="n"/>
      <c r="W103" s="85" t="n"/>
      <c r="X103" s="85" t="n"/>
      <c r="Y103" s="85" t="n"/>
      <c r="Z103" s="85" t="n"/>
    </row>
    <row r="104" ht="15.75" customHeight="1" s="86">
      <c r="T104" s="85" t="n"/>
      <c r="U104" s="85" t="n"/>
      <c r="V104" s="85" t="n"/>
      <c r="W104" s="85" t="n"/>
      <c r="X104" s="85" t="n"/>
      <c r="Y104" s="85" t="n"/>
      <c r="Z104" s="85" t="n"/>
    </row>
    <row r="105" ht="15.75" customHeight="1" s="86">
      <c r="T105" s="85" t="n"/>
      <c r="U105" s="85" t="n"/>
      <c r="V105" s="85" t="n"/>
      <c r="W105" s="85" t="n"/>
      <c r="X105" s="85" t="n"/>
      <c r="Y105" s="85" t="n"/>
      <c r="Z105" s="85" t="n"/>
    </row>
    <row r="106" ht="15.75" customHeight="1" s="86">
      <c r="T106" s="85" t="n"/>
      <c r="U106" s="85" t="n"/>
      <c r="V106" s="85" t="n"/>
      <c r="W106" s="85" t="n"/>
      <c r="X106" s="85" t="n"/>
      <c r="Y106" s="85" t="n"/>
      <c r="Z106" s="85" t="n"/>
    </row>
    <row r="107" ht="15.75" customHeight="1" s="86">
      <c r="T107" s="85" t="n"/>
      <c r="U107" s="85" t="n"/>
      <c r="V107" s="85" t="n"/>
      <c r="W107" s="85" t="n"/>
      <c r="X107" s="85" t="n"/>
      <c r="Y107" s="85" t="n"/>
      <c r="Z107" s="85" t="n"/>
    </row>
    <row r="108" ht="15.75" customHeight="1" s="86">
      <c r="T108" s="85" t="n"/>
      <c r="U108" s="85" t="n"/>
      <c r="V108" s="85" t="n"/>
      <c r="W108" s="85" t="n"/>
      <c r="X108" s="85" t="n"/>
      <c r="Y108" s="85" t="n"/>
      <c r="Z108" s="85" t="n"/>
    </row>
    <row r="109" ht="15.75" customHeight="1" s="86">
      <c r="T109" s="85" t="n"/>
      <c r="U109" s="85" t="n"/>
      <c r="V109" s="85" t="n"/>
      <c r="W109" s="85" t="n"/>
      <c r="X109" s="85" t="n"/>
      <c r="Y109" s="85" t="n"/>
      <c r="Z109" s="85" t="n"/>
    </row>
    <row r="110" ht="15.75" customHeight="1" s="86">
      <c r="T110" s="85" t="n"/>
      <c r="U110" s="85" t="n"/>
      <c r="V110" s="85" t="n"/>
      <c r="W110" s="85" t="n"/>
      <c r="X110" s="85" t="n"/>
      <c r="Y110" s="85" t="n"/>
      <c r="Z110" s="85" t="n"/>
    </row>
    <row r="111" ht="15.75" customHeight="1" s="86">
      <c r="T111" s="85" t="n"/>
      <c r="U111" s="85" t="n"/>
      <c r="V111" s="85" t="n"/>
      <c r="W111" s="85" t="n"/>
      <c r="X111" s="85" t="n"/>
      <c r="Y111" s="85" t="n"/>
      <c r="Z111" s="85" t="n"/>
    </row>
    <row r="112" ht="15.75" customHeight="1" s="86">
      <c r="T112" s="85" t="n"/>
      <c r="U112" s="85" t="n"/>
      <c r="V112" s="85" t="n"/>
      <c r="W112" s="85" t="n"/>
      <c r="X112" s="85" t="n"/>
      <c r="Y112" s="85" t="n"/>
      <c r="Z112" s="85" t="n"/>
    </row>
    <row r="113" ht="15.75" customHeight="1" s="86">
      <c r="T113" s="85" t="n"/>
      <c r="U113" s="85" t="n"/>
      <c r="V113" s="85" t="n"/>
      <c r="W113" s="85" t="n"/>
      <c r="X113" s="85" t="n"/>
      <c r="Y113" s="85" t="n"/>
      <c r="Z113" s="85" t="n"/>
    </row>
    <row r="114" ht="15.75" customHeight="1" s="86">
      <c r="T114" s="85" t="n"/>
      <c r="U114" s="85" t="n"/>
      <c r="V114" s="85" t="n"/>
      <c r="W114" s="85" t="n"/>
      <c r="X114" s="85" t="n"/>
      <c r="Y114" s="85" t="n"/>
      <c r="Z114" s="85" t="n"/>
    </row>
    <row r="115" ht="15.75" customHeight="1" s="86">
      <c r="T115" s="85" t="n"/>
      <c r="U115" s="85" t="n"/>
      <c r="V115" s="85" t="n"/>
      <c r="W115" s="85" t="n"/>
      <c r="X115" s="85" t="n"/>
      <c r="Y115" s="85" t="n"/>
      <c r="Z115" s="85" t="n"/>
    </row>
    <row r="116" ht="15.75" customHeight="1" s="86">
      <c r="T116" s="85" t="n"/>
      <c r="U116" s="85" t="n"/>
      <c r="V116" s="85" t="n"/>
      <c r="W116" s="85" t="n"/>
      <c r="X116" s="85" t="n"/>
      <c r="Y116" s="85" t="n"/>
      <c r="Z116" s="85" t="n"/>
    </row>
    <row r="117" ht="15.75" customHeight="1" s="86">
      <c r="T117" s="85" t="n"/>
      <c r="U117" s="85" t="n"/>
      <c r="V117" s="85" t="n"/>
      <c r="W117" s="85" t="n"/>
      <c r="X117" s="85" t="n"/>
      <c r="Y117" s="85" t="n"/>
      <c r="Z117" s="85" t="n"/>
    </row>
    <row r="118" ht="15.75" customHeight="1" s="86">
      <c r="T118" s="85" t="n"/>
      <c r="U118" s="85" t="n"/>
      <c r="V118" s="85" t="n"/>
      <c r="W118" s="85" t="n"/>
      <c r="X118" s="85" t="n"/>
      <c r="Y118" s="85" t="n"/>
      <c r="Z118" s="85" t="n"/>
    </row>
    <row r="119" ht="15.75" customHeight="1" s="86">
      <c r="T119" s="85" t="n"/>
      <c r="U119" s="85" t="n"/>
      <c r="V119" s="85" t="n"/>
      <c r="W119" s="85" t="n"/>
      <c r="X119" s="85" t="n"/>
      <c r="Y119" s="85" t="n"/>
      <c r="Z119" s="85" t="n"/>
    </row>
    <row r="120" ht="15.75" customHeight="1" s="86">
      <c r="T120" s="85" t="n"/>
      <c r="U120" s="85" t="n"/>
      <c r="V120" s="85" t="n"/>
      <c r="W120" s="85" t="n"/>
      <c r="X120" s="85" t="n"/>
      <c r="Y120" s="85" t="n"/>
      <c r="Z120" s="85" t="n"/>
    </row>
    <row r="121" ht="15.75" customHeight="1" s="86">
      <c r="T121" s="85" t="n"/>
      <c r="U121" s="85" t="n"/>
      <c r="V121" s="85" t="n"/>
      <c r="W121" s="85" t="n"/>
      <c r="X121" s="85" t="n"/>
      <c r="Y121" s="85" t="n"/>
      <c r="Z121" s="85" t="n"/>
    </row>
    <row r="122" ht="15.75" customHeight="1" s="86">
      <c r="T122" s="85" t="n"/>
      <c r="U122" s="85" t="n"/>
      <c r="V122" s="85" t="n"/>
      <c r="W122" s="85" t="n"/>
      <c r="X122" s="85" t="n"/>
      <c r="Y122" s="85" t="n"/>
      <c r="Z122" s="85" t="n"/>
    </row>
    <row r="123" ht="15.75" customHeight="1" s="86">
      <c r="T123" s="85" t="n"/>
      <c r="U123" s="85" t="n"/>
      <c r="V123" s="85" t="n"/>
      <c r="W123" s="85" t="n"/>
      <c r="X123" s="85" t="n"/>
      <c r="Y123" s="85" t="n"/>
      <c r="Z123" s="85" t="n"/>
    </row>
    <row r="124" ht="15.75" customHeight="1" s="86">
      <c r="T124" s="85" t="n"/>
      <c r="U124" s="85" t="n"/>
      <c r="V124" s="85" t="n"/>
      <c r="W124" s="85" t="n"/>
      <c r="X124" s="85" t="n"/>
      <c r="Y124" s="85" t="n"/>
      <c r="Z124" s="85" t="n"/>
    </row>
    <row r="125" ht="15.75" customHeight="1" s="86">
      <c r="T125" s="85" t="n"/>
      <c r="U125" s="85" t="n"/>
      <c r="V125" s="85" t="n"/>
      <c r="W125" s="85" t="n"/>
      <c r="X125" s="85" t="n"/>
      <c r="Y125" s="85" t="n"/>
      <c r="Z125" s="85" t="n"/>
    </row>
    <row r="126" ht="15.75" customHeight="1" s="86">
      <c r="T126" s="85" t="n"/>
      <c r="U126" s="85" t="n"/>
      <c r="V126" s="85" t="n"/>
      <c r="W126" s="85" t="n"/>
      <c r="X126" s="85" t="n"/>
      <c r="Y126" s="85" t="n"/>
      <c r="Z126" s="85" t="n"/>
    </row>
    <row r="127" ht="15.75" customHeight="1" s="86">
      <c r="T127" s="85" t="n"/>
      <c r="U127" s="85" t="n"/>
      <c r="V127" s="85" t="n"/>
      <c r="W127" s="85" t="n"/>
      <c r="X127" s="85" t="n"/>
      <c r="Y127" s="85" t="n"/>
      <c r="Z127" s="85" t="n"/>
    </row>
    <row r="128" ht="15.75" customHeight="1" s="86">
      <c r="T128" s="85" t="n"/>
      <c r="U128" s="85" t="n"/>
      <c r="V128" s="85" t="n"/>
      <c r="W128" s="85" t="n"/>
      <c r="X128" s="85" t="n"/>
      <c r="Y128" s="85" t="n"/>
      <c r="Z128" s="85" t="n"/>
    </row>
    <row r="129" ht="15.75" customHeight="1" s="86">
      <c r="T129" s="85" t="n"/>
      <c r="U129" s="85" t="n"/>
      <c r="V129" s="85" t="n"/>
      <c r="W129" s="85" t="n"/>
      <c r="X129" s="85" t="n"/>
      <c r="Y129" s="85" t="n"/>
      <c r="Z129" s="85" t="n"/>
    </row>
    <row r="130" ht="15.75" customHeight="1" s="86">
      <c r="T130" s="85" t="n"/>
      <c r="U130" s="85" t="n"/>
      <c r="V130" s="85" t="n"/>
      <c r="W130" s="85" t="n"/>
      <c r="X130" s="85" t="n"/>
      <c r="Y130" s="85" t="n"/>
      <c r="Z130" s="85" t="n"/>
    </row>
    <row r="131" ht="15.75" customHeight="1" s="86">
      <c r="T131" s="85" t="n"/>
      <c r="U131" s="85" t="n"/>
      <c r="V131" s="85" t="n"/>
      <c r="W131" s="85" t="n"/>
      <c r="X131" s="85" t="n"/>
      <c r="Y131" s="85" t="n"/>
      <c r="Z131" s="85" t="n"/>
    </row>
    <row r="132" ht="15.75" customHeight="1" s="86">
      <c r="T132" s="85" t="n"/>
      <c r="U132" s="85" t="n"/>
      <c r="V132" s="85" t="n"/>
      <c r="W132" s="85" t="n"/>
      <c r="X132" s="85" t="n"/>
      <c r="Y132" s="85" t="n"/>
      <c r="Z132" s="85" t="n"/>
    </row>
    <row r="133" ht="15.75" customHeight="1" s="86">
      <c r="T133" s="85" t="n"/>
      <c r="U133" s="85" t="n"/>
      <c r="V133" s="85" t="n"/>
      <c r="W133" s="85" t="n"/>
      <c r="X133" s="85" t="n"/>
      <c r="Y133" s="85" t="n"/>
      <c r="Z133" s="85" t="n"/>
    </row>
    <row r="134" ht="15.75" customHeight="1" s="86">
      <c r="T134" s="85" t="n"/>
      <c r="U134" s="85" t="n"/>
      <c r="V134" s="85" t="n"/>
      <c r="W134" s="85" t="n"/>
      <c r="X134" s="85" t="n"/>
      <c r="Y134" s="85" t="n"/>
      <c r="Z134" s="85" t="n"/>
    </row>
    <row r="135" ht="15.75" customHeight="1" s="86">
      <c r="T135" s="85" t="n"/>
      <c r="U135" s="85" t="n"/>
      <c r="V135" s="85" t="n"/>
      <c r="W135" s="85" t="n"/>
      <c r="X135" s="85" t="n"/>
      <c r="Y135" s="85" t="n"/>
      <c r="Z135" s="85" t="n"/>
    </row>
    <row r="136" ht="15.75" customHeight="1" s="86">
      <c r="T136" s="85" t="n"/>
      <c r="U136" s="85" t="n"/>
      <c r="V136" s="85" t="n"/>
      <c r="W136" s="85" t="n"/>
      <c r="X136" s="85" t="n"/>
      <c r="Y136" s="85" t="n"/>
      <c r="Z136" s="85" t="n"/>
    </row>
    <row r="137" ht="15.75" customHeight="1" s="86">
      <c r="T137" s="85" t="n"/>
      <c r="U137" s="85" t="n"/>
      <c r="V137" s="85" t="n"/>
      <c r="W137" s="85" t="n"/>
      <c r="X137" s="85" t="n"/>
      <c r="Y137" s="85" t="n"/>
      <c r="Z137" s="85" t="n"/>
    </row>
    <row r="138" ht="15.75" customHeight="1" s="86">
      <c r="T138" s="85" t="n"/>
      <c r="U138" s="85" t="n"/>
      <c r="V138" s="85" t="n"/>
      <c r="W138" s="85" t="n"/>
      <c r="X138" s="85" t="n"/>
      <c r="Y138" s="85" t="n"/>
      <c r="Z138" s="85" t="n"/>
    </row>
    <row r="139" ht="15.75" customHeight="1" s="86">
      <c r="T139" s="85" t="n"/>
      <c r="U139" s="85" t="n"/>
      <c r="V139" s="85" t="n"/>
      <c r="W139" s="85" t="n"/>
      <c r="X139" s="85" t="n"/>
      <c r="Y139" s="85" t="n"/>
      <c r="Z139" s="85" t="n"/>
    </row>
    <row r="140" ht="15.75" customHeight="1" s="86">
      <c r="T140" s="85" t="n"/>
      <c r="U140" s="85" t="n"/>
      <c r="V140" s="85" t="n"/>
      <c r="W140" s="85" t="n"/>
      <c r="X140" s="85" t="n"/>
      <c r="Y140" s="85" t="n"/>
      <c r="Z140" s="85" t="n"/>
    </row>
    <row r="141" ht="15.75" customHeight="1" s="86">
      <c r="T141" s="85" t="n"/>
      <c r="U141" s="85" t="n"/>
      <c r="V141" s="85" t="n"/>
      <c r="W141" s="85" t="n"/>
      <c r="X141" s="85" t="n"/>
      <c r="Y141" s="85" t="n"/>
      <c r="Z141" s="85" t="n"/>
    </row>
    <row r="142" ht="15.75" customHeight="1" s="86">
      <c r="T142" s="85" t="n"/>
      <c r="U142" s="85" t="n"/>
      <c r="V142" s="85" t="n"/>
      <c r="W142" s="85" t="n"/>
      <c r="X142" s="85" t="n"/>
      <c r="Y142" s="85" t="n"/>
      <c r="Z142" s="85" t="n"/>
    </row>
    <row r="143" ht="15.75" customHeight="1" s="86">
      <c r="T143" s="85" t="n"/>
      <c r="U143" s="85" t="n"/>
      <c r="V143" s="85" t="n"/>
      <c r="W143" s="85" t="n"/>
      <c r="X143" s="85" t="n"/>
      <c r="Y143" s="85" t="n"/>
      <c r="Z143" s="85" t="n"/>
    </row>
    <row r="144" ht="15.75" customHeight="1" s="86">
      <c r="T144" s="85" t="n"/>
      <c r="U144" s="85" t="n"/>
      <c r="V144" s="85" t="n"/>
      <c r="W144" s="85" t="n"/>
      <c r="X144" s="85" t="n"/>
      <c r="Y144" s="85" t="n"/>
      <c r="Z144" s="85" t="n"/>
    </row>
    <row r="145" ht="15.75" customHeight="1" s="86">
      <c r="T145" s="85" t="n"/>
      <c r="U145" s="85" t="n"/>
      <c r="V145" s="85" t="n"/>
      <c r="W145" s="85" t="n"/>
      <c r="X145" s="85" t="n"/>
      <c r="Y145" s="85" t="n"/>
      <c r="Z145" s="85" t="n"/>
    </row>
    <row r="146" ht="15.75" customHeight="1" s="86">
      <c r="T146" s="85" t="n"/>
      <c r="U146" s="85" t="n"/>
      <c r="V146" s="85" t="n"/>
      <c r="W146" s="85" t="n"/>
      <c r="X146" s="85" t="n"/>
      <c r="Y146" s="85" t="n"/>
      <c r="Z146" s="85" t="n"/>
    </row>
    <row r="147" ht="15.75" customHeight="1" s="86">
      <c r="T147" s="85" t="n"/>
      <c r="U147" s="85" t="n"/>
      <c r="V147" s="85" t="n"/>
      <c r="W147" s="85" t="n"/>
      <c r="X147" s="85" t="n"/>
      <c r="Y147" s="85" t="n"/>
      <c r="Z147" s="85" t="n"/>
    </row>
    <row r="148" ht="15.75" customHeight="1" s="86">
      <c r="T148" s="85" t="n"/>
      <c r="U148" s="85" t="n"/>
      <c r="V148" s="85" t="n"/>
      <c r="W148" s="85" t="n"/>
      <c r="X148" s="85" t="n"/>
      <c r="Y148" s="85" t="n"/>
      <c r="Z148" s="85" t="n"/>
    </row>
    <row r="149" ht="15.75" customHeight="1" s="86">
      <c r="T149" s="85" t="n"/>
      <c r="U149" s="85" t="n"/>
      <c r="V149" s="85" t="n"/>
      <c r="W149" s="85" t="n"/>
      <c r="X149" s="85" t="n"/>
      <c r="Y149" s="85" t="n"/>
      <c r="Z149" s="85" t="n"/>
    </row>
    <row r="150" ht="15.75" customHeight="1" s="86">
      <c r="T150" s="85" t="n"/>
      <c r="U150" s="85" t="n"/>
      <c r="V150" s="85" t="n"/>
      <c r="W150" s="85" t="n"/>
      <c r="X150" s="85" t="n"/>
      <c r="Y150" s="85" t="n"/>
      <c r="Z150" s="85" t="n"/>
    </row>
    <row r="151" ht="15.75" customHeight="1" s="86">
      <c r="T151" s="85" t="n"/>
      <c r="U151" s="85" t="n"/>
      <c r="V151" s="85" t="n"/>
      <c r="W151" s="85" t="n"/>
      <c r="X151" s="85" t="n"/>
      <c r="Y151" s="85" t="n"/>
      <c r="Z151" s="85" t="n"/>
    </row>
    <row r="152" ht="15.75" customHeight="1" s="86">
      <c r="T152" s="85" t="n"/>
      <c r="U152" s="85" t="n"/>
      <c r="V152" s="85" t="n"/>
      <c r="W152" s="85" t="n"/>
      <c r="X152" s="85" t="n"/>
      <c r="Y152" s="85" t="n"/>
      <c r="Z152" s="85" t="n"/>
    </row>
    <row r="153" ht="15.75" customHeight="1" s="86">
      <c r="T153" s="85" t="n"/>
      <c r="U153" s="85" t="n"/>
      <c r="V153" s="85" t="n"/>
      <c r="W153" s="85" t="n"/>
      <c r="X153" s="85" t="n"/>
      <c r="Y153" s="85" t="n"/>
      <c r="Z153" s="85" t="n"/>
    </row>
    <row r="154" ht="15.75" customHeight="1" s="86">
      <c r="T154" s="85" t="n"/>
      <c r="U154" s="85" t="n"/>
      <c r="V154" s="85" t="n"/>
      <c r="W154" s="85" t="n"/>
      <c r="X154" s="85" t="n"/>
      <c r="Y154" s="85" t="n"/>
      <c r="Z154" s="85" t="n"/>
    </row>
    <row r="155" ht="15.75" customHeight="1" s="86">
      <c r="T155" s="85" t="n"/>
      <c r="U155" s="85" t="n"/>
      <c r="V155" s="85" t="n"/>
      <c r="W155" s="85" t="n"/>
      <c r="X155" s="85" t="n"/>
      <c r="Y155" s="85" t="n"/>
      <c r="Z155" s="85" t="n"/>
    </row>
    <row r="156" ht="15.75" customHeight="1" s="86">
      <c r="T156" s="85" t="n"/>
      <c r="U156" s="85" t="n"/>
      <c r="V156" s="85" t="n"/>
      <c r="W156" s="85" t="n"/>
      <c r="X156" s="85" t="n"/>
      <c r="Y156" s="85" t="n"/>
      <c r="Z156" s="85" t="n"/>
    </row>
    <row r="157" ht="15.75" customHeight="1" s="86">
      <c r="T157" s="85" t="n"/>
      <c r="U157" s="85" t="n"/>
      <c r="V157" s="85" t="n"/>
      <c r="W157" s="85" t="n"/>
      <c r="X157" s="85" t="n"/>
      <c r="Y157" s="85" t="n"/>
      <c r="Z157" s="85" t="n"/>
    </row>
    <row r="158" ht="15.75" customHeight="1" s="86">
      <c r="T158" s="85" t="n"/>
      <c r="U158" s="85" t="n"/>
      <c r="V158" s="85" t="n"/>
      <c r="W158" s="85" t="n"/>
      <c r="X158" s="85" t="n"/>
      <c r="Y158" s="85" t="n"/>
      <c r="Z158" s="85" t="n"/>
    </row>
    <row r="159" ht="15.75" customHeight="1" s="86">
      <c r="T159" s="85" t="n"/>
      <c r="U159" s="85" t="n"/>
      <c r="V159" s="85" t="n"/>
      <c r="W159" s="85" t="n"/>
      <c r="X159" s="85" t="n"/>
      <c r="Y159" s="85" t="n"/>
      <c r="Z159" s="85" t="n"/>
    </row>
    <row r="160" ht="15.75" customHeight="1" s="86">
      <c r="T160" s="85" t="n"/>
      <c r="U160" s="85" t="n"/>
      <c r="V160" s="85" t="n"/>
      <c r="W160" s="85" t="n"/>
      <c r="X160" s="85" t="n"/>
      <c r="Y160" s="85" t="n"/>
      <c r="Z160" s="85" t="n"/>
    </row>
    <row r="161" ht="15.75" customHeight="1" s="86">
      <c r="T161" s="85" t="n"/>
      <c r="U161" s="85" t="n"/>
      <c r="V161" s="85" t="n"/>
      <c r="W161" s="85" t="n"/>
      <c r="X161" s="85" t="n"/>
      <c r="Y161" s="85" t="n"/>
      <c r="Z161" s="85" t="n"/>
    </row>
    <row r="162" ht="15.75" customHeight="1" s="86">
      <c r="T162" s="85" t="n"/>
      <c r="U162" s="85" t="n"/>
      <c r="V162" s="85" t="n"/>
      <c r="W162" s="85" t="n"/>
      <c r="X162" s="85" t="n"/>
      <c r="Y162" s="85" t="n"/>
      <c r="Z162" s="85" t="n"/>
    </row>
    <row r="163" ht="15.75" customHeight="1" s="86">
      <c r="T163" s="85" t="n"/>
      <c r="U163" s="85" t="n"/>
      <c r="V163" s="85" t="n"/>
      <c r="W163" s="85" t="n"/>
      <c r="X163" s="85" t="n"/>
      <c r="Y163" s="85" t="n"/>
      <c r="Z163" s="85" t="n"/>
    </row>
    <row r="164" ht="15.75" customHeight="1" s="86">
      <c r="T164" s="85" t="n"/>
      <c r="U164" s="85" t="n"/>
      <c r="V164" s="85" t="n"/>
      <c r="W164" s="85" t="n"/>
      <c r="X164" s="85" t="n"/>
      <c r="Y164" s="85" t="n"/>
      <c r="Z164" s="85" t="n"/>
    </row>
    <row r="165" ht="15.75" customHeight="1" s="86">
      <c r="T165" s="85" t="n"/>
      <c r="U165" s="85" t="n"/>
      <c r="V165" s="85" t="n"/>
      <c r="W165" s="85" t="n"/>
      <c r="X165" s="85" t="n"/>
      <c r="Y165" s="85" t="n"/>
      <c r="Z165" s="85" t="n"/>
    </row>
    <row r="166" ht="15.75" customHeight="1" s="86">
      <c r="T166" s="85" t="n"/>
      <c r="U166" s="85" t="n"/>
      <c r="V166" s="85" t="n"/>
      <c r="W166" s="85" t="n"/>
      <c r="X166" s="85" t="n"/>
      <c r="Y166" s="85" t="n"/>
      <c r="Z166" s="85" t="n"/>
    </row>
    <row r="167" ht="15.75" customHeight="1" s="86">
      <c r="T167" s="85" t="n"/>
      <c r="U167" s="85" t="n"/>
      <c r="V167" s="85" t="n"/>
      <c r="W167" s="85" t="n"/>
      <c r="X167" s="85" t="n"/>
      <c r="Y167" s="85" t="n"/>
      <c r="Z167" s="85" t="n"/>
    </row>
    <row r="168" ht="15.75" customHeight="1" s="86">
      <c r="T168" s="85" t="n"/>
      <c r="U168" s="85" t="n"/>
      <c r="V168" s="85" t="n"/>
      <c r="W168" s="85" t="n"/>
      <c r="X168" s="85" t="n"/>
      <c r="Y168" s="85" t="n"/>
      <c r="Z168" s="85" t="n"/>
    </row>
    <row r="169" ht="15.75" customHeight="1" s="86">
      <c r="T169" s="85" t="n"/>
      <c r="U169" s="85" t="n"/>
      <c r="V169" s="85" t="n"/>
      <c r="W169" s="85" t="n"/>
      <c r="X169" s="85" t="n"/>
      <c r="Y169" s="85" t="n"/>
      <c r="Z169" s="85" t="n"/>
    </row>
    <row r="170" ht="15.75" customHeight="1" s="86">
      <c r="T170" s="85" t="n"/>
      <c r="U170" s="85" t="n"/>
      <c r="V170" s="85" t="n"/>
      <c r="W170" s="85" t="n"/>
      <c r="X170" s="85" t="n"/>
      <c r="Y170" s="85" t="n"/>
      <c r="Z170" s="85" t="n"/>
    </row>
    <row r="171" ht="15.75" customHeight="1" s="86">
      <c r="T171" s="85" t="n"/>
      <c r="U171" s="85" t="n"/>
      <c r="V171" s="85" t="n"/>
      <c r="W171" s="85" t="n"/>
      <c r="X171" s="85" t="n"/>
      <c r="Y171" s="85" t="n"/>
      <c r="Z171" s="85" t="n"/>
    </row>
    <row r="172" ht="15.75" customHeight="1" s="86">
      <c r="T172" s="85" t="n"/>
      <c r="U172" s="85" t="n"/>
      <c r="V172" s="85" t="n"/>
      <c r="W172" s="85" t="n"/>
      <c r="X172" s="85" t="n"/>
      <c r="Y172" s="85" t="n"/>
      <c r="Z172" s="85" t="n"/>
    </row>
    <row r="173" ht="15.75" customHeight="1" s="86">
      <c r="T173" s="85" t="n"/>
      <c r="U173" s="85" t="n"/>
      <c r="V173" s="85" t="n"/>
      <c r="W173" s="85" t="n"/>
      <c r="X173" s="85" t="n"/>
      <c r="Y173" s="85" t="n"/>
      <c r="Z173" s="85" t="n"/>
    </row>
    <row r="174" ht="15.75" customHeight="1" s="86">
      <c r="T174" s="85" t="n"/>
      <c r="U174" s="85" t="n"/>
      <c r="V174" s="85" t="n"/>
      <c r="W174" s="85" t="n"/>
      <c r="X174" s="85" t="n"/>
      <c r="Y174" s="85" t="n"/>
      <c r="Z174" s="85" t="n"/>
    </row>
    <row r="175" ht="15.75" customHeight="1" s="86">
      <c r="T175" s="85" t="n"/>
      <c r="U175" s="85" t="n"/>
      <c r="V175" s="85" t="n"/>
      <c r="W175" s="85" t="n"/>
      <c r="X175" s="85" t="n"/>
      <c r="Y175" s="85" t="n"/>
      <c r="Z175" s="85" t="n"/>
    </row>
    <row r="176" ht="15.75" customHeight="1" s="86">
      <c r="T176" s="85" t="n"/>
      <c r="U176" s="85" t="n"/>
      <c r="V176" s="85" t="n"/>
      <c r="W176" s="85" t="n"/>
      <c r="X176" s="85" t="n"/>
      <c r="Y176" s="85" t="n"/>
      <c r="Z176" s="85" t="n"/>
    </row>
    <row r="177" ht="15.75" customHeight="1" s="86">
      <c r="T177" s="85" t="n"/>
      <c r="U177" s="85" t="n"/>
      <c r="V177" s="85" t="n"/>
      <c r="W177" s="85" t="n"/>
      <c r="X177" s="85" t="n"/>
      <c r="Y177" s="85" t="n"/>
      <c r="Z177" s="85" t="n"/>
    </row>
    <row r="178" ht="15.75" customHeight="1" s="86">
      <c r="T178" s="85" t="n"/>
      <c r="U178" s="85" t="n"/>
      <c r="V178" s="85" t="n"/>
      <c r="W178" s="85" t="n"/>
      <c r="X178" s="85" t="n"/>
      <c r="Y178" s="85" t="n"/>
      <c r="Z178" s="85" t="n"/>
    </row>
    <row r="179" ht="15.75" customHeight="1" s="86">
      <c r="T179" s="85" t="n"/>
      <c r="U179" s="85" t="n"/>
      <c r="V179" s="85" t="n"/>
      <c r="W179" s="85" t="n"/>
      <c r="X179" s="85" t="n"/>
      <c r="Y179" s="85" t="n"/>
      <c r="Z179" s="85" t="n"/>
    </row>
    <row r="180" ht="15.75" customHeight="1" s="86">
      <c r="T180" s="85" t="n"/>
      <c r="U180" s="85" t="n"/>
      <c r="V180" s="85" t="n"/>
      <c r="W180" s="85" t="n"/>
      <c r="X180" s="85" t="n"/>
      <c r="Y180" s="85" t="n"/>
      <c r="Z180" s="85" t="n"/>
    </row>
    <row r="181" ht="15.75" customHeight="1" s="86">
      <c r="T181" s="85" t="n"/>
      <c r="U181" s="85" t="n"/>
      <c r="V181" s="85" t="n"/>
      <c r="W181" s="85" t="n"/>
      <c r="X181" s="85" t="n"/>
      <c r="Y181" s="85" t="n"/>
      <c r="Z181" s="85" t="n"/>
    </row>
    <row r="182" ht="15.75" customHeight="1" s="86">
      <c r="T182" s="85" t="n"/>
      <c r="U182" s="85" t="n"/>
      <c r="V182" s="85" t="n"/>
      <c r="W182" s="85" t="n"/>
      <c r="X182" s="85" t="n"/>
      <c r="Y182" s="85" t="n"/>
      <c r="Z182" s="85" t="n"/>
    </row>
    <row r="183" ht="15.75" customHeight="1" s="86">
      <c r="T183" s="85" t="n"/>
      <c r="U183" s="85" t="n"/>
      <c r="V183" s="85" t="n"/>
      <c r="W183" s="85" t="n"/>
      <c r="X183" s="85" t="n"/>
      <c r="Y183" s="85" t="n"/>
      <c r="Z183" s="85" t="n"/>
    </row>
    <row r="184" ht="15.75" customHeight="1" s="86">
      <c r="T184" s="85" t="n"/>
      <c r="U184" s="85" t="n"/>
      <c r="V184" s="85" t="n"/>
      <c r="W184" s="85" t="n"/>
      <c r="X184" s="85" t="n"/>
      <c r="Y184" s="85" t="n"/>
      <c r="Z184" s="85" t="n"/>
    </row>
    <row r="185" ht="15.75" customHeight="1" s="86">
      <c r="T185" s="85" t="n"/>
      <c r="U185" s="85" t="n"/>
      <c r="V185" s="85" t="n"/>
      <c r="W185" s="85" t="n"/>
      <c r="X185" s="85" t="n"/>
      <c r="Y185" s="85" t="n"/>
      <c r="Z185" s="85" t="n"/>
    </row>
    <row r="186" ht="15.75" customHeight="1" s="86">
      <c r="T186" s="85" t="n"/>
      <c r="U186" s="85" t="n"/>
      <c r="V186" s="85" t="n"/>
      <c r="W186" s="85" t="n"/>
      <c r="X186" s="85" t="n"/>
      <c r="Y186" s="85" t="n"/>
      <c r="Z186" s="85" t="n"/>
    </row>
    <row r="187" ht="15.75" customHeight="1" s="86">
      <c r="T187" s="85" t="n"/>
      <c r="U187" s="85" t="n"/>
      <c r="V187" s="85" t="n"/>
      <c r="W187" s="85" t="n"/>
      <c r="X187" s="85" t="n"/>
      <c r="Y187" s="85" t="n"/>
      <c r="Z187" s="85" t="n"/>
    </row>
    <row r="188" ht="15.75" customHeight="1" s="86">
      <c r="T188" s="85" t="n"/>
      <c r="U188" s="85" t="n"/>
      <c r="V188" s="85" t="n"/>
      <c r="W188" s="85" t="n"/>
      <c r="X188" s="85" t="n"/>
      <c r="Y188" s="85" t="n"/>
      <c r="Z188" s="85" t="n"/>
    </row>
    <row r="189" ht="15.75" customHeight="1" s="86">
      <c r="T189" s="85" t="n"/>
      <c r="U189" s="85" t="n"/>
      <c r="V189" s="85" t="n"/>
      <c r="W189" s="85" t="n"/>
      <c r="X189" s="85" t="n"/>
      <c r="Y189" s="85" t="n"/>
      <c r="Z189" s="85" t="n"/>
    </row>
    <row r="190" ht="15.75" customHeight="1" s="86">
      <c r="T190" s="85" t="n"/>
      <c r="U190" s="85" t="n"/>
      <c r="V190" s="85" t="n"/>
      <c r="W190" s="85" t="n"/>
      <c r="X190" s="85" t="n"/>
      <c r="Y190" s="85" t="n"/>
      <c r="Z190" s="85" t="n"/>
    </row>
    <row r="191" ht="15.75" customHeight="1" s="86">
      <c r="T191" s="85" t="n"/>
      <c r="U191" s="85" t="n"/>
      <c r="V191" s="85" t="n"/>
      <c r="W191" s="85" t="n"/>
      <c r="X191" s="85" t="n"/>
      <c r="Y191" s="85" t="n"/>
      <c r="Z191" s="85" t="n"/>
    </row>
    <row r="192" ht="15.75" customHeight="1" s="86">
      <c r="T192" s="85" t="n"/>
      <c r="U192" s="85" t="n"/>
      <c r="V192" s="85" t="n"/>
      <c r="W192" s="85" t="n"/>
      <c r="X192" s="85" t="n"/>
      <c r="Y192" s="85" t="n"/>
      <c r="Z192" s="85" t="n"/>
    </row>
    <row r="193" ht="15.75" customHeight="1" s="86">
      <c r="T193" s="85" t="n"/>
      <c r="U193" s="85" t="n"/>
      <c r="V193" s="85" t="n"/>
      <c r="W193" s="85" t="n"/>
      <c r="X193" s="85" t="n"/>
      <c r="Y193" s="85" t="n"/>
      <c r="Z193" s="85" t="n"/>
    </row>
    <row r="194" ht="15.75" customHeight="1" s="86">
      <c r="T194" s="85" t="n"/>
      <c r="U194" s="85" t="n"/>
      <c r="V194" s="85" t="n"/>
      <c r="W194" s="85" t="n"/>
      <c r="X194" s="85" t="n"/>
      <c r="Y194" s="85" t="n"/>
      <c r="Z194" s="85" t="n"/>
    </row>
    <row r="195" ht="15.75" customHeight="1" s="86">
      <c r="T195" s="85" t="n"/>
      <c r="U195" s="85" t="n"/>
      <c r="V195" s="85" t="n"/>
      <c r="W195" s="85" t="n"/>
      <c r="X195" s="85" t="n"/>
      <c r="Y195" s="85" t="n"/>
      <c r="Z195" s="85" t="n"/>
    </row>
    <row r="196" ht="15.75" customHeight="1" s="86">
      <c r="T196" s="85" t="n"/>
      <c r="U196" s="85" t="n"/>
      <c r="V196" s="85" t="n"/>
      <c r="W196" s="85" t="n"/>
      <c r="X196" s="85" t="n"/>
      <c r="Y196" s="85" t="n"/>
      <c r="Z196" s="85" t="n"/>
    </row>
    <row r="197" ht="15.75" customHeight="1" s="86">
      <c r="T197" s="85" t="n"/>
      <c r="U197" s="85" t="n"/>
      <c r="V197" s="85" t="n"/>
      <c r="W197" s="85" t="n"/>
      <c r="X197" s="85" t="n"/>
      <c r="Y197" s="85" t="n"/>
      <c r="Z197" s="85" t="n"/>
    </row>
    <row r="198" ht="15.75" customHeight="1" s="86">
      <c r="T198" s="85" t="n"/>
      <c r="U198" s="85" t="n"/>
      <c r="V198" s="85" t="n"/>
      <c r="W198" s="85" t="n"/>
      <c r="X198" s="85" t="n"/>
      <c r="Y198" s="85" t="n"/>
      <c r="Z198" s="85" t="n"/>
    </row>
    <row r="199" ht="15.75" customHeight="1" s="86">
      <c r="T199" s="85" t="n"/>
      <c r="U199" s="85" t="n"/>
      <c r="V199" s="85" t="n"/>
      <c r="W199" s="85" t="n"/>
      <c r="X199" s="85" t="n"/>
      <c r="Y199" s="85" t="n"/>
      <c r="Z199" s="85" t="n"/>
    </row>
    <row r="200" ht="15.75" customHeight="1" s="86">
      <c r="T200" s="85" t="n"/>
      <c r="U200" s="85" t="n"/>
      <c r="V200" s="85" t="n"/>
      <c r="W200" s="85" t="n"/>
      <c r="X200" s="85" t="n"/>
      <c r="Y200" s="85" t="n"/>
      <c r="Z200" s="85" t="n"/>
    </row>
    <row r="201" ht="15.75" customHeight="1" s="86">
      <c r="T201" s="85" t="n"/>
      <c r="U201" s="85" t="n"/>
      <c r="V201" s="85" t="n"/>
      <c r="W201" s="85" t="n"/>
      <c r="X201" s="85" t="n"/>
      <c r="Y201" s="85" t="n"/>
      <c r="Z201" s="85" t="n"/>
    </row>
    <row r="202" ht="15.75" customHeight="1" s="86">
      <c r="T202" s="85" t="n"/>
      <c r="U202" s="85" t="n"/>
      <c r="V202" s="85" t="n"/>
      <c r="W202" s="85" t="n"/>
      <c r="X202" s="85" t="n"/>
      <c r="Y202" s="85" t="n"/>
      <c r="Z202" s="85" t="n"/>
    </row>
    <row r="203" ht="15.75" customHeight="1" s="86">
      <c r="T203" s="85" t="n"/>
      <c r="U203" s="85" t="n"/>
      <c r="V203" s="85" t="n"/>
      <c r="W203" s="85" t="n"/>
      <c r="X203" s="85" t="n"/>
      <c r="Y203" s="85" t="n"/>
      <c r="Z203" s="85" t="n"/>
    </row>
    <row r="204" ht="15.75" customHeight="1" s="86">
      <c r="T204" s="85" t="n"/>
      <c r="U204" s="85" t="n"/>
      <c r="V204" s="85" t="n"/>
      <c r="W204" s="85" t="n"/>
      <c r="X204" s="85" t="n"/>
      <c r="Y204" s="85" t="n"/>
      <c r="Z204" s="85" t="n"/>
    </row>
    <row r="205" ht="15.75" customHeight="1" s="86">
      <c r="T205" s="85" t="n"/>
      <c r="U205" s="85" t="n"/>
      <c r="V205" s="85" t="n"/>
      <c r="W205" s="85" t="n"/>
      <c r="X205" s="85" t="n"/>
      <c r="Y205" s="85" t="n"/>
      <c r="Z205" s="85" t="n"/>
    </row>
    <row r="206" ht="15.75" customHeight="1" s="86">
      <c r="T206" s="85" t="n"/>
      <c r="U206" s="85" t="n"/>
      <c r="V206" s="85" t="n"/>
      <c r="W206" s="85" t="n"/>
      <c r="X206" s="85" t="n"/>
      <c r="Y206" s="85" t="n"/>
      <c r="Z206" s="85" t="n"/>
    </row>
    <row r="207" ht="15.75" customHeight="1" s="86">
      <c r="T207" s="85" t="n"/>
      <c r="U207" s="85" t="n"/>
      <c r="V207" s="85" t="n"/>
      <c r="W207" s="85" t="n"/>
      <c r="X207" s="85" t="n"/>
      <c r="Y207" s="85" t="n"/>
      <c r="Z207" s="85" t="n"/>
    </row>
    <row r="208" ht="15.75" customHeight="1" s="86">
      <c r="T208" s="85" t="n"/>
      <c r="U208" s="85" t="n"/>
      <c r="V208" s="85" t="n"/>
      <c r="W208" s="85" t="n"/>
      <c r="X208" s="85" t="n"/>
      <c r="Y208" s="85" t="n"/>
      <c r="Z208" s="85" t="n"/>
    </row>
    <row r="209" ht="15.75" customHeight="1" s="86">
      <c r="T209" s="85" t="n"/>
      <c r="U209" s="85" t="n"/>
      <c r="V209" s="85" t="n"/>
      <c r="W209" s="85" t="n"/>
      <c r="X209" s="85" t="n"/>
      <c r="Y209" s="85" t="n"/>
      <c r="Z209" s="85" t="n"/>
    </row>
    <row r="210" ht="15.75" customHeight="1" s="86">
      <c r="T210" s="85" t="n"/>
      <c r="U210" s="85" t="n"/>
      <c r="V210" s="85" t="n"/>
      <c r="W210" s="85" t="n"/>
      <c r="X210" s="85" t="n"/>
      <c r="Y210" s="85" t="n"/>
      <c r="Z210" s="85" t="n"/>
    </row>
    <row r="211" ht="15.75" customHeight="1" s="86">
      <c r="T211" s="85" t="n"/>
      <c r="U211" s="85" t="n"/>
      <c r="V211" s="85" t="n"/>
      <c r="W211" s="85" t="n"/>
      <c r="X211" s="85" t="n"/>
      <c r="Y211" s="85" t="n"/>
      <c r="Z211" s="85" t="n"/>
    </row>
    <row r="212" ht="15.75" customHeight="1" s="86">
      <c r="T212" s="85" t="n"/>
      <c r="U212" s="85" t="n"/>
      <c r="V212" s="85" t="n"/>
      <c r="W212" s="85" t="n"/>
      <c r="X212" s="85" t="n"/>
      <c r="Y212" s="85" t="n"/>
      <c r="Z212" s="85" t="n"/>
    </row>
    <row r="213" ht="15.75" customHeight="1" s="86">
      <c r="T213" s="85" t="n"/>
      <c r="U213" s="85" t="n"/>
      <c r="V213" s="85" t="n"/>
      <c r="W213" s="85" t="n"/>
      <c r="X213" s="85" t="n"/>
      <c r="Y213" s="85" t="n"/>
      <c r="Z213" s="85" t="n"/>
    </row>
    <row r="214" ht="15.75" customHeight="1" s="86">
      <c r="T214" s="85" t="n"/>
      <c r="U214" s="85" t="n"/>
      <c r="V214" s="85" t="n"/>
      <c r="W214" s="85" t="n"/>
      <c r="X214" s="85" t="n"/>
      <c r="Y214" s="85" t="n"/>
      <c r="Z214" s="85" t="n"/>
    </row>
    <row r="215" ht="15.75" customHeight="1" s="86">
      <c r="T215" s="85" t="n"/>
      <c r="U215" s="85" t="n"/>
      <c r="V215" s="85" t="n"/>
      <c r="W215" s="85" t="n"/>
      <c r="X215" s="85" t="n"/>
      <c r="Y215" s="85" t="n"/>
      <c r="Z215" s="85" t="n"/>
    </row>
    <row r="216" ht="15.75" customHeight="1" s="86">
      <c r="T216" s="85" t="n"/>
      <c r="U216" s="85" t="n"/>
      <c r="V216" s="85" t="n"/>
      <c r="W216" s="85" t="n"/>
      <c r="X216" s="85" t="n"/>
      <c r="Y216" s="85" t="n"/>
      <c r="Z216" s="85" t="n"/>
    </row>
    <row r="217" ht="15.75" customHeight="1" s="86">
      <c r="T217" s="85" t="n"/>
      <c r="U217" s="85" t="n"/>
      <c r="V217" s="85" t="n"/>
      <c r="W217" s="85" t="n"/>
      <c r="X217" s="85" t="n"/>
      <c r="Y217" s="85" t="n"/>
      <c r="Z217" s="85" t="n"/>
    </row>
    <row r="218" ht="15.75" customHeight="1" s="86">
      <c r="T218" s="85" t="n"/>
      <c r="U218" s="85" t="n"/>
      <c r="V218" s="85" t="n"/>
      <c r="W218" s="85" t="n"/>
      <c r="X218" s="85" t="n"/>
      <c r="Y218" s="85" t="n"/>
      <c r="Z218" s="85" t="n"/>
    </row>
    <row r="219" ht="15.75" customHeight="1" s="86">
      <c r="T219" s="85" t="n"/>
      <c r="U219" s="85" t="n"/>
      <c r="V219" s="85" t="n"/>
      <c r="W219" s="85" t="n"/>
      <c r="X219" s="85" t="n"/>
      <c r="Y219" s="85" t="n"/>
      <c r="Z219" s="85" t="n"/>
    </row>
    <row r="220" ht="15.75" customHeight="1" s="86">
      <c r="T220" s="85" t="n"/>
      <c r="U220" s="85" t="n"/>
      <c r="V220" s="85" t="n"/>
      <c r="W220" s="85" t="n"/>
      <c r="X220" s="85" t="n"/>
      <c r="Y220" s="85" t="n"/>
      <c r="Z220" s="85" t="n"/>
    </row>
    <row r="221" ht="15.75" customHeight="1" s="86">
      <c r="T221" s="85" t="n"/>
      <c r="U221" s="85" t="n"/>
      <c r="V221" s="85" t="n"/>
      <c r="W221" s="85" t="n"/>
      <c r="X221" s="85" t="n"/>
      <c r="Y221" s="85" t="n"/>
      <c r="Z221" s="85" t="n"/>
    </row>
    <row r="222" ht="15.75" customHeight="1" s="86">
      <c r="T222" s="85" t="n"/>
      <c r="U222" s="85" t="n"/>
      <c r="V222" s="85" t="n"/>
      <c r="W222" s="85" t="n"/>
      <c r="X222" s="85" t="n"/>
      <c r="Y222" s="85" t="n"/>
      <c r="Z222" s="85" t="n"/>
    </row>
    <row r="223" ht="15.75" customHeight="1" s="86">
      <c r="T223" s="85" t="n"/>
      <c r="U223" s="85" t="n"/>
      <c r="V223" s="85" t="n"/>
      <c r="W223" s="85" t="n"/>
      <c r="X223" s="85" t="n"/>
      <c r="Y223" s="85" t="n"/>
      <c r="Z223" s="85" t="n"/>
    </row>
    <row r="224" ht="15.75" customHeight="1" s="86">
      <c r="T224" s="85" t="n"/>
      <c r="U224" s="85" t="n"/>
      <c r="V224" s="85" t="n"/>
      <c r="W224" s="85" t="n"/>
      <c r="X224" s="85" t="n"/>
      <c r="Y224" s="85" t="n"/>
      <c r="Z224" s="85" t="n"/>
    </row>
    <row r="225" ht="15.75" customHeight="1" s="86">
      <c r="T225" s="85" t="n"/>
      <c r="U225" s="85" t="n"/>
      <c r="V225" s="85" t="n"/>
      <c r="W225" s="85" t="n"/>
      <c r="X225" s="85" t="n"/>
      <c r="Y225" s="85" t="n"/>
      <c r="Z225" s="85" t="n"/>
    </row>
    <row r="226" ht="15.75" customHeight="1" s="86">
      <c r="T226" s="85" t="n"/>
      <c r="U226" s="85" t="n"/>
      <c r="V226" s="85" t="n"/>
      <c r="W226" s="85" t="n"/>
      <c r="X226" s="85" t="n"/>
      <c r="Y226" s="85" t="n"/>
      <c r="Z226" s="85" t="n"/>
    </row>
    <row r="227" ht="15.75" customHeight="1" s="86">
      <c r="T227" s="85" t="n"/>
      <c r="U227" s="85" t="n"/>
      <c r="V227" s="85" t="n"/>
      <c r="W227" s="85" t="n"/>
      <c r="X227" s="85" t="n"/>
      <c r="Y227" s="85" t="n"/>
      <c r="Z227" s="85" t="n"/>
    </row>
    <row r="228" ht="15.75" customHeight="1" s="86">
      <c r="T228" s="85" t="n"/>
      <c r="U228" s="85" t="n"/>
      <c r="V228" s="85" t="n"/>
      <c r="W228" s="85" t="n"/>
      <c r="X228" s="85" t="n"/>
      <c r="Y228" s="85" t="n"/>
      <c r="Z228" s="85" t="n"/>
    </row>
    <row r="229" ht="15.75" customHeight="1" s="86">
      <c r="T229" s="85" t="n"/>
      <c r="U229" s="85" t="n"/>
      <c r="V229" s="85" t="n"/>
      <c r="W229" s="85" t="n"/>
      <c r="X229" s="85" t="n"/>
      <c r="Y229" s="85" t="n"/>
      <c r="Z229" s="85" t="n"/>
    </row>
    <row r="230" ht="15.75" customHeight="1" s="86">
      <c r="T230" s="85" t="n"/>
      <c r="U230" s="85" t="n"/>
      <c r="V230" s="85" t="n"/>
      <c r="W230" s="85" t="n"/>
      <c r="X230" s="85" t="n"/>
      <c r="Y230" s="85" t="n"/>
      <c r="Z230" s="85" t="n"/>
    </row>
    <row r="231" ht="15.75" customHeight="1" s="86">
      <c r="T231" s="85" t="n"/>
      <c r="U231" s="85" t="n"/>
      <c r="V231" s="85" t="n"/>
      <c r="W231" s="85" t="n"/>
      <c r="X231" s="85" t="n"/>
      <c r="Y231" s="85" t="n"/>
      <c r="Z231" s="85" t="n"/>
    </row>
    <row r="232" ht="15.75" customHeight="1" s="86">
      <c r="T232" s="85" t="n"/>
      <c r="U232" s="85" t="n"/>
      <c r="V232" s="85" t="n"/>
      <c r="W232" s="85" t="n"/>
      <c r="X232" s="85" t="n"/>
      <c r="Y232" s="85" t="n"/>
      <c r="Z232" s="85" t="n"/>
    </row>
    <row r="233" ht="15.75" customHeight="1" s="86">
      <c r="T233" s="85" t="n"/>
      <c r="U233" s="85" t="n"/>
      <c r="V233" s="85" t="n"/>
      <c r="W233" s="85" t="n"/>
      <c r="X233" s="85" t="n"/>
      <c r="Y233" s="85" t="n"/>
      <c r="Z233" s="85" t="n"/>
    </row>
    <row r="234" ht="15.75" customHeight="1" s="86">
      <c r="T234" s="85" t="n"/>
      <c r="U234" s="85" t="n"/>
      <c r="V234" s="85" t="n"/>
      <c r="W234" s="85" t="n"/>
      <c r="X234" s="85" t="n"/>
      <c r="Y234" s="85" t="n"/>
      <c r="Z234" s="85" t="n"/>
    </row>
    <row r="235" ht="15.75" customHeight="1" s="86">
      <c r="T235" s="85" t="n"/>
      <c r="U235" s="85" t="n"/>
      <c r="V235" s="85" t="n"/>
      <c r="W235" s="85" t="n"/>
      <c r="X235" s="85" t="n"/>
      <c r="Y235" s="85" t="n"/>
      <c r="Z235" s="85" t="n"/>
    </row>
    <row r="236" ht="15.75" customHeight="1" s="86">
      <c r="T236" s="85" t="n"/>
      <c r="U236" s="85" t="n"/>
      <c r="V236" s="85" t="n"/>
      <c r="W236" s="85" t="n"/>
      <c r="X236" s="85" t="n"/>
      <c r="Y236" s="85" t="n"/>
      <c r="Z236" s="85" t="n"/>
    </row>
    <row r="237" ht="15.75" customHeight="1" s="86">
      <c r="T237" s="85" t="n"/>
      <c r="U237" s="85" t="n"/>
      <c r="V237" s="85" t="n"/>
      <c r="W237" s="85" t="n"/>
      <c r="X237" s="85" t="n"/>
      <c r="Y237" s="85" t="n"/>
      <c r="Z237" s="85" t="n"/>
    </row>
    <row r="238" ht="15.75" customHeight="1" s="86">
      <c r="T238" s="85" t="n"/>
      <c r="U238" s="85" t="n"/>
      <c r="V238" s="85" t="n"/>
      <c r="W238" s="85" t="n"/>
      <c r="X238" s="85" t="n"/>
      <c r="Y238" s="85" t="n"/>
      <c r="Z238" s="85" t="n"/>
    </row>
    <row r="239" ht="15.75" customHeight="1" s="86">
      <c r="T239" s="85" t="n"/>
      <c r="U239" s="85" t="n"/>
      <c r="V239" s="85" t="n"/>
      <c r="W239" s="85" t="n"/>
      <c r="X239" s="85" t="n"/>
      <c r="Y239" s="85" t="n"/>
      <c r="Z239" s="85" t="n"/>
    </row>
    <row r="240" ht="15.75" customHeight="1" s="86">
      <c r="T240" s="85" t="n"/>
      <c r="U240" s="85" t="n"/>
      <c r="V240" s="85" t="n"/>
      <c r="W240" s="85" t="n"/>
      <c r="X240" s="85" t="n"/>
      <c r="Y240" s="85" t="n"/>
      <c r="Z240" s="85" t="n"/>
    </row>
    <row r="241" ht="15.75" customHeight="1" s="86">
      <c r="T241" s="85" t="n"/>
      <c r="U241" s="85" t="n"/>
      <c r="V241" s="85" t="n"/>
      <c r="W241" s="85" t="n"/>
      <c r="X241" s="85" t="n"/>
      <c r="Y241" s="85" t="n"/>
      <c r="Z241" s="85" t="n"/>
    </row>
    <row r="242" ht="15.75" customHeight="1" s="86">
      <c r="T242" s="85" t="n"/>
      <c r="U242" s="85" t="n"/>
      <c r="V242" s="85" t="n"/>
      <c r="W242" s="85" t="n"/>
      <c r="X242" s="85" t="n"/>
      <c r="Y242" s="85" t="n"/>
      <c r="Z242" s="85" t="n"/>
    </row>
    <row r="243" ht="15.75" customHeight="1" s="86">
      <c r="T243" s="85" t="n"/>
      <c r="U243" s="85" t="n"/>
      <c r="V243" s="85" t="n"/>
      <c r="W243" s="85" t="n"/>
      <c r="X243" s="85" t="n"/>
      <c r="Y243" s="85" t="n"/>
      <c r="Z243" s="85" t="n"/>
    </row>
    <row r="244" ht="15.75" customHeight="1" s="86">
      <c r="T244" s="85" t="n"/>
      <c r="U244" s="85" t="n"/>
      <c r="V244" s="85" t="n"/>
      <c r="W244" s="85" t="n"/>
      <c r="X244" s="85" t="n"/>
      <c r="Y244" s="85" t="n"/>
      <c r="Z244" s="85" t="n"/>
    </row>
    <row r="245" ht="15.75" customHeight="1" s="86">
      <c r="T245" s="85" t="n"/>
      <c r="U245" s="85" t="n"/>
      <c r="V245" s="85" t="n"/>
      <c r="W245" s="85" t="n"/>
      <c r="X245" s="85" t="n"/>
      <c r="Y245" s="85" t="n"/>
      <c r="Z245" s="85" t="n"/>
    </row>
    <row r="246" ht="15.75" customHeight="1" s="86">
      <c r="T246" s="85" t="n"/>
      <c r="U246" s="85" t="n"/>
      <c r="V246" s="85" t="n"/>
      <c r="W246" s="85" t="n"/>
      <c r="X246" s="85" t="n"/>
      <c r="Y246" s="85" t="n"/>
      <c r="Z246" s="85" t="n"/>
    </row>
    <row r="247" ht="15.75" customHeight="1" s="86">
      <c r="T247" s="85" t="n"/>
      <c r="U247" s="85" t="n"/>
      <c r="V247" s="85" t="n"/>
      <c r="W247" s="85" t="n"/>
      <c r="X247" s="85" t="n"/>
      <c r="Y247" s="85" t="n"/>
      <c r="Z247" s="85" t="n"/>
    </row>
    <row r="248" ht="15.75" customHeight="1" s="86">
      <c r="T248" s="85" t="n"/>
      <c r="U248" s="85" t="n"/>
      <c r="V248" s="85" t="n"/>
      <c r="W248" s="85" t="n"/>
      <c r="X248" s="85" t="n"/>
      <c r="Y248" s="85" t="n"/>
      <c r="Z248" s="85" t="n"/>
    </row>
    <row r="249" ht="15.75" customHeight="1" s="86">
      <c r="T249" s="85" t="n"/>
      <c r="U249" s="85" t="n"/>
      <c r="V249" s="85" t="n"/>
      <c r="W249" s="85" t="n"/>
      <c r="X249" s="85" t="n"/>
      <c r="Y249" s="85" t="n"/>
      <c r="Z249" s="85" t="n"/>
    </row>
    <row r="250" ht="15.75" customHeight="1" s="86">
      <c r="T250" s="85" t="n"/>
      <c r="U250" s="85" t="n"/>
      <c r="V250" s="85" t="n"/>
      <c r="W250" s="85" t="n"/>
      <c r="X250" s="85" t="n"/>
      <c r="Y250" s="85" t="n"/>
      <c r="Z250" s="85" t="n"/>
    </row>
    <row r="251" ht="15.75" customHeight="1" s="86">
      <c r="T251" s="85" t="n"/>
      <c r="U251" s="85" t="n"/>
      <c r="V251" s="85" t="n"/>
      <c r="W251" s="85" t="n"/>
      <c r="X251" s="85" t="n"/>
      <c r="Y251" s="85" t="n"/>
      <c r="Z251" s="85" t="n"/>
    </row>
    <row r="252" ht="15.75" customHeight="1" s="86">
      <c r="T252" s="85" t="n"/>
      <c r="U252" s="85" t="n"/>
      <c r="V252" s="85" t="n"/>
      <c r="W252" s="85" t="n"/>
      <c r="X252" s="85" t="n"/>
      <c r="Y252" s="85" t="n"/>
      <c r="Z252" s="85" t="n"/>
    </row>
    <row r="253" ht="15.75" customHeight="1" s="86">
      <c r="T253" s="85" t="n"/>
      <c r="U253" s="85" t="n"/>
      <c r="V253" s="85" t="n"/>
      <c r="W253" s="85" t="n"/>
      <c r="X253" s="85" t="n"/>
      <c r="Y253" s="85" t="n"/>
      <c r="Z253" s="85" t="n"/>
    </row>
    <row r="254" ht="15.75" customHeight="1" s="86">
      <c r="T254" s="85" t="n"/>
      <c r="U254" s="85" t="n"/>
      <c r="V254" s="85" t="n"/>
      <c r="W254" s="85" t="n"/>
      <c r="X254" s="85" t="n"/>
      <c r="Y254" s="85" t="n"/>
      <c r="Z254" s="85" t="n"/>
    </row>
    <row r="255" ht="15.75" customHeight="1" s="86">
      <c r="T255" s="85" t="n"/>
      <c r="U255" s="85" t="n"/>
      <c r="V255" s="85" t="n"/>
      <c r="W255" s="85" t="n"/>
      <c r="X255" s="85" t="n"/>
      <c r="Y255" s="85" t="n"/>
      <c r="Z255" s="85" t="n"/>
    </row>
    <row r="256" ht="15.75" customHeight="1" s="86">
      <c r="T256" s="85" t="n"/>
      <c r="U256" s="85" t="n"/>
      <c r="V256" s="85" t="n"/>
      <c r="W256" s="85" t="n"/>
      <c r="X256" s="85" t="n"/>
      <c r="Y256" s="85" t="n"/>
      <c r="Z256" s="85" t="n"/>
    </row>
    <row r="257" ht="15.75" customHeight="1" s="86">
      <c r="T257" s="85" t="n"/>
      <c r="U257" s="85" t="n"/>
      <c r="V257" s="85" t="n"/>
      <c r="W257" s="85" t="n"/>
      <c r="X257" s="85" t="n"/>
      <c r="Y257" s="85" t="n"/>
      <c r="Z257" s="85" t="n"/>
    </row>
    <row r="258" ht="15.75" customHeight="1" s="86">
      <c r="T258" s="85" t="n"/>
      <c r="U258" s="85" t="n"/>
      <c r="V258" s="85" t="n"/>
      <c r="W258" s="85" t="n"/>
      <c r="X258" s="85" t="n"/>
      <c r="Y258" s="85" t="n"/>
      <c r="Z258" s="85" t="n"/>
    </row>
    <row r="259" ht="15.75" customHeight="1" s="86">
      <c r="T259" s="85" t="n"/>
      <c r="U259" s="85" t="n"/>
      <c r="V259" s="85" t="n"/>
      <c r="W259" s="85" t="n"/>
      <c r="X259" s="85" t="n"/>
      <c r="Y259" s="85" t="n"/>
      <c r="Z259" s="85" t="n"/>
    </row>
    <row r="260" ht="15.75" customHeight="1" s="86">
      <c r="T260" s="85" t="n"/>
      <c r="U260" s="85" t="n"/>
      <c r="V260" s="85" t="n"/>
      <c r="W260" s="85" t="n"/>
      <c r="X260" s="85" t="n"/>
      <c r="Y260" s="85" t="n"/>
      <c r="Z260" s="85" t="n"/>
    </row>
    <row r="261" ht="15.75" customHeight="1" s="86">
      <c r="T261" s="85" t="n"/>
      <c r="U261" s="85" t="n"/>
      <c r="V261" s="85" t="n"/>
      <c r="W261" s="85" t="n"/>
      <c r="X261" s="85" t="n"/>
      <c r="Y261" s="85" t="n"/>
      <c r="Z261" s="85" t="n"/>
    </row>
    <row r="262" ht="15.75" customHeight="1" s="86">
      <c r="T262" s="85" t="n"/>
      <c r="U262" s="85" t="n"/>
      <c r="V262" s="85" t="n"/>
      <c r="W262" s="85" t="n"/>
      <c r="X262" s="85" t="n"/>
      <c r="Y262" s="85" t="n"/>
      <c r="Z262" s="85" t="n"/>
    </row>
    <row r="263" ht="15.75" customHeight="1" s="86">
      <c r="T263" s="85" t="n"/>
      <c r="U263" s="85" t="n"/>
      <c r="V263" s="85" t="n"/>
      <c r="W263" s="85" t="n"/>
      <c r="X263" s="85" t="n"/>
      <c r="Y263" s="85" t="n"/>
      <c r="Z263" s="85" t="n"/>
    </row>
    <row r="264" ht="15.75" customHeight="1" s="86">
      <c r="T264" s="85" t="n"/>
      <c r="U264" s="85" t="n"/>
      <c r="V264" s="85" t="n"/>
      <c r="W264" s="85" t="n"/>
      <c r="X264" s="85" t="n"/>
      <c r="Y264" s="85" t="n"/>
      <c r="Z264" s="85" t="n"/>
    </row>
    <row r="265" ht="15.75" customHeight="1" s="86">
      <c r="T265" s="85" t="n"/>
      <c r="U265" s="85" t="n"/>
      <c r="V265" s="85" t="n"/>
      <c r="W265" s="85" t="n"/>
      <c r="X265" s="85" t="n"/>
      <c r="Y265" s="85" t="n"/>
      <c r="Z265" s="85" t="n"/>
    </row>
    <row r="266" ht="15.75" customHeight="1" s="86">
      <c r="T266" s="85" t="n"/>
      <c r="U266" s="85" t="n"/>
      <c r="V266" s="85" t="n"/>
      <c r="W266" s="85" t="n"/>
      <c r="X266" s="85" t="n"/>
      <c r="Y266" s="85" t="n"/>
      <c r="Z266" s="85" t="n"/>
    </row>
    <row r="267" ht="15.75" customHeight="1" s="86">
      <c r="T267" s="85" t="n"/>
      <c r="U267" s="85" t="n"/>
      <c r="V267" s="85" t="n"/>
      <c r="W267" s="85" t="n"/>
      <c r="X267" s="85" t="n"/>
      <c r="Y267" s="85" t="n"/>
      <c r="Z267" s="85" t="n"/>
    </row>
    <row r="268" ht="15.75" customHeight="1" s="86">
      <c r="T268" s="85" t="n"/>
      <c r="U268" s="85" t="n"/>
      <c r="V268" s="85" t="n"/>
      <c r="W268" s="85" t="n"/>
      <c r="X268" s="85" t="n"/>
      <c r="Y268" s="85" t="n"/>
      <c r="Z268" s="85" t="n"/>
    </row>
    <row r="269" ht="15.75" customHeight="1" s="86">
      <c r="T269" s="85" t="n"/>
      <c r="U269" s="85" t="n"/>
      <c r="V269" s="85" t="n"/>
      <c r="W269" s="85" t="n"/>
      <c r="X269" s="85" t="n"/>
      <c r="Y269" s="85" t="n"/>
      <c r="Z269" s="85" t="n"/>
    </row>
    <row r="270" ht="15.75" customHeight="1" s="86">
      <c r="T270" s="85" t="n"/>
      <c r="U270" s="85" t="n"/>
      <c r="V270" s="85" t="n"/>
      <c r="W270" s="85" t="n"/>
      <c r="X270" s="85" t="n"/>
      <c r="Y270" s="85" t="n"/>
      <c r="Z270" s="85" t="n"/>
    </row>
    <row r="271" ht="15.75" customHeight="1" s="86">
      <c r="T271" s="85" t="n"/>
      <c r="U271" s="85" t="n"/>
      <c r="V271" s="85" t="n"/>
      <c r="W271" s="85" t="n"/>
      <c r="X271" s="85" t="n"/>
      <c r="Y271" s="85" t="n"/>
      <c r="Z271" s="85" t="n"/>
    </row>
    <row r="272" ht="15.75" customHeight="1" s="86">
      <c r="T272" s="85" t="n"/>
      <c r="U272" s="85" t="n"/>
      <c r="V272" s="85" t="n"/>
      <c r="W272" s="85" t="n"/>
      <c r="X272" s="85" t="n"/>
      <c r="Y272" s="85" t="n"/>
      <c r="Z272" s="85" t="n"/>
    </row>
    <row r="273" ht="15.75" customHeight="1" s="86">
      <c r="T273" s="85" t="n"/>
      <c r="U273" s="85" t="n"/>
      <c r="V273" s="85" t="n"/>
      <c r="W273" s="85" t="n"/>
      <c r="X273" s="85" t="n"/>
      <c r="Y273" s="85" t="n"/>
      <c r="Z273" s="85" t="n"/>
    </row>
    <row r="274" ht="15.75" customHeight="1" s="86">
      <c r="T274" s="85" t="n"/>
      <c r="U274" s="85" t="n"/>
      <c r="V274" s="85" t="n"/>
      <c r="W274" s="85" t="n"/>
      <c r="X274" s="85" t="n"/>
      <c r="Y274" s="85" t="n"/>
      <c r="Z274" s="85" t="n"/>
    </row>
    <row r="275" ht="15.75" customHeight="1" s="86">
      <c r="T275" s="85" t="n"/>
      <c r="U275" s="85" t="n"/>
      <c r="V275" s="85" t="n"/>
      <c r="W275" s="85" t="n"/>
      <c r="X275" s="85" t="n"/>
      <c r="Y275" s="85" t="n"/>
      <c r="Z275" s="85" t="n"/>
    </row>
    <row r="276" ht="15.75" customHeight="1" s="86">
      <c r="T276" s="85" t="n"/>
      <c r="U276" s="85" t="n"/>
      <c r="V276" s="85" t="n"/>
      <c r="W276" s="85" t="n"/>
      <c r="X276" s="85" t="n"/>
      <c r="Y276" s="85" t="n"/>
      <c r="Z276" s="85" t="n"/>
    </row>
    <row r="277" ht="15.75" customHeight="1" s="86">
      <c r="T277" s="85" t="n"/>
      <c r="U277" s="85" t="n"/>
      <c r="V277" s="85" t="n"/>
      <c r="W277" s="85" t="n"/>
      <c r="X277" s="85" t="n"/>
      <c r="Y277" s="85" t="n"/>
      <c r="Z277" s="85" t="n"/>
    </row>
    <row r="278" ht="15.75" customHeight="1" s="86">
      <c r="T278" s="85" t="n"/>
      <c r="U278" s="85" t="n"/>
      <c r="V278" s="85" t="n"/>
      <c r="W278" s="85" t="n"/>
      <c r="X278" s="85" t="n"/>
      <c r="Y278" s="85" t="n"/>
      <c r="Z278" s="85" t="n"/>
    </row>
    <row r="279" ht="15.75" customHeight="1" s="86">
      <c r="T279" s="85" t="n"/>
      <c r="U279" s="85" t="n"/>
      <c r="V279" s="85" t="n"/>
      <c r="W279" s="85" t="n"/>
      <c r="X279" s="85" t="n"/>
      <c r="Y279" s="85" t="n"/>
      <c r="Z279" s="85" t="n"/>
    </row>
    <row r="280" ht="15.75" customHeight="1" s="86">
      <c r="T280" s="85" t="n"/>
      <c r="U280" s="85" t="n"/>
      <c r="V280" s="85" t="n"/>
      <c r="W280" s="85" t="n"/>
      <c r="X280" s="85" t="n"/>
      <c r="Y280" s="85" t="n"/>
      <c r="Z280" s="85" t="n"/>
    </row>
    <row r="281" ht="15.75" customHeight="1" s="86">
      <c r="T281" s="85" t="n"/>
      <c r="U281" s="85" t="n"/>
      <c r="V281" s="85" t="n"/>
      <c r="W281" s="85" t="n"/>
      <c r="X281" s="85" t="n"/>
      <c r="Y281" s="85" t="n"/>
      <c r="Z281" s="85" t="n"/>
    </row>
    <row r="282" ht="15.75" customHeight="1" s="86">
      <c r="T282" s="85" t="n"/>
      <c r="U282" s="85" t="n"/>
      <c r="V282" s="85" t="n"/>
      <c r="W282" s="85" t="n"/>
      <c r="X282" s="85" t="n"/>
      <c r="Y282" s="85" t="n"/>
      <c r="Z282" s="85" t="n"/>
    </row>
    <row r="283" ht="15.75" customHeight="1" s="86">
      <c r="T283" s="85" t="n"/>
      <c r="U283" s="85" t="n"/>
      <c r="V283" s="85" t="n"/>
      <c r="W283" s="85" t="n"/>
      <c r="X283" s="85" t="n"/>
      <c r="Y283" s="85" t="n"/>
      <c r="Z283" s="85" t="n"/>
    </row>
    <row r="284" ht="15.75" customHeight="1" s="86">
      <c r="T284" s="85" t="n"/>
      <c r="U284" s="85" t="n"/>
      <c r="V284" s="85" t="n"/>
      <c r="W284" s="85" t="n"/>
      <c r="X284" s="85" t="n"/>
      <c r="Y284" s="85" t="n"/>
      <c r="Z284" s="85" t="n"/>
    </row>
    <row r="285" ht="15.75" customHeight="1" s="86">
      <c r="T285" s="85" t="n"/>
      <c r="U285" s="85" t="n"/>
      <c r="V285" s="85" t="n"/>
      <c r="W285" s="85" t="n"/>
      <c r="X285" s="85" t="n"/>
      <c r="Y285" s="85" t="n"/>
      <c r="Z285" s="85" t="n"/>
    </row>
    <row r="286" ht="15.75" customHeight="1" s="86">
      <c r="T286" s="85" t="n"/>
      <c r="U286" s="85" t="n"/>
      <c r="V286" s="85" t="n"/>
      <c r="W286" s="85" t="n"/>
      <c r="X286" s="85" t="n"/>
      <c r="Y286" s="85" t="n"/>
      <c r="Z286" s="85" t="n"/>
    </row>
    <row r="287" ht="15.75" customHeight="1" s="86">
      <c r="T287" s="85" t="n"/>
      <c r="U287" s="85" t="n"/>
      <c r="V287" s="85" t="n"/>
      <c r="W287" s="85" t="n"/>
      <c r="X287" s="85" t="n"/>
      <c r="Y287" s="85" t="n"/>
      <c r="Z287" s="85" t="n"/>
    </row>
    <row r="288" ht="15.75" customHeight="1" s="86">
      <c r="T288" s="85" t="n"/>
      <c r="U288" s="85" t="n"/>
      <c r="V288" s="85" t="n"/>
      <c r="W288" s="85" t="n"/>
      <c r="X288" s="85" t="n"/>
      <c r="Y288" s="85" t="n"/>
      <c r="Z288" s="85" t="n"/>
    </row>
    <row r="289" ht="15.75" customHeight="1" s="86">
      <c r="T289" s="85" t="n"/>
      <c r="U289" s="85" t="n"/>
      <c r="V289" s="85" t="n"/>
      <c r="W289" s="85" t="n"/>
      <c r="X289" s="85" t="n"/>
      <c r="Y289" s="85" t="n"/>
      <c r="Z289" s="85" t="n"/>
    </row>
    <row r="290" ht="15.75" customHeight="1" s="86">
      <c r="T290" s="85" t="n"/>
      <c r="U290" s="85" t="n"/>
      <c r="V290" s="85" t="n"/>
      <c r="W290" s="85" t="n"/>
      <c r="X290" s="85" t="n"/>
      <c r="Y290" s="85" t="n"/>
      <c r="Z290" s="85" t="n"/>
    </row>
    <row r="291" ht="15.75" customHeight="1" s="86">
      <c r="T291" s="85" t="n"/>
      <c r="U291" s="85" t="n"/>
      <c r="V291" s="85" t="n"/>
      <c r="W291" s="85" t="n"/>
      <c r="X291" s="85" t="n"/>
      <c r="Y291" s="85" t="n"/>
      <c r="Z291" s="85" t="n"/>
    </row>
    <row r="292" ht="15.75" customHeight="1" s="86">
      <c r="T292" s="85" t="n"/>
      <c r="U292" s="85" t="n"/>
      <c r="V292" s="85" t="n"/>
      <c r="W292" s="85" t="n"/>
      <c r="X292" s="85" t="n"/>
      <c r="Y292" s="85" t="n"/>
      <c r="Z292" s="85" t="n"/>
    </row>
    <row r="293" ht="15.75" customHeight="1" s="86">
      <c r="T293" s="85" t="n"/>
      <c r="U293" s="85" t="n"/>
      <c r="V293" s="85" t="n"/>
      <c r="W293" s="85" t="n"/>
      <c r="X293" s="85" t="n"/>
      <c r="Y293" s="85" t="n"/>
      <c r="Z293" s="85" t="n"/>
    </row>
    <row r="294" ht="15.75" customHeight="1" s="86">
      <c r="T294" s="85" t="n"/>
      <c r="U294" s="85" t="n"/>
      <c r="V294" s="85" t="n"/>
      <c r="W294" s="85" t="n"/>
      <c r="X294" s="85" t="n"/>
      <c r="Y294" s="85" t="n"/>
      <c r="Z294" s="85" t="n"/>
    </row>
    <row r="295" ht="15.75" customHeight="1" s="86">
      <c r="T295" s="85" t="n"/>
      <c r="U295" s="85" t="n"/>
      <c r="V295" s="85" t="n"/>
      <c r="W295" s="85" t="n"/>
      <c r="X295" s="85" t="n"/>
      <c r="Y295" s="85" t="n"/>
      <c r="Z295" s="85" t="n"/>
    </row>
    <row r="296" ht="15.75" customHeight="1" s="86">
      <c r="T296" s="85" t="n"/>
      <c r="U296" s="85" t="n"/>
      <c r="V296" s="85" t="n"/>
      <c r="W296" s="85" t="n"/>
      <c r="X296" s="85" t="n"/>
      <c r="Y296" s="85" t="n"/>
      <c r="Z296" s="85" t="n"/>
    </row>
    <row r="297" ht="15.75" customHeight="1" s="86">
      <c r="T297" s="85" t="n"/>
      <c r="U297" s="85" t="n"/>
      <c r="V297" s="85" t="n"/>
      <c r="W297" s="85" t="n"/>
      <c r="X297" s="85" t="n"/>
      <c r="Y297" s="85" t="n"/>
      <c r="Z297" s="85" t="n"/>
    </row>
    <row r="298" ht="15.75" customHeight="1" s="86">
      <c r="T298" s="85" t="n"/>
      <c r="U298" s="85" t="n"/>
      <c r="V298" s="85" t="n"/>
      <c r="W298" s="85" t="n"/>
      <c r="X298" s="85" t="n"/>
      <c r="Y298" s="85" t="n"/>
      <c r="Z298" s="85" t="n"/>
    </row>
    <row r="299" ht="15.75" customHeight="1" s="86">
      <c r="T299" s="85" t="n"/>
      <c r="U299" s="85" t="n"/>
      <c r="V299" s="85" t="n"/>
      <c r="W299" s="85" t="n"/>
      <c r="X299" s="85" t="n"/>
      <c r="Y299" s="85" t="n"/>
      <c r="Z299" s="85" t="n"/>
    </row>
    <row r="300" ht="15.75" customHeight="1" s="86">
      <c r="T300" s="85" t="n"/>
      <c r="U300" s="85" t="n"/>
      <c r="V300" s="85" t="n"/>
      <c r="W300" s="85" t="n"/>
      <c r="X300" s="85" t="n"/>
      <c r="Y300" s="85" t="n"/>
      <c r="Z300" s="85" t="n"/>
    </row>
    <row r="301" ht="15.75" customHeight="1" s="86">
      <c r="T301" s="85" t="n"/>
      <c r="U301" s="85" t="n"/>
      <c r="V301" s="85" t="n"/>
      <c r="W301" s="85" t="n"/>
      <c r="X301" s="85" t="n"/>
      <c r="Y301" s="85" t="n"/>
      <c r="Z301" s="85" t="n"/>
    </row>
    <row r="302" ht="15.75" customHeight="1" s="86">
      <c r="T302" s="85" t="n"/>
      <c r="U302" s="85" t="n"/>
      <c r="V302" s="85" t="n"/>
      <c r="W302" s="85" t="n"/>
      <c r="X302" s="85" t="n"/>
      <c r="Y302" s="85" t="n"/>
      <c r="Z302" s="85" t="n"/>
    </row>
    <row r="303" ht="15.75" customHeight="1" s="86">
      <c r="T303" s="85" t="n"/>
      <c r="U303" s="85" t="n"/>
      <c r="V303" s="85" t="n"/>
      <c r="W303" s="85" t="n"/>
      <c r="X303" s="85" t="n"/>
      <c r="Y303" s="85" t="n"/>
      <c r="Z303" s="85" t="n"/>
    </row>
    <row r="304" ht="15.75" customHeight="1" s="86">
      <c r="T304" s="85" t="n"/>
      <c r="U304" s="85" t="n"/>
      <c r="V304" s="85" t="n"/>
      <c r="W304" s="85" t="n"/>
      <c r="X304" s="85" t="n"/>
      <c r="Y304" s="85" t="n"/>
      <c r="Z304" s="85" t="n"/>
    </row>
    <row r="305" ht="15.75" customHeight="1" s="86">
      <c r="T305" s="85" t="n"/>
      <c r="U305" s="85" t="n"/>
      <c r="V305" s="85" t="n"/>
      <c r="W305" s="85" t="n"/>
      <c r="X305" s="85" t="n"/>
      <c r="Y305" s="85" t="n"/>
      <c r="Z305" s="85" t="n"/>
    </row>
    <row r="306" ht="15.75" customHeight="1" s="86">
      <c r="T306" s="85" t="n"/>
      <c r="U306" s="85" t="n"/>
      <c r="V306" s="85" t="n"/>
      <c r="W306" s="85" t="n"/>
      <c r="X306" s="85" t="n"/>
      <c r="Y306" s="85" t="n"/>
      <c r="Z306" s="85" t="n"/>
    </row>
    <row r="307" ht="15.75" customHeight="1" s="86">
      <c r="T307" s="85" t="n"/>
      <c r="U307" s="85" t="n"/>
      <c r="V307" s="85" t="n"/>
      <c r="W307" s="85" t="n"/>
      <c r="X307" s="85" t="n"/>
      <c r="Y307" s="85" t="n"/>
      <c r="Z307" s="85" t="n"/>
    </row>
    <row r="308" ht="15.75" customHeight="1" s="86">
      <c r="T308" s="85" t="n"/>
      <c r="U308" s="85" t="n"/>
      <c r="V308" s="85" t="n"/>
      <c r="W308" s="85" t="n"/>
      <c r="X308" s="85" t="n"/>
      <c r="Y308" s="85" t="n"/>
      <c r="Z308" s="85" t="n"/>
    </row>
    <row r="309" ht="15.75" customHeight="1" s="86">
      <c r="T309" s="85" t="n"/>
      <c r="U309" s="85" t="n"/>
      <c r="V309" s="85" t="n"/>
      <c r="W309" s="85" t="n"/>
      <c r="X309" s="85" t="n"/>
      <c r="Y309" s="85" t="n"/>
      <c r="Z309" s="85" t="n"/>
    </row>
    <row r="310" ht="15.75" customHeight="1" s="86">
      <c r="T310" s="85" t="n"/>
      <c r="U310" s="85" t="n"/>
      <c r="V310" s="85" t="n"/>
      <c r="W310" s="85" t="n"/>
      <c r="X310" s="85" t="n"/>
      <c r="Y310" s="85" t="n"/>
      <c r="Z310" s="85" t="n"/>
    </row>
    <row r="311" ht="15.75" customHeight="1" s="86">
      <c r="T311" s="85" t="n"/>
      <c r="U311" s="85" t="n"/>
      <c r="V311" s="85" t="n"/>
      <c r="W311" s="85" t="n"/>
      <c r="X311" s="85" t="n"/>
      <c r="Y311" s="85" t="n"/>
      <c r="Z311" s="85" t="n"/>
    </row>
    <row r="312" ht="15.75" customHeight="1" s="86">
      <c r="T312" s="85" t="n"/>
      <c r="U312" s="85" t="n"/>
      <c r="V312" s="85" t="n"/>
      <c r="W312" s="85" t="n"/>
      <c r="X312" s="85" t="n"/>
      <c r="Y312" s="85" t="n"/>
      <c r="Z312" s="85" t="n"/>
    </row>
    <row r="313" ht="15.75" customHeight="1" s="86">
      <c r="T313" s="85" t="n"/>
      <c r="U313" s="85" t="n"/>
      <c r="V313" s="85" t="n"/>
      <c r="W313" s="85" t="n"/>
      <c r="X313" s="85" t="n"/>
      <c r="Y313" s="85" t="n"/>
      <c r="Z313" s="85" t="n"/>
    </row>
    <row r="314" ht="15.75" customHeight="1" s="86">
      <c r="T314" s="85" t="n"/>
      <c r="U314" s="85" t="n"/>
      <c r="V314" s="85" t="n"/>
      <c r="W314" s="85" t="n"/>
      <c r="X314" s="85" t="n"/>
      <c r="Y314" s="85" t="n"/>
      <c r="Z314" s="85" t="n"/>
    </row>
    <row r="315" ht="15.75" customHeight="1" s="86">
      <c r="T315" s="85" t="n"/>
      <c r="U315" s="85" t="n"/>
      <c r="V315" s="85" t="n"/>
      <c r="W315" s="85" t="n"/>
      <c r="X315" s="85" t="n"/>
      <c r="Y315" s="85" t="n"/>
      <c r="Z315" s="85" t="n"/>
    </row>
    <row r="316" ht="15.75" customHeight="1" s="86">
      <c r="T316" s="85" t="n"/>
      <c r="U316" s="85" t="n"/>
      <c r="V316" s="85" t="n"/>
      <c r="W316" s="85" t="n"/>
      <c r="X316" s="85" t="n"/>
      <c r="Y316" s="85" t="n"/>
      <c r="Z316" s="85" t="n"/>
    </row>
    <row r="317" ht="15.75" customHeight="1" s="86">
      <c r="T317" s="85" t="n"/>
      <c r="U317" s="85" t="n"/>
      <c r="V317" s="85" t="n"/>
      <c r="W317" s="85" t="n"/>
      <c r="X317" s="85" t="n"/>
      <c r="Y317" s="85" t="n"/>
      <c r="Z317" s="85" t="n"/>
    </row>
    <row r="318" ht="15.75" customHeight="1" s="86">
      <c r="T318" s="85" t="n"/>
      <c r="U318" s="85" t="n"/>
      <c r="V318" s="85" t="n"/>
      <c r="W318" s="85" t="n"/>
      <c r="X318" s="85" t="n"/>
      <c r="Y318" s="85" t="n"/>
      <c r="Z318" s="85" t="n"/>
    </row>
    <row r="319" ht="15.75" customHeight="1" s="86">
      <c r="T319" s="85" t="n"/>
      <c r="U319" s="85" t="n"/>
      <c r="V319" s="85" t="n"/>
      <c r="W319" s="85" t="n"/>
      <c r="X319" s="85" t="n"/>
      <c r="Y319" s="85" t="n"/>
      <c r="Z319" s="85" t="n"/>
    </row>
    <row r="320" ht="15.75" customHeight="1" s="86">
      <c r="T320" s="85" t="n"/>
      <c r="U320" s="85" t="n"/>
      <c r="V320" s="85" t="n"/>
      <c r="W320" s="85" t="n"/>
      <c r="X320" s="85" t="n"/>
      <c r="Y320" s="85" t="n"/>
      <c r="Z320" s="85" t="n"/>
    </row>
    <row r="321" ht="15.75" customHeight="1" s="86">
      <c r="T321" s="85" t="n"/>
      <c r="U321" s="85" t="n"/>
      <c r="V321" s="85" t="n"/>
      <c r="W321" s="85" t="n"/>
      <c r="X321" s="85" t="n"/>
      <c r="Y321" s="85" t="n"/>
      <c r="Z321" s="85" t="n"/>
    </row>
    <row r="322" ht="15.75" customHeight="1" s="86">
      <c r="T322" s="85" t="n"/>
      <c r="U322" s="85" t="n"/>
      <c r="V322" s="85" t="n"/>
      <c r="W322" s="85" t="n"/>
      <c r="X322" s="85" t="n"/>
      <c r="Y322" s="85" t="n"/>
      <c r="Z322" s="85" t="n"/>
    </row>
    <row r="323" ht="15.75" customHeight="1" s="86">
      <c r="T323" s="85" t="n"/>
      <c r="U323" s="85" t="n"/>
      <c r="V323" s="85" t="n"/>
      <c r="W323" s="85" t="n"/>
      <c r="X323" s="85" t="n"/>
      <c r="Y323" s="85" t="n"/>
      <c r="Z323" s="85" t="n"/>
    </row>
    <row r="324" ht="15.75" customHeight="1" s="86">
      <c r="T324" s="85" t="n"/>
      <c r="U324" s="85" t="n"/>
      <c r="V324" s="85" t="n"/>
      <c r="W324" s="85" t="n"/>
      <c r="X324" s="85" t="n"/>
      <c r="Y324" s="85" t="n"/>
      <c r="Z324" s="85" t="n"/>
    </row>
    <row r="325" ht="15.75" customHeight="1" s="86">
      <c r="T325" s="85" t="n"/>
      <c r="U325" s="85" t="n"/>
      <c r="V325" s="85" t="n"/>
      <c r="W325" s="85" t="n"/>
      <c r="X325" s="85" t="n"/>
      <c r="Y325" s="85" t="n"/>
      <c r="Z325" s="85" t="n"/>
    </row>
    <row r="326" ht="15.75" customHeight="1" s="86">
      <c r="T326" s="85" t="n"/>
      <c r="U326" s="85" t="n"/>
      <c r="V326" s="85" t="n"/>
      <c r="W326" s="85" t="n"/>
      <c r="X326" s="85" t="n"/>
      <c r="Y326" s="85" t="n"/>
      <c r="Z326" s="85" t="n"/>
    </row>
    <row r="327" ht="15.75" customHeight="1" s="86">
      <c r="T327" s="85" t="n"/>
      <c r="U327" s="85" t="n"/>
      <c r="V327" s="85" t="n"/>
      <c r="W327" s="85" t="n"/>
      <c r="X327" s="85" t="n"/>
      <c r="Y327" s="85" t="n"/>
      <c r="Z327" s="85" t="n"/>
    </row>
    <row r="328" ht="15.75" customHeight="1" s="86">
      <c r="T328" s="85" t="n"/>
      <c r="U328" s="85" t="n"/>
      <c r="V328" s="85" t="n"/>
      <c r="W328" s="85" t="n"/>
      <c r="X328" s="85" t="n"/>
      <c r="Y328" s="85" t="n"/>
      <c r="Z328" s="85" t="n"/>
    </row>
    <row r="329" ht="15.75" customHeight="1" s="86">
      <c r="T329" s="85" t="n"/>
      <c r="U329" s="85" t="n"/>
      <c r="V329" s="85" t="n"/>
      <c r="W329" s="85" t="n"/>
      <c r="X329" s="85" t="n"/>
      <c r="Y329" s="85" t="n"/>
      <c r="Z329" s="85" t="n"/>
    </row>
    <row r="330" ht="15.75" customHeight="1" s="86">
      <c r="T330" s="85" t="n"/>
      <c r="U330" s="85" t="n"/>
      <c r="V330" s="85" t="n"/>
      <c r="W330" s="85" t="n"/>
      <c r="X330" s="85" t="n"/>
      <c r="Y330" s="85" t="n"/>
      <c r="Z330" s="85" t="n"/>
    </row>
    <row r="331" ht="15.75" customHeight="1" s="86">
      <c r="T331" s="85" t="n"/>
      <c r="U331" s="85" t="n"/>
      <c r="V331" s="85" t="n"/>
      <c r="W331" s="85" t="n"/>
      <c r="X331" s="85" t="n"/>
      <c r="Y331" s="85" t="n"/>
      <c r="Z331" s="85" t="n"/>
    </row>
    <row r="332" ht="15.75" customHeight="1" s="86">
      <c r="T332" s="85" t="n"/>
      <c r="U332" s="85" t="n"/>
      <c r="V332" s="85" t="n"/>
      <c r="W332" s="85" t="n"/>
      <c r="X332" s="85" t="n"/>
      <c r="Y332" s="85" t="n"/>
      <c r="Z332" s="85" t="n"/>
    </row>
    <row r="333" ht="15.75" customHeight="1" s="86">
      <c r="T333" s="85" t="n"/>
      <c r="U333" s="85" t="n"/>
      <c r="V333" s="85" t="n"/>
      <c r="W333" s="85" t="n"/>
      <c r="X333" s="85" t="n"/>
      <c r="Y333" s="85" t="n"/>
      <c r="Z333" s="85" t="n"/>
    </row>
    <row r="334" ht="15.75" customHeight="1" s="86">
      <c r="T334" s="85" t="n"/>
      <c r="U334" s="85" t="n"/>
      <c r="V334" s="85" t="n"/>
      <c r="W334" s="85" t="n"/>
      <c r="X334" s="85" t="n"/>
      <c r="Y334" s="85" t="n"/>
      <c r="Z334" s="85" t="n"/>
    </row>
    <row r="335" ht="15.75" customHeight="1" s="86">
      <c r="T335" s="85" t="n"/>
      <c r="U335" s="85" t="n"/>
      <c r="V335" s="85" t="n"/>
      <c r="W335" s="85" t="n"/>
      <c r="X335" s="85" t="n"/>
      <c r="Y335" s="85" t="n"/>
      <c r="Z335" s="85" t="n"/>
    </row>
    <row r="336" ht="15.75" customHeight="1" s="86">
      <c r="T336" s="85" t="n"/>
      <c r="U336" s="85" t="n"/>
      <c r="V336" s="85" t="n"/>
      <c r="W336" s="85" t="n"/>
      <c r="X336" s="85" t="n"/>
      <c r="Y336" s="85" t="n"/>
      <c r="Z336" s="85" t="n"/>
    </row>
    <row r="337" ht="15.75" customHeight="1" s="86">
      <c r="T337" s="85" t="n"/>
      <c r="U337" s="85" t="n"/>
      <c r="V337" s="85" t="n"/>
      <c r="W337" s="85" t="n"/>
      <c r="X337" s="85" t="n"/>
      <c r="Y337" s="85" t="n"/>
      <c r="Z337" s="85" t="n"/>
    </row>
    <row r="338" ht="15.75" customHeight="1" s="86">
      <c r="T338" s="85" t="n"/>
      <c r="U338" s="85" t="n"/>
      <c r="V338" s="85" t="n"/>
      <c r="W338" s="85" t="n"/>
      <c r="X338" s="85" t="n"/>
      <c r="Y338" s="85" t="n"/>
      <c r="Z338" s="85" t="n"/>
    </row>
    <row r="339" ht="15.75" customHeight="1" s="86">
      <c r="T339" s="85" t="n"/>
      <c r="U339" s="85" t="n"/>
      <c r="V339" s="85" t="n"/>
      <c r="W339" s="85" t="n"/>
      <c r="X339" s="85" t="n"/>
      <c r="Y339" s="85" t="n"/>
      <c r="Z339" s="85" t="n"/>
    </row>
    <row r="340" ht="15.75" customHeight="1" s="86">
      <c r="T340" s="85" t="n"/>
      <c r="U340" s="85" t="n"/>
      <c r="V340" s="85" t="n"/>
      <c r="W340" s="85" t="n"/>
      <c r="X340" s="85" t="n"/>
      <c r="Y340" s="85" t="n"/>
      <c r="Z340" s="85" t="n"/>
    </row>
    <row r="341" ht="15.75" customHeight="1" s="86">
      <c r="T341" s="85" t="n"/>
      <c r="U341" s="85" t="n"/>
      <c r="V341" s="85" t="n"/>
      <c r="W341" s="85" t="n"/>
      <c r="X341" s="85" t="n"/>
      <c r="Y341" s="85" t="n"/>
      <c r="Z341" s="85" t="n"/>
    </row>
    <row r="342" ht="15.75" customHeight="1" s="86">
      <c r="T342" s="85" t="n"/>
      <c r="U342" s="85" t="n"/>
      <c r="V342" s="85" t="n"/>
      <c r="W342" s="85" t="n"/>
      <c r="X342" s="85" t="n"/>
      <c r="Y342" s="85" t="n"/>
      <c r="Z342" s="85" t="n"/>
    </row>
    <row r="343" ht="15.75" customHeight="1" s="86">
      <c r="T343" s="85" t="n"/>
      <c r="U343" s="85" t="n"/>
      <c r="V343" s="85" t="n"/>
      <c r="W343" s="85" t="n"/>
      <c r="X343" s="85" t="n"/>
      <c r="Y343" s="85" t="n"/>
      <c r="Z343" s="85" t="n"/>
    </row>
    <row r="344" ht="15.75" customHeight="1" s="86">
      <c r="T344" s="85" t="n"/>
      <c r="U344" s="85" t="n"/>
      <c r="V344" s="85" t="n"/>
      <c r="W344" s="85" t="n"/>
      <c r="X344" s="85" t="n"/>
      <c r="Y344" s="85" t="n"/>
      <c r="Z344" s="85" t="n"/>
    </row>
    <row r="345" ht="15.75" customHeight="1" s="86">
      <c r="T345" s="85" t="n"/>
      <c r="U345" s="85" t="n"/>
      <c r="V345" s="85" t="n"/>
      <c r="W345" s="85" t="n"/>
      <c r="X345" s="85" t="n"/>
      <c r="Y345" s="85" t="n"/>
      <c r="Z345" s="85" t="n"/>
    </row>
    <row r="346" ht="15.75" customHeight="1" s="86">
      <c r="T346" s="85" t="n"/>
      <c r="U346" s="85" t="n"/>
      <c r="V346" s="85" t="n"/>
      <c r="W346" s="85" t="n"/>
      <c r="X346" s="85" t="n"/>
      <c r="Y346" s="85" t="n"/>
      <c r="Z346" s="85" t="n"/>
    </row>
    <row r="347" ht="15.75" customHeight="1" s="86">
      <c r="T347" s="85" t="n"/>
      <c r="U347" s="85" t="n"/>
      <c r="V347" s="85" t="n"/>
      <c r="W347" s="85" t="n"/>
      <c r="X347" s="85" t="n"/>
      <c r="Y347" s="85" t="n"/>
      <c r="Z347" s="85" t="n"/>
    </row>
    <row r="348" ht="15.75" customHeight="1" s="86">
      <c r="T348" s="85" t="n"/>
      <c r="U348" s="85" t="n"/>
      <c r="V348" s="85" t="n"/>
      <c r="W348" s="85" t="n"/>
      <c r="X348" s="85" t="n"/>
      <c r="Y348" s="85" t="n"/>
      <c r="Z348" s="85" t="n"/>
    </row>
    <row r="349" ht="15.75" customHeight="1" s="86">
      <c r="T349" s="85" t="n"/>
      <c r="U349" s="85" t="n"/>
      <c r="V349" s="85" t="n"/>
      <c r="W349" s="85" t="n"/>
      <c r="X349" s="85" t="n"/>
      <c r="Y349" s="85" t="n"/>
      <c r="Z349" s="85" t="n"/>
    </row>
    <row r="350" ht="15.75" customHeight="1" s="86">
      <c r="T350" s="85" t="n"/>
      <c r="U350" s="85" t="n"/>
      <c r="V350" s="85" t="n"/>
      <c r="W350" s="85" t="n"/>
      <c r="X350" s="85" t="n"/>
      <c r="Y350" s="85" t="n"/>
      <c r="Z350" s="85" t="n"/>
    </row>
    <row r="351" ht="15.75" customHeight="1" s="86">
      <c r="T351" s="85" t="n"/>
      <c r="U351" s="85" t="n"/>
      <c r="V351" s="85" t="n"/>
      <c r="W351" s="85" t="n"/>
      <c r="X351" s="85" t="n"/>
      <c r="Y351" s="85" t="n"/>
      <c r="Z351" s="85" t="n"/>
    </row>
    <row r="352" ht="15.75" customHeight="1" s="86">
      <c r="T352" s="85" t="n"/>
      <c r="U352" s="85" t="n"/>
      <c r="V352" s="85" t="n"/>
      <c r="W352" s="85" t="n"/>
      <c r="X352" s="85" t="n"/>
      <c r="Y352" s="85" t="n"/>
      <c r="Z352" s="85" t="n"/>
    </row>
    <row r="353" ht="15.75" customHeight="1" s="86">
      <c r="T353" s="85" t="n"/>
      <c r="U353" s="85" t="n"/>
      <c r="V353" s="85" t="n"/>
      <c r="W353" s="85" t="n"/>
      <c r="X353" s="85" t="n"/>
      <c r="Y353" s="85" t="n"/>
      <c r="Z353" s="85" t="n"/>
    </row>
    <row r="354" ht="15.75" customHeight="1" s="86">
      <c r="T354" s="85" t="n"/>
      <c r="U354" s="85" t="n"/>
      <c r="V354" s="85" t="n"/>
      <c r="W354" s="85" t="n"/>
      <c r="X354" s="85" t="n"/>
      <c r="Y354" s="85" t="n"/>
      <c r="Z354" s="85" t="n"/>
    </row>
    <row r="355" ht="15.75" customHeight="1" s="86">
      <c r="T355" s="85" t="n"/>
      <c r="U355" s="85" t="n"/>
      <c r="V355" s="85" t="n"/>
      <c r="W355" s="85" t="n"/>
      <c r="X355" s="85" t="n"/>
      <c r="Y355" s="85" t="n"/>
      <c r="Z355" s="85" t="n"/>
    </row>
    <row r="356" ht="15.75" customHeight="1" s="86">
      <c r="T356" s="85" t="n"/>
      <c r="U356" s="85" t="n"/>
      <c r="V356" s="85" t="n"/>
      <c r="W356" s="85" t="n"/>
      <c r="X356" s="85" t="n"/>
      <c r="Y356" s="85" t="n"/>
      <c r="Z356" s="85" t="n"/>
    </row>
    <row r="357" ht="15.75" customHeight="1" s="86">
      <c r="T357" s="85" t="n"/>
      <c r="U357" s="85" t="n"/>
      <c r="V357" s="85" t="n"/>
      <c r="W357" s="85" t="n"/>
      <c r="X357" s="85" t="n"/>
      <c r="Y357" s="85" t="n"/>
      <c r="Z357" s="85" t="n"/>
    </row>
    <row r="358" ht="15.75" customHeight="1" s="86">
      <c r="T358" s="85" t="n"/>
      <c r="U358" s="85" t="n"/>
      <c r="V358" s="85" t="n"/>
      <c r="W358" s="85" t="n"/>
      <c r="X358" s="85" t="n"/>
      <c r="Y358" s="85" t="n"/>
      <c r="Z358" s="85" t="n"/>
    </row>
    <row r="359" ht="15.75" customHeight="1" s="86">
      <c r="T359" s="85" t="n"/>
      <c r="U359" s="85" t="n"/>
      <c r="V359" s="85" t="n"/>
      <c r="W359" s="85" t="n"/>
      <c r="X359" s="85" t="n"/>
      <c r="Y359" s="85" t="n"/>
      <c r="Z359" s="85" t="n"/>
    </row>
    <row r="360" ht="15.75" customHeight="1" s="86">
      <c r="T360" s="85" t="n"/>
      <c r="U360" s="85" t="n"/>
      <c r="V360" s="85" t="n"/>
      <c r="W360" s="85" t="n"/>
      <c r="X360" s="85" t="n"/>
      <c r="Y360" s="85" t="n"/>
      <c r="Z360" s="85" t="n"/>
    </row>
    <row r="361" ht="15.75" customHeight="1" s="86">
      <c r="T361" s="85" t="n"/>
      <c r="U361" s="85" t="n"/>
      <c r="V361" s="85" t="n"/>
      <c r="W361" s="85" t="n"/>
      <c r="X361" s="85" t="n"/>
      <c r="Y361" s="85" t="n"/>
      <c r="Z361" s="85" t="n"/>
    </row>
    <row r="362" ht="15.75" customHeight="1" s="86">
      <c r="T362" s="85" t="n"/>
      <c r="U362" s="85" t="n"/>
      <c r="V362" s="85" t="n"/>
      <c r="W362" s="85" t="n"/>
      <c r="X362" s="85" t="n"/>
      <c r="Y362" s="85" t="n"/>
      <c r="Z362" s="85" t="n"/>
    </row>
    <row r="363" ht="15.75" customHeight="1" s="86">
      <c r="T363" s="85" t="n"/>
      <c r="U363" s="85" t="n"/>
      <c r="V363" s="85" t="n"/>
      <c r="W363" s="85" t="n"/>
      <c r="X363" s="85" t="n"/>
      <c r="Y363" s="85" t="n"/>
      <c r="Z363" s="85" t="n"/>
    </row>
    <row r="364" ht="15.75" customHeight="1" s="86">
      <c r="T364" s="85" t="n"/>
      <c r="U364" s="85" t="n"/>
      <c r="V364" s="85" t="n"/>
      <c r="W364" s="85" t="n"/>
      <c r="X364" s="85" t="n"/>
      <c r="Y364" s="85" t="n"/>
      <c r="Z364" s="85" t="n"/>
    </row>
    <row r="365" ht="15.75" customHeight="1" s="86">
      <c r="T365" s="85" t="n"/>
      <c r="U365" s="85" t="n"/>
      <c r="V365" s="85" t="n"/>
      <c r="W365" s="85" t="n"/>
      <c r="X365" s="85" t="n"/>
      <c r="Y365" s="85" t="n"/>
      <c r="Z365" s="85" t="n"/>
    </row>
    <row r="366" ht="15.75" customHeight="1" s="86">
      <c r="T366" s="85" t="n"/>
      <c r="U366" s="85" t="n"/>
      <c r="V366" s="85" t="n"/>
      <c r="W366" s="85" t="n"/>
      <c r="X366" s="85" t="n"/>
      <c r="Y366" s="85" t="n"/>
      <c r="Z366" s="85" t="n"/>
    </row>
    <row r="367" ht="15.75" customHeight="1" s="86">
      <c r="T367" s="85" t="n"/>
      <c r="U367" s="85" t="n"/>
      <c r="V367" s="85" t="n"/>
      <c r="W367" s="85" t="n"/>
      <c r="X367" s="85" t="n"/>
      <c r="Y367" s="85" t="n"/>
      <c r="Z367" s="85" t="n"/>
    </row>
    <row r="368" ht="15.75" customHeight="1" s="86">
      <c r="T368" s="85" t="n"/>
      <c r="U368" s="85" t="n"/>
      <c r="V368" s="85" t="n"/>
      <c r="W368" s="85" t="n"/>
      <c r="X368" s="85" t="n"/>
      <c r="Y368" s="85" t="n"/>
      <c r="Z368" s="85" t="n"/>
    </row>
    <row r="369" ht="15.75" customHeight="1" s="86">
      <c r="T369" s="85" t="n"/>
      <c r="U369" s="85" t="n"/>
      <c r="V369" s="85" t="n"/>
      <c r="W369" s="85" t="n"/>
      <c r="X369" s="85" t="n"/>
      <c r="Y369" s="85" t="n"/>
      <c r="Z369" s="85" t="n"/>
    </row>
    <row r="370" ht="15.75" customHeight="1" s="86">
      <c r="T370" s="85" t="n"/>
      <c r="U370" s="85" t="n"/>
      <c r="V370" s="85" t="n"/>
      <c r="W370" s="85" t="n"/>
      <c r="X370" s="85" t="n"/>
      <c r="Y370" s="85" t="n"/>
      <c r="Z370" s="85" t="n"/>
    </row>
    <row r="371" ht="15.75" customHeight="1" s="86">
      <c r="T371" s="85" t="n"/>
      <c r="U371" s="85" t="n"/>
      <c r="V371" s="85" t="n"/>
      <c r="W371" s="85" t="n"/>
      <c r="X371" s="85" t="n"/>
      <c r="Y371" s="85" t="n"/>
      <c r="Z371" s="85" t="n"/>
    </row>
    <row r="372" ht="15.75" customHeight="1" s="86">
      <c r="T372" s="85" t="n"/>
      <c r="U372" s="85" t="n"/>
      <c r="V372" s="85" t="n"/>
      <c r="W372" s="85" t="n"/>
      <c r="X372" s="85" t="n"/>
      <c r="Y372" s="85" t="n"/>
      <c r="Z372" s="85" t="n"/>
    </row>
    <row r="373" ht="15.75" customHeight="1" s="86">
      <c r="T373" s="85" t="n"/>
      <c r="U373" s="85" t="n"/>
      <c r="V373" s="85" t="n"/>
      <c r="W373" s="85" t="n"/>
      <c r="X373" s="85" t="n"/>
      <c r="Y373" s="85" t="n"/>
      <c r="Z373" s="85" t="n"/>
    </row>
    <row r="374" ht="15.75" customHeight="1" s="86">
      <c r="T374" s="85" t="n"/>
      <c r="U374" s="85" t="n"/>
      <c r="V374" s="85" t="n"/>
      <c r="W374" s="85" t="n"/>
      <c r="X374" s="85" t="n"/>
      <c r="Y374" s="85" t="n"/>
      <c r="Z374" s="85" t="n"/>
    </row>
    <row r="375" ht="15.75" customHeight="1" s="86">
      <c r="T375" s="85" t="n"/>
      <c r="U375" s="85" t="n"/>
      <c r="V375" s="85" t="n"/>
      <c r="W375" s="85" t="n"/>
      <c r="X375" s="85" t="n"/>
      <c r="Y375" s="85" t="n"/>
      <c r="Z375" s="85" t="n"/>
    </row>
    <row r="376" ht="15.75" customHeight="1" s="86">
      <c r="T376" s="85" t="n"/>
      <c r="U376" s="85" t="n"/>
      <c r="V376" s="85" t="n"/>
      <c r="W376" s="85" t="n"/>
      <c r="X376" s="85" t="n"/>
      <c r="Y376" s="85" t="n"/>
      <c r="Z376" s="85" t="n"/>
    </row>
    <row r="377" ht="15.75" customHeight="1" s="86">
      <c r="T377" s="85" t="n"/>
      <c r="U377" s="85" t="n"/>
      <c r="V377" s="85" t="n"/>
      <c r="W377" s="85" t="n"/>
      <c r="X377" s="85" t="n"/>
      <c r="Y377" s="85" t="n"/>
      <c r="Z377" s="85" t="n"/>
    </row>
    <row r="378" ht="15.75" customHeight="1" s="86">
      <c r="T378" s="85" t="n"/>
      <c r="U378" s="85" t="n"/>
      <c r="V378" s="85" t="n"/>
      <c r="W378" s="85" t="n"/>
      <c r="X378" s="85" t="n"/>
      <c r="Y378" s="85" t="n"/>
      <c r="Z378" s="85" t="n"/>
    </row>
    <row r="379" ht="15.75" customHeight="1" s="86">
      <c r="T379" s="85" t="n"/>
      <c r="U379" s="85" t="n"/>
      <c r="V379" s="85" t="n"/>
      <c r="W379" s="85" t="n"/>
      <c r="X379" s="85" t="n"/>
      <c r="Y379" s="85" t="n"/>
      <c r="Z379" s="85" t="n"/>
    </row>
    <row r="380" ht="15.75" customHeight="1" s="86">
      <c r="T380" s="85" t="n"/>
      <c r="U380" s="85" t="n"/>
      <c r="V380" s="85" t="n"/>
      <c r="W380" s="85" t="n"/>
      <c r="X380" s="85" t="n"/>
      <c r="Y380" s="85" t="n"/>
      <c r="Z380" s="85" t="n"/>
    </row>
    <row r="381" ht="15.75" customHeight="1" s="86">
      <c r="T381" s="85" t="n"/>
      <c r="U381" s="85" t="n"/>
      <c r="V381" s="85" t="n"/>
      <c r="W381" s="85" t="n"/>
      <c r="X381" s="85" t="n"/>
      <c r="Y381" s="85" t="n"/>
      <c r="Z381" s="85" t="n"/>
    </row>
    <row r="382" ht="15.75" customHeight="1" s="86">
      <c r="T382" s="85" t="n"/>
      <c r="U382" s="85" t="n"/>
      <c r="V382" s="85" t="n"/>
      <c r="W382" s="85" t="n"/>
      <c r="X382" s="85" t="n"/>
      <c r="Y382" s="85" t="n"/>
      <c r="Z382" s="85" t="n"/>
    </row>
    <row r="383" ht="15.75" customHeight="1" s="86">
      <c r="T383" s="85" t="n"/>
      <c r="U383" s="85" t="n"/>
      <c r="V383" s="85" t="n"/>
      <c r="W383" s="85" t="n"/>
      <c r="X383" s="85" t="n"/>
      <c r="Y383" s="85" t="n"/>
      <c r="Z383" s="85" t="n"/>
    </row>
    <row r="384" ht="15.75" customHeight="1" s="86">
      <c r="T384" s="85" t="n"/>
      <c r="U384" s="85" t="n"/>
      <c r="V384" s="85" t="n"/>
      <c r="W384" s="85" t="n"/>
      <c r="X384" s="85" t="n"/>
      <c r="Y384" s="85" t="n"/>
      <c r="Z384" s="85" t="n"/>
    </row>
    <row r="385" ht="15.75" customHeight="1" s="86">
      <c r="T385" s="85" t="n"/>
      <c r="U385" s="85" t="n"/>
      <c r="V385" s="85" t="n"/>
      <c r="W385" s="85" t="n"/>
      <c r="X385" s="85" t="n"/>
      <c r="Y385" s="85" t="n"/>
      <c r="Z385" s="85" t="n"/>
    </row>
    <row r="386" ht="15.75" customHeight="1" s="86">
      <c r="T386" s="85" t="n"/>
      <c r="U386" s="85" t="n"/>
      <c r="V386" s="85" t="n"/>
      <c r="W386" s="85" t="n"/>
      <c r="X386" s="85" t="n"/>
      <c r="Y386" s="85" t="n"/>
      <c r="Z386" s="85" t="n"/>
    </row>
    <row r="387" ht="15.75" customHeight="1" s="86">
      <c r="T387" s="85" t="n"/>
      <c r="U387" s="85" t="n"/>
      <c r="V387" s="85" t="n"/>
      <c r="W387" s="85" t="n"/>
      <c r="X387" s="85" t="n"/>
      <c r="Y387" s="85" t="n"/>
      <c r="Z387" s="85" t="n"/>
    </row>
    <row r="388" ht="15.75" customHeight="1" s="86">
      <c r="T388" s="85" t="n"/>
      <c r="U388" s="85" t="n"/>
      <c r="V388" s="85" t="n"/>
      <c r="W388" s="85" t="n"/>
      <c r="X388" s="85" t="n"/>
      <c r="Y388" s="85" t="n"/>
      <c r="Z388" s="85" t="n"/>
    </row>
    <row r="389" ht="15.75" customHeight="1" s="86">
      <c r="T389" s="85" t="n"/>
      <c r="U389" s="85" t="n"/>
      <c r="V389" s="85" t="n"/>
      <c r="W389" s="85" t="n"/>
      <c r="X389" s="85" t="n"/>
      <c r="Y389" s="85" t="n"/>
      <c r="Z389" s="85" t="n"/>
    </row>
    <row r="390" ht="15.75" customHeight="1" s="86">
      <c r="T390" s="85" t="n"/>
      <c r="U390" s="85" t="n"/>
      <c r="V390" s="85" t="n"/>
      <c r="W390" s="85" t="n"/>
      <c r="X390" s="85" t="n"/>
      <c r="Y390" s="85" t="n"/>
      <c r="Z390" s="85" t="n"/>
    </row>
    <row r="391" ht="15.75" customHeight="1" s="86">
      <c r="T391" s="85" t="n"/>
      <c r="U391" s="85" t="n"/>
      <c r="V391" s="85" t="n"/>
      <c r="W391" s="85" t="n"/>
      <c r="X391" s="85" t="n"/>
      <c r="Y391" s="85" t="n"/>
      <c r="Z391" s="85" t="n"/>
    </row>
    <row r="392" ht="15.75" customHeight="1" s="86">
      <c r="T392" s="85" t="n"/>
      <c r="U392" s="85" t="n"/>
      <c r="V392" s="85" t="n"/>
      <c r="W392" s="85" t="n"/>
      <c r="X392" s="85" t="n"/>
      <c r="Y392" s="85" t="n"/>
      <c r="Z392" s="85" t="n"/>
    </row>
    <row r="393" ht="15.75" customHeight="1" s="86">
      <c r="T393" s="85" t="n"/>
      <c r="U393" s="85" t="n"/>
      <c r="V393" s="85" t="n"/>
      <c r="W393" s="85" t="n"/>
      <c r="X393" s="85" t="n"/>
      <c r="Y393" s="85" t="n"/>
      <c r="Z393" s="85" t="n"/>
    </row>
    <row r="394" ht="15.75" customHeight="1" s="86">
      <c r="T394" s="85" t="n"/>
      <c r="U394" s="85" t="n"/>
      <c r="V394" s="85" t="n"/>
      <c r="W394" s="85" t="n"/>
      <c r="X394" s="85" t="n"/>
      <c r="Y394" s="85" t="n"/>
      <c r="Z394" s="85" t="n"/>
    </row>
    <row r="395" ht="15.75" customHeight="1" s="86">
      <c r="T395" s="85" t="n"/>
      <c r="U395" s="85" t="n"/>
      <c r="V395" s="85" t="n"/>
      <c r="W395" s="85" t="n"/>
      <c r="X395" s="85" t="n"/>
      <c r="Y395" s="85" t="n"/>
      <c r="Z395" s="85" t="n"/>
    </row>
    <row r="396" ht="15.75" customHeight="1" s="86">
      <c r="T396" s="85" t="n"/>
      <c r="U396" s="85" t="n"/>
      <c r="V396" s="85" t="n"/>
      <c r="W396" s="85" t="n"/>
      <c r="X396" s="85" t="n"/>
      <c r="Y396" s="85" t="n"/>
      <c r="Z396" s="85" t="n"/>
    </row>
    <row r="397" ht="15.75" customHeight="1" s="86">
      <c r="T397" s="85" t="n"/>
      <c r="U397" s="85" t="n"/>
      <c r="V397" s="85" t="n"/>
      <c r="W397" s="85" t="n"/>
      <c r="X397" s="85" t="n"/>
      <c r="Y397" s="85" t="n"/>
      <c r="Z397" s="85" t="n"/>
    </row>
    <row r="398" ht="15.75" customHeight="1" s="86">
      <c r="T398" s="85" t="n"/>
      <c r="U398" s="85" t="n"/>
      <c r="V398" s="85" t="n"/>
      <c r="W398" s="85" t="n"/>
      <c r="X398" s="85" t="n"/>
      <c r="Y398" s="85" t="n"/>
      <c r="Z398" s="85" t="n"/>
    </row>
    <row r="399" ht="15.75" customHeight="1" s="86">
      <c r="T399" s="85" t="n"/>
      <c r="U399" s="85" t="n"/>
      <c r="V399" s="85" t="n"/>
      <c r="W399" s="85" t="n"/>
      <c r="X399" s="85" t="n"/>
      <c r="Y399" s="85" t="n"/>
      <c r="Z399" s="85" t="n"/>
    </row>
    <row r="400" ht="15.75" customHeight="1" s="86">
      <c r="T400" s="85" t="n"/>
      <c r="U400" s="85" t="n"/>
      <c r="V400" s="85" t="n"/>
      <c r="W400" s="85" t="n"/>
      <c r="X400" s="85" t="n"/>
      <c r="Y400" s="85" t="n"/>
      <c r="Z400" s="85" t="n"/>
    </row>
    <row r="401" ht="15.75" customHeight="1" s="86">
      <c r="T401" s="85" t="n"/>
      <c r="U401" s="85" t="n"/>
      <c r="V401" s="85" t="n"/>
      <c r="W401" s="85" t="n"/>
      <c r="X401" s="85" t="n"/>
      <c r="Y401" s="85" t="n"/>
      <c r="Z401" s="85" t="n"/>
    </row>
    <row r="402" ht="15.75" customHeight="1" s="86">
      <c r="T402" s="85" t="n"/>
      <c r="U402" s="85" t="n"/>
      <c r="V402" s="85" t="n"/>
      <c r="W402" s="85" t="n"/>
      <c r="X402" s="85" t="n"/>
      <c r="Y402" s="85" t="n"/>
      <c r="Z402" s="85" t="n"/>
    </row>
    <row r="403" ht="15.75" customHeight="1" s="86">
      <c r="T403" s="85" t="n"/>
      <c r="U403" s="85" t="n"/>
      <c r="V403" s="85" t="n"/>
      <c r="W403" s="85" t="n"/>
      <c r="X403" s="85" t="n"/>
      <c r="Y403" s="85" t="n"/>
      <c r="Z403" s="85" t="n"/>
    </row>
    <row r="404" ht="15.75" customHeight="1" s="86">
      <c r="T404" s="85" t="n"/>
      <c r="U404" s="85" t="n"/>
      <c r="V404" s="85" t="n"/>
      <c r="W404" s="85" t="n"/>
      <c r="X404" s="85" t="n"/>
      <c r="Y404" s="85" t="n"/>
      <c r="Z404" s="85" t="n"/>
    </row>
    <row r="405" ht="15.75" customHeight="1" s="86">
      <c r="T405" s="85" t="n"/>
      <c r="U405" s="85" t="n"/>
      <c r="V405" s="85" t="n"/>
      <c r="W405" s="85" t="n"/>
      <c r="X405" s="85" t="n"/>
      <c r="Y405" s="85" t="n"/>
      <c r="Z405" s="85" t="n"/>
    </row>
    <row r="406" ht="15.75" customHeight="1" s="86">
      <c r="T406" s="85" t="n"/>
      <c r="U406" s="85" t="n"/>
      <c r="V406" s="85" t="n"/>
      <c r="W406" s="85" t="n"/>
      <c r="X406" s="85" t="n"/>
      <c r="Y406" s="85" t="n"/>
      <c r="Z406" s="85" t="n"/>
    </row>
    <row r="407" ht="15.75" customHeight="1" s="86">
      <c r="T407" s="85" t="n"/>
      <c r="U407" s="85" t="n"/>
      <c r="V407" s="85" t="n"/>
      <c r="W407" s="85" t="n"/>
      <c r="X407" s="85" t="n"/>
      <c r="Y407" s="85" t="n"/>
      <c r="Z407" s="85" t="n"/>
    </row>
    <row r="408" ht="15.75" customHeight="1" s="86">
      <c r="T408" s="85" t="n"/>
      <c r="U408" s="85" t="n"/>
      <c r="V408" s="85" t="n"/>
      <c r="W408" s="85" t="n"/>
      <c r="X408" s="85" t="n"/>
      <c r="Y408" s="85" t="n"/>
      <c r="Z408" s="85" t="n"/>
    </row>
    <row r="409" ht="15.75" customHeight="1" s="86">
      <c r="T409" s="85" t="n"/>
      <c r="U409" s="85" t="n"/>
      <c r="V409" s="85" t="n"/>
      <c r="W409" s="85" t="n"/>
      <c r="X409" s="85" t="n"/>
      <c r="Y409" s="85" t="n"/>
      <c r="Z409" s="85" t="n"/>
    </row>
    <row r="410" ht="15.75" customHeight="1" s="86">
      <c r="T410" s="85" t="n"/>
      <c r="U410" s="85" t="n"/>
      <c r="V410" s="85" t="n"/>
      <c r="W410" s="85" t="n"/>
      <c r="X410" s="85" t="n"/>
      <c r="Y410" s="85" t="n"/>
      <c r="Z410" s="85" t="n"/>
    </row>
    <row r="411" ht="15.75" customHeight="1" s="86">
      <c r="T411" s="85" t="n"/>
      <c r="U411" s="85" t="n"/>
      <c r="V411" s="85" t="n"/>
      <c r="W411" s="85" t="n"/>
      <c r="X411" s="85" t="n"/>
      <c r="Y411" s="85" t="n"/>
      <c r="Z411" s="85" t="n"/>
    </row>
    <row r="412" ht="15.75" customHeight="1" s="86">
      <c r="T412" s="85" t="n"/>
      <c r="U412" s="85" t="n"/>
      <c r="V412" s="85" t="n"/>
      <c r="W412" s="85" t="n"/>
      <c r="X412" s="85" t="n"/>
      <c r="Y412" s="85" t="n"/>
      <c r="Z412" s="85" t="n"/>
    </row>
    <row r="413" ht="15.75" customHeight="1" s="86">
      <c r="T413" s="85" t="n"/>
      <c r="U413" s="85" t="n"/>
      <c r="V413" s="85" t="n"/>
      <c r="W413" s="85" t="n"/>
      <c r="X413" s="85" t="n"/>
      <c r="Y413" s="85" t="n"/>
      <c r="Z413" s="85" t="n"/>
    </row>
    <row r="414" ht="15.75" customHeight="1" s="86">
      <c r="T414" s="85" t="n"/>
      <c r="U414" s="85" t="n"/>
      <c r="V414" s="85" t="n"/>
      <c r="W414" s="85" t="n"/>
      <c r="X414" s="85" t="n"/>
      <c r="Y414" s="85" t="n"/>
      <c r="Z414" s="85" t="n"/>
    </row>
    <row r="415" ht="15.75" customHeight="1" s="86">
      <c r="T415" s="85" t="n"/>
      <c r="U415" s="85" t="n"/>
      <c r="V415" s="85" t="n"/>
      <c r="W415" s="85" t="n"/>
      <c r="X415" s="85" t="n"/>
      <c r="Y415" s="85" t="n"/>
      <c r="Z415" s="85" t="n"/>
    </row>
    <row r="416" ht="15.75" customHeight="1" s="86">
      <c r="T416" s="85" t="n"/>
      <c r="U416" s="85" t="n"/>
      <c r="V416" s="85" t="n"/>
      <c r="W416" s="85" t="n"/>
      <c r="X416" s="85" t="n"/>
      <c r="Y416" s="85" t="n"/>
      <c r="Z416" s="85" t="n"/>
    </row>
    <row r="417" ht="15.75" customHeight="1" s="86">
      <c r="T417" s="85" t="n"/>
      <c r="U417" s="85" t="n"/>
      <c r="V417" s="85" t="n"/>
      <c r="W417" s="85" t="n"/>
      <c r="X417" s="85" t="n"/>
      <c r="Y417" s="85" t="n"/>
      <c r="Z417" s="85" t="n"/>
    </row>
    <row r="418" ht="15.75" customHeight="1" s="86">
      <c r="T418" s="85" t="n"/>
      <c r="U418" s="85" t="n"/>
      <c r="V418" s="85" t="n"/>
      <c r="W418" s="85" t="n"/>
      <c r="X418" s="85" t="n"/>
      <c r="Y418" s="85" t="n"/>
      <c r="Z418" s="85" t="n"/>
    </row>
    <row r="419" ht="15.75" customHeight="1" s="86">
      <c r="T419" s="85" t="n"/>
      <c r="U419" s="85" t="n"/>
      <c r="V419" s="85" t="n"/>
      <c r="W419" s="85" t="n"/>
      <c r="X419" s="85" t="n"/>
      <c r="Y419" s="85" t="n"/>
      <c r="Z419" s="85" t="n"/>
    </row>
    <row r="420" ht="15.75" customHeight="1" s="86">
      <c r="T420" s="85" t="n"/>
      <c r="U420" s="85" t="n"/>
      <c r="V420" s="85" t="n"/>
      <c r="W420" s="85" t="n"/>
      <c r="X420" s="85" t="n"/>
      <c r="Y420" s="85" t="n"/>
      <c r="Z420" s="85" t="n"/>
    </row>
    <row r="421" ht="15.75" customHeight="1" s="86">
      <c r="T421" s="85" t="n"/>
      <c r="U421" s="85" t="n"/>
      <c r="V421" s="85" t="n"/>
      <c r="W421" s="85" t="n"/>
      <c r="X421" s="85" t="n"/>
      <c r="Y421" s="85" t="n"/>
      <c r="Z421" s="85" t="n"/>
    </row>
    <row r="422" ht="15.75" customHeight="1" s="86">
      <c r="T422" s="85" t="n"/>
      <c r="U422" s="85" t="n"/>
      <c r="V422" s="85" t="n"/>
      <c r="W422" s="85" t="n"/>
      <c r="X422" s="85" t="n"/>
      <c r="Y422" s="85" t="n"/>
      <c r="Z422" s="85" t="n"/>
    </row>
    <row r="423" ht="15.75" customHeight="1" s="86">
      <c r="T423" s="85" t="n"/>
      <c r="U423" s="85" t="n"/>
      <c r="V423" s="85" t="n"/>
      <c r="W423" s="85" t="n"/>
      <c r="X423" s="85" t="n"/>
      <c r="Y423" s="85" t="n"/>
      <c r="Z423" s="85" t="n"/>
    </row>
    <row r="424" ht="15.75" customHeight="1" s="86">
      <c r="T424" s="85" t="n"/>
      <c r="U424" s="85" t="n"/>
      <c r="V424" s="85" t="n"/>
      <c r="W424" s="85" t="n"/>
      <c r="X424" s="85" t="n"/>
      <c r="Y424" s="85" t="n"/>
      <c r="Z424" s="85" t="n"/>
    </row>
    <row r="425" ht="15.75" customHeight="1" s="86">
      <c r="T425" s="85" t="n"/>
      <c r="U425" s="85" t="n"/>
      <c r="V425" s="85" t="n"/>
      <c r="W425" s="85" t="n"/>
      <c r="X425" s="85" t="n"/>
      <c r="Y425" s="85" t="n"/>
      <c r="Z425" s="85" t="n"/>
    </row>
    <row r="426" ht="15.75" customHeight="1" s="86">
      <c r="T426" s="85" t="n"/>
      <c r="U426" s="85" t="n"/>
      <c r="V426" s="85" t="n"/>
      <c r="W426" s="85" t="n"/>
      <c r="X426" s="85" t="n"/>
      <c r="Y426" s="85" t="n"/>
      <c r="Z426" s="85" t="n"/>
    </row>
    <row r="427" ht="15.75" customHeight="1" s="86">
      <c r="T427" s="85" t="n"/>
      <c r="U427" s="85" t="n"/>
      <c r="V427" s="85" t="n"/>
      <c r="W427" s="85" t="n"/>
      <c r="X427" s="85" t="n"/>
      <c r="Y427" s="85" t="n"/>
      <c r="Z427" s="85" t="n"/>
    </row>
    <row r="428" ht="15.75" customHeight="1" s="86">
      <c r="T428" s="85" t="n"/>
      <c r="U428" s="85" t="n"/>
      <c r="V428" s="85" t="n"/>
      <c r="W428" s="85" t="n"/>
      <c r="X428" s="85" t="n"/>
      <c r="Y428" s="85" t="n"/>
      <c r="Z428" s="85" t="n"/>
    </row>
    <row r="429" ht="15.75" customHeight="1" s="86">
      <c r="T429" s="85" t="n"/>
      <c r="U429" s="85" t="n"/>
      <c r="V429" s="85" t="n"/>
      <c r="W429" s="85" t="n"/>
      <c r="X429" s="85" t="n"/>
      <c r="Y429" s="85" t="n"/>
      <c r="Z429" s="85" t="n"/>
    </row>
    <row r="430" ht="15.75" customHeight="1" s="86">
      <c r="T430" s="85" t="n"/>
      <c r="U430" s="85" t="n"/>
      <c r="V430" s="85" t="n"/>
      <c r="W430" s="85" t="n"/>
      <c r="X430" s="85" t="n"/>
      <c r="Y430" s="85" t="n"/>
      <c r="Z430" s="85" t="n"/>
    </row>
    <row r="431" ht="15.75" customHeight="1" s="86">
      <c r="T431" s="85" t="n"/>
      <c r="U431" s="85" t="n"/>
      <c r="V431" s="85" t="n"/>
      <c r="W431" s="85" t="n"/>
      <c r="X431" s="85" t="n"/>
      <c r="Y431" s="85" t="n"/>
      <c r="Z431" s="85" t="n"/>
    </row>
    <row r="432" ht="15.75" customHeight="1" s="86">
      <c r="T432" s="85" t="n"/>
      <c r="U432" s="85" t="n"/>
      <c r="V432" s="85" t="n"/>
      <c r="W432" s="85" t="n"/>
      <c r="X432" s="85" t="n"/>
      <c r="Y432" s="85" t="n"/>
      <c r="Z432" s="85" t="n"/>
    </row>
    <row r="433" ht="15.75" customHeight="1" s="86">
      <c r="T433" s="85" t="n"/>
      <c r="U433" s="85" t="n"/>
      <c r="V433" s="85" t="n"/>
      <c r="W433" s="85" t="n"/>
      <c r="X433" s="85" t="n"/>
      <c r="Y433" s="85" t="n"/>
      <c r="Z433" s="85" t="n"/>
    </row>
    <row r="434" ht="15.75" customHeight="1" s="86">
      <c r="T434" s="85" t="n"/>
      <c r="U434" s="85" t="n"/>
      <c r="V434" s="85" t="n"/>
      <c r="W434" s="85" t="n"/>
      <c r="X434" s="85" t="n"/>
      <c r="Y434" s="85" t="n"/>
      <c r="Z434" s="85" t="n"/>
    </row>
    <row r="435" ht="15.75" customHeight="1" s="86">
      <c r="T435" s="85" t="n"/>
      <c r="U435" s="85" t="n"/>
      <c r="V435" s="85" t="n"/>
      <c r="W435" s="85" t="n"/>
      <c r="X435" s="85" t="n"/>
      <c r="Y435" s="85" t="n"/>
      <c r="Z435" s="85" t="n"/>
    </row>
    <row r="436" ht="15.75" customHeight="1" s="86">
      <c r="T436" s="85" t="n"/>
      <c r="U436" s="85" t="n"/>
      <c r="V436" s="85" t="n"/>
      <c r="W436" s="85" t="n"/>
      <c r="X436" s="85" t="n"/>
      <c r="Y436" s="85" t="n"/>
      <c r="Z436" s="85" t="n"/>
    </row>
    <row r="437" ht="15.75" customHeight="1" s="86">
      <c r="T437" s="85" t="n"/>
      <c r="U437" s="85" t="n"/>
      <c r="V437" s="85" t="n"/>
      <c r="W437" s="85" t="n"/>
      <c r="X437" s="85" t="n"/>
      <c r="Y437" s="85" t="n"/>
      <c r="Z437" s="85" t="n"/>
    </row>
    <row r="438" ht="15.75" customHeight="1" s="86">
      <c r="T438" s="85" t="n"/>
      <c r="U438" s="85" t="n"/>
      <c r="V438" s="85" t="n"/>
      <c r="W438" s="85" t="n"/>
      <c r="X438" s="85" t="n"/>
      <c r="Y438" s="85" t="n"/>
      <c r="Z438" s="85" t="n"/>
    </row>
    <row r="439" ht="15.75" customHeight="1" s="86">
      <c r="T439" s="85" t="n"/>
      <c r="U439" s="85" t="n"/>
      <c r="V439" s="85" t="n"/>
      <c r="W439" s="85" t="n"/>
      <c r="X439" s="85" t="n"/>
      <c r="Y439" s="85" t="n"/>
      <c r="Z439" s="85" t="n"/>
    </row>
    <row r="440" ht="15.75" customHeight="1" s="86">
      <c r="T440" s="85" t="n"/>
      <c r="U440" s="85" t="n"/>
      <c r="V440" s="85" t="n"/>
      <c r="W440" s="85" t="n"/>
      <c r="X440" s="85" t="n"/>
      <c r="Y440" s="85" t="n"/>
      <c r="Z440" s="85" t="n"/>
    </row>
    <row r="441" ht="15.75" customHeight="1" s="86">
      <c r="T441" s="85" t="n"/>
      <c r="U441" s="85" t="n"/>
      <c r="V441" s="85" t="n"/>
      <c r="W441" s="85" t="n"/>
      <c r="X441" s="85" t="n"/>
      <c r="Y441" s="85" t="n"/>
      <c r="Z441" s="85" t="n"/>
    </row>
    <row r="442" ht="15.75" customHeight="1" s="86">
      <c r="T442" s="85" t="n"/>
      <c r="U442" s="85" t="n"/>
      <c r="V442" s="85" t="n"/>
      <c r="W442" s="85" t="n"/>
      <c r="X442" s="85" t="n"/>
      <c r="Y442" s="85" t="n"/>
      <c r="Z442" s="85" t="n"/>
    </row>
    <row r="443" ht="15.75" customHeight="1" s="86">
      <c r="T443" s="85" t="n"/>
      <c r="U443" s="85" t="n"/>
      <c r="V443" s="85" t="n"/>
      <c r="W443" s="85" t="n"/>
      <c r="X443" s="85" t="n"/>
      <c r="Y443" s="85" t="n"/>
      <c r="Z443" s="85" t="n"/>
    </row>
    <row r="444" ht="15.75" customHeight="1" s="86">
      <c r="T444" s="85" t="n"/>
      <c r="U444" s="85" t="n"/>
      <c r="V444" s="85" t="n"/>
      <c r="W444" s="85" t="n"/>
      <c r="X444" s="85" t="n"/>
      <c r="Y444" s="85" t="n"/>
      <c r="Z444" s="85" t="n"/>
    </row>
    <row r="445" ht="15.75" customHeight="1" s="86">
      <c r="T445" s="85" t="n"/>
      <c r="U445" s="85" t="n"/>
      <c r="V445" s="85" t="n"/>
      <c r="W445" s="85" t="n"/>
      <c r="X445" s="85" t="n"/>
      <c r="Y445" s="85" t="n"/>
      <c r="Z445" s="85" t="n"/>
    </row>
    <row r="446" ht="15.75" customHeight="1" s="86">
      <c r="T446" s="85" t="n"/>
      <c r="U446" s="85" t="n"/>
      <c r="V446" s="85" t="n"/>
      <c r="W446" s="85" t="n"/>
      <c r="X446" s="85" t="n"/>
      <c r="Y446" s="85" t="n"/>
      <c r="Z446" s="85" t="n"/>
    </row>
    <row r="447" ht="15.75" customHeight="1" s="86">
      <c r="T447" s="85" t="n"/>
      <c r="U447" s="85" t="n"/>
      <c r="V447" s="85" t="n"/>
      <c r="W447" s="85" t="n"/>
      <c r="X447" s="85" t="n"/>
      <c r="Y447" s="85" t="n"/>
      <c r="Z447" s="85" t="n"/>
    </row>
    <row r="448" ht="15.75" customHeight="1" s="86">
      <c r="T448" s="85" t="n"/>
      <c r="U448" s="85" t="n"/>
      <c r="V448" s="85" t="n"/>
      <c r="W448" s="85" t="n"/>
      <c r="X448" s="85" t="n"/>
      <c r="Y448" s="85" t="n"/>
      <c r="Z448" s="85" t="n"/>
    </row>
    <row r="449" ht="15.75" customHeight="1" s="86">
      <c r="T449" s="85" t="n"/>
      <c r="U449" s="85" t="n"/>
      <c r="V449" s="85" t="n"/>
      <c r="W449" s="85" t="n"/>
      <c r="X449" s="85" t="n"/>
      <c r="Y449" s="85" t="n"/>
      <c r="Z449" s="85" t="n"/>
    </row>
    <row r="450" ht="15.75" customHeight="1" s="86">
      <c r="T450" s="85" t="n"/>
      <c r="U450" s="85" t="n"/>
      <c r="V450" s="85" t="n"/>
      <c r="W450" s="85" t="n"/>
      <c r="X450" s="85" t="n"/>
      <c r="Y450" s="85" t="n"/>
      <c r="Z450" s="85" t="n"/>
    </row>
    <row r="451" ht="15.75" customHeight="1" s="86">
      <c r="T451" s="85" t="n"/>
      <c r="U451" s="85" t="n"/>
      <c r="V451" s="85" t="n"/>
      <c r="W451" s="85" t="n"/>
      <c r="X451" s="85" t="n"/>
      <c r="Y451" s="85" t="n"/>
      <c r="Z451" s="85" t="n"/>
    </row>
    <row r="452" ht="15.75" customHeight="1" s="86">
      <c r="T452" s="85" t="n"/>
      <c r="U452" s="85" t="n"/>
      <c r="V452" s="85" t="n"/>
      <c r="W452" s="85" t="n"/>
      <c r="X452" s="85" t="n"/>
      <c r="Y452" s="85" t="n"/>
      <c r="Z452" s="85" t="n"/>
    </row>
    <row r="453" ht="15.75" customHeight="1" s="86">
      <c r="T453" s="85" t="n"/>
      <c r="U453" s="85" t="n"/>
      <c r="V453" s="85" t="n"/>
      <c r="W453" s="85" t="n"/>
      <c r="X453" s="85" t="n"/>
      <c r="Y453" s="85" t="n"/>
      <c r="Z453" s="85" t="n"/>
    </row>
    <row r="454" ht="15.75" customHeight="1" s="86">
      <c r="T454" s="85" t="n"/>
      <c r="U454" s="85" t="n"/>
      <c r="V454" s="85" t="n"/>
      <c r="W454" s="85" t="n"/>
      <c r="X454" s="85" t="n"/>
      <c r="Y454" s="85" t="n"/>
      <c r="Z454" s="85" t="n"/>
    </row>
    <row r="455" ht="15.75" customHeight="1" s="86">
      <c r="T455" s="85" t="n"/>
      <c r="U455" s="85" t="n"/>
      <c r="V455" s="85" t="n"/>
      <c r="W455" s="85" t="n"/>
      <c r="X455" s="85" t="n"/>
      <c r="Y455" s="85" t="n"/>
      <c r="Z455" s="85" t="n"/>
    </row>
    <row r="456" ht="15.75" customHeight="1" s="86">
      <c r="T456" s="85" t="n"/>
      <c r="U456" s="85" t="n"/>
      <c r="V456" s="85" t="n"/>
      <c r="W456" s="85" t="n"/>
      <c r="X456" s="85" t="n"/>
      <c r="Y456" s="85" t="n"/>
      <c r="Z456" s="85" t="n"/>
    </row>
    <row r="457" ht="15.75" customHeight="1" s="86">
      <c r="T457" s="85" t="n"/>
      <c r="U457" s="85" t="n"/>
      <c r="V457" s="85" t="n"/>
      <c r="W457" s="85" t="n"/>
      <c r="X457" s="85" t="n"/>
      <c r="Y457" s="85" t="n"/>
      <c r="Z457" s="85" t="n"/>
    </row>
    <row r="458" ht="15.75" customHeight="1" s="86">
      <c r="T458" s="85" t="n"/>
      <c r="U458" s="85" t="n"/>
      <c r="V458" s="85" t="n"/>
      <c r="W458" s="85" t="n"/>
      <c r="X458" s="85" t="n"/>
      <c r="Y458" s="85" t="n"/>
      <c r="Z458" s="85" t="n"/>
    </row>
    <row r="459" ht="15.75" customHeight="1" s="86">
      <c r="T459" s="85" t="n"/>
      <c r="U459" s="85" t="n"/>
      <c r="V459" s="85" t="n"/>
      <c r="W459" s="85" t="n"/>
      <c r="X459" s="85" t="n"/>
      <c r="Y459" s="85" t="n"/>
      <c r="Z459" s="85" t="n"/>
    </row>
    <row r="460" ht="15.75" customHeight="1" s="86">
      <c r="T460" s="85" t="n"/>
      <c r="U460" s="85" t="n"/>
      <c r="V460" s="85" t="n"/>
      <c r="W460" s="85" t="n"/>
      <c r="X460" s="85" t="n"/>
      <c r="Y460" s="85" t="n"/>
      <c r="Z460" s="85" t="n"/>
    </row>
    <row r="461" ht="15.75" customHeight="1" s="86">
      <c r="T461" s="85" t="n"/>
      <c r="U461" s="85" t="n"/>
      <c r="V461" s="85" t="n"/>
      <c r="W461" s="85" t="n"/>
      <c r="X461" s="85" t="n"/>
      <c r="Y461" s="85" t="n"/>
      <c r="Z461" s="85" t="n"/>
    </row>
    <row r="462" ht="15.75" customHeight="1" s="86">
      <c r="T462" s="85" t="n"/>
      <c r="U462" s="85" t="n"/>
      <c r="V462" s="85" t="n"/>
      <c r="W462" s="85" t="n"/>
      <c r="X462" s="85" t="n"/>
      <c r="Y462" s="85" t="n"/>
      <c r="Z462" s="85" t="n"/>
    </row>
    <row r="463" ht="15.75" customHeight="1" s="86">
      <c r="T463" s="85" t="n"/>
      <c r="U463" s="85" t="n"/>
      <c r="V463" s="85" t="n"/>
      <c r="W463" s="85" t="n"/>
      <c r="X463" s="85" t="n"/>
      <c r="Y463" s="85" t="n"/>
      <c r="Z463" s="85" t="n"/>
    </row>
    <row r="464" ht="15.75" customHeight="1" s="86">
      <c r="T464" s="85" t="n"/>
      <c r="U464" s="85" t="n"/>
      <c r="V464" s="85" t="n"/>
      <c r="W464" s="85" t="n"/>
      <c r="X464" s="85" t="n"/>
      <c r="Y464" s="85" t="n"/>
      <c r="Z464" s="85" t="n"/>
    </row>
    <row r="465" ht="15.75" customHeight="1" s="86">
      <c r="T465" s="85" t="n"/>
      <c r="U465" s="85" t="n"/>
      <c r="V465" s="85" t="n"/>
      <c r="W465" s="85" t="n"/>
      <c r="X465" s="85" t="n"/>
      <c r="Y465" s="85" t="n"/>
      <c r="Z465" s="85" t="n"/>
    </row>
    <row r="466" ht="15.75" customHeight="1" s="86">
      <c r="T466" s="85" t="n"/>
      <c r="U466" s="85" t="n"/>
      <c r="V466" s="85" t="n"/>
      <c r="W466" s="85" t="n"/>
      <c r="X466" s="85" t="n"/>
      <c r="Y466" s="85" t="n"/>
      <c r="Z466" s="85" t="n"/>
    </row>
    <row r="467" ht="15.75" customHeight="1" s="86">
      <c r="T467" s="85" t="n"/>
      <c r="U467" s="85" t="n"/>
      <c r="V467" s="85" t="n"/>
      <c r="W467" s="85" t="n"/>
      <c r="X467" s="85" t="n"/>
      <c r="Y467" s="85" t="n"/>
      <c r="Z467" s="85" t="n"/>
    </row>
    <row r="468" ht="15.75" customHeight="1" s="86">
      <c r="T468" s="85" t="n"/>
      <c r="U468" s="85" t="n"/>
      <c r="V468" s="85" t="n"/>
      <c r="W468" s="85" t="n"/>
      <c r="X468" s="85" t="n"/>
      <c r="Y468" s="85" t="n"/>
      <c r="Z468" s="85" t="n"/>
    </row>
    <row r="469" ht="15.75" customHeight="1" s="86">
      <c r="T469" s="85" t="n"/>
      <c r="U469" s="85" t="n"/>
      <c r="V469" s="85" t="n"/>
      <c r="W469" s="85" t="n"/>
      <c r="X469" s="85" t="n"/>
      <c r="Y469" s="85" t="n"/>
      <c r="Z469" s="85" t="n"/>
    </row>
    <row r="470" ht="15.75" customHeight="1" s="86">
      <c r="T470" s="85" t="n"/>
      <c r="U470" s="85" t="n"/>
      <c r="V470" s="85" t="n"/>
      <c r="W470" s="85" t="n"/>
      <c r="X470" s="85" t="n"/>
      <c r="Y470" s="85" t="n"/>
      <c r="Z470" s="85" t="n"/>
    </row>
    <row r="471" ht="15.75" customHeight="1" s="86">
      <c r="T471" s="85" t="n"/>
      <c r="U471" s="85" t="n"/>
      <c r="V471" s="85" t="n"/>
      <c r="W471" s="85" t="n"/>
      <c r="X471" s="85" t="n"/>
      <c r="Y471" s="85" t="n"/>
      <c r="Z471" s="85" t="n"/>
    </row>
    <row r="472" ht="15.75" customHeight="1" s="86">
      <c r="T472" s="85" t="n"/>
      <c r="U472" s="85" t="n"/>
      <c r="V472" s="85" t="n"/>
      <c r="W472" s="85" t="n"/>
      <c r="X472" s="85" t="n"/>
      <c r="Y472" s="85" t="n"/>
      <c r="Z472" s="85" t="n"/>
    </row>
    <row r="473" ht="15.75" customHeight="1" s="86">
      <c r="T473" s="85" t="n"/>
      <c r="U473" s="85" t="n"/>
      <c r="V473" s="85" t="n"/>
      <c r="W473" s="85" t="n"/>
      <c r="X473" s="85" t="n"/>
      <c r="Y473" s="85" t="n"/>
      <c r="Z473" s="85" t="n"/>
    </row>
    <row r="474" ht="15.75" customHeight="1" s="86">
      <c r="T474" s="85" t="n"/>
      <c r="U474" s="85" t="n"/>
      <c r="V474" s="85" t="n"/>
      <c r="W474" s="85" t="n"/>
      <c r="X474" s="85" t="n"/>
      <c r="Y474" s="85" t="n"/>
      <c r="Z474" s="85" t="n"/>
    </row>
    <row r="475" ht="15.75" customHeight="1" s="86">
      <c r="T475" s="85" t="n"/>
      <c r="U475" s="85" t="n"/>
      <c r="V475" s="85" t="n"/>
      <c r="W475" s="85" t="n"/>
      <c r="X475" s="85" t="n"/>
      <c r="Y475" s="85" t="n"/>
      <c r="Z475" s="85" t="n"/>
    </row>
    <row r="476" ht="15.75" customHeight="1" s="86">
      <c r="T476" s="85" t="n"/>
      <c r="U476" s="85" t="n"/>
      <c r="V476" s="85" t="n"/>
      <c r="W476" s="85" t="n"/>
      <c r="X476" s="85" t="n"/>
      <c r="Y476" s="85" t="n"/>
      <c r="Z476" s="85" t="n"/>
    </row>
    <row r="477" ht="15.75" customHeight="1" s="86">
      <c r="T477" s="85" t="n"/>
      <c r="U477" s="85" t="n"/>
      <c r="V477" s="85" t="n"/>
      <c r="W477" s="85" t="n"/>
      <c r="X477" s="85" t="n"/>
      <c r="Y477" s="85" t="n"/>
      <c r="Z477" s="85" t="n"/>
    </row>
    <row r="478" ht="15.75" customHeight="1" s="86">
      <c r="T478" s="85" t="n"/>
      <c r="U478" s="85" t="n"/>
      <c r="V478" s="85" t="n"/>
      <c r="W478" s="85" t="n"/>
      <c r="X478" s="85" t="n"/>
      <c r="Y478" s="85" t="n"/>
      <c r="Z478" s="85" t="n"/>
    </row>
    <row r="479" ht="15.75" customHeight="1" s="86">
      <c r="T479" s="85" t="n"/>
      <c r="U479" s="85" t="n"/>
      <c r="V479" s="85" t="n"/>
      <c r="W479" s="85" t="n"/>
      <c r="X479" s="85" t="n"/>
      <c r="Y479" s="85" t="n"/>
      <c r="Z479" s="85" t="n"/>
    </row>
    <row r="480" ht="15.75" customHeight="1" s="86">
      <c r="T480" s="85" t="n"/>
      <c r="U480" s="85" t="n"/>
      <c r="V480" s="85" t="n"/>
      <c r="W480" s="85" t="n"/>
      <c r="X480" s="85" t="n"/>
      <c r="Y480" s="85" t="n"/>
      <c r="Z480" s="85" t="n"/>
    </row>
    <row r="481" ht="15.75" customHeight="1" s="86">
      <c r="T481" s="85" t="n"/>
      <c r="U481" s="85" t="n"/>
      <c r="V481" s="85" t="n"/>
      <c r="W481" s="85" t="n"/>
      <c r="X481" s="85" t="n"/>
      <c r="Y481" s="85" t="n"/>
      <c r="Z481" s="85" t="n"/>
    </row>
    <row r="482" ht="15.75" customHeight="1" s="86">
      <c r="T482" s="85" t="n"/>
      <c r="U482" s="85" t="n"/>
      <c r="V482" s="85" t="n"/>
      <c r="W482" s="85" t="n"/>
      <c r="X482" s="85" t="n"/>
      <c r="Y482" s="85" t="n"/>
      <c r="Z482" s="85" t="n"/>
    </row>
    <row r="483" ht="15.75" customHeight="1" s="86">
      <c r="T483" s="85" t="n"/>
      <c r="U483" s="85" t="n"/>
      <c r="V483" s="85" t="n"/>
      <c r="W483" s="85" t="n"/>
      <c r="X483" s="85" t="n"/>
      <c r="Y483" s="85" t="n"/>
      <c r="Z483" s="85" t="n"/>
    </row>
    <row r="484" ht="15.75" customHeight="1" s="86">
      <c r="T484" s="85" t="n"/>
      <c r="U484" s="85" t="n"/>
      <c r="V484" s="85" t="n"/>
      <c r="W484" s="85" t="n"/>
      <c r="X484" s="85" t="n"/>
      <c r="Y484" s="85" t="n"/>
      <c r="Z484" s="85" t="n"/>
    </row>
    <row r="485" ht="15.75" customHeight="1" s="86">
      <c r="T485" s="85" t="n"/>
      <c r="U485" s="85" t="n"/>
      <c r="V485" s="85" t="n"/>
      <c r="W485" s="85" t="n"/>
      <c r="X485" s="85" t="n"/>
      <c r="Y485" s="85" t="n"/>
      <c r="Z485" s="85" t="n"/>
    </row>
    <row r="486" ht="15.75" customHeight="1" s="86">
      <c r="T486" s="85" t="n"/>
      <c r="U486" s="85" t="n"/>
      <c r="V486" s="85" t="n"/>
      <c r="W486" s="85" t="n"/>
      <c r="X486" s="85" t="n"/>
      <c r="Y486" s="85" t="n"/>
      <c r="Z486" s="85" t="n"/>
    </row>
    <row r="487" ht="15.75" customHeight="1" s="86">
      <c r="T487" s="85" t="n"/>
      <c r="U487" s="85" t="n"/>
      <c r="V487" s="85" t="n"/>
      <c r="W487" s="85" t="n"/>
      <c r="X487" s="85" t="n"/>
      <c r="Y487" s="85" t="n"/>
      <c r="Z487" s="85" t="n"/>
    </row>
    <row r="488" ht="15.75" customHeight="1" s="86">
      <c r="T488" s="85" t="n"/>
      <c r="U488" s="85" t="n"/>
      <c r="V488" s="85" t="n"/>
      <c r="W488" s="85" t="n"/>
      <c r="X488" s="85" t="n"/>
      <c r="Y488" s="85" t="n"/>
      <c r="Z488" s="85" t="n"/>
    </row>
    <row r="489" ht="15.75" customHeight="1" s="86">
      <c r="T489" s="85" t="n"/>
      <c r="U489" s="85" t="n"/>
      <c r="V489" s="85" t="n"/>
      <c r="W489" s="85" t="n"/>
      <c r="X489" s="85" t="n"/>
      <c r="Y489" s="85" t="n"/>
      <c r="Z489" s="85" t="n"/>
    </row>
    <row r="490" ht="15.75" customHeight="1" s="86">
      <c r="T490" s="85" t="n"/>
      <c r="U490" s="85" t="n"/>
      <c r="V490" s="85" t="n"/>
      <c r="W490" s="85" t="n"/>
      <c r="X490" s="85" t="n"/>
      <c r="Y490" s="85" t="n"/>
      <c r="Z490" s="85" t="n"/>
    </row>
    <row r="491" ht="15.75" customHeight="1" s="86">
      <c r="T491" s="85" t="n"/>
      <c r="U491" s="85" t="n"/>
      <c r="V491" s="85" t="n"/>
      <c r="W491" s="85" t="n"/>
      <c r="X491" s="85" t="n"/>
      <c r="Y491" s="85" t="n"/>
      <c r="Z491" s="85" t="n"/>
    </row>
    <row r="492" ht="15.75" customHeight="1" s="86">
      <c r="T492" s="85" t="n"/>
      <c r="U492" s="85" t="n"/>
      <c r="V492" s="85" t="n"/>
      <c r="W492" s="85" t="n"/>
      <c r="X492" s="85" t="n"/>
      <c r="Y492" s="85" t="n"/>
      <c r="Z492" s="85" t="n"/>
    </row>
    <row r="493" ht="15.75" customHeight="1" s="86">
      <c r="T493" s="85" t="n"/>
      <c r="U493" s="85" t="n"/>
      <c r="V493" s="85" t="n"/>
      <c r="W493" s="85" t="n"/>
      <c r="X493" s="85" t="n"/>
      <c r="Y493" s="85" t="n"/>
      <c r="Z493" s="85" t="n"/>
    </row>
    <row r="494" ht="15.75" customHeight="1" s="86">
      <c r="T494" s="85" t="n"/>
      <c r="U494" s="85" t="n"/>
      <c r="V494" s="85" t="n"/>
      <c r="W494" s="85" t="n"/>
      <c r="X494" s="85" t="n"/>
      <c r="Y494" s="85" t="n"/>
      <c r="Z494" s="85" t="n"/>
    </row>
    <row r="495" ht="15.75" customHeight="1" s="86">
      <c r="T495" s="85" t="n"/>
      <c r="U495" s="85" t="n"/>
      <c r="V495" s="85" t="n"/>
      <c r="W495" s="85" t="n"/>
      <c r="X495" s="85" t="n"/>
      <c r="Y495" s="85" t="n"/>
      <c r="Z495" s="85" t="n"/>
    </row>
    <row r="496" ht="15.75" customHeight="1" s="86">
      <c r="T496" s="85" t="n"/>
      <c r="U496" s="85" t="n"/>
      <c r="V496" s="85" t="n"/>
      <c r="W496" s="85" t="n"/>
      <c r="X496" s="85" t="n"/>
      <c r="Y496" s="85" t="n"/>
      <c r="Z496" s="85" t="n"/>
    </row>
    <row r="497" ht="15.75" customHeight="1" s="86">
      <c r="T497" s="85" t="n"/>
      <c r="U497" s="85" t="n"/>
      <c r="V497" s="85" t="n"/>
      <c r="W497" s="85" t="n"/>
      <c r="X497" s="85" t="n"/>
      <c r="Y497" s="85" t="n"/>
      <c r="Z497" s="85" t="n"/>
    </row>
    <row r="498" ht="15.75" customHeight="1" s="86">
      <c r="T498" s="85" t="n"/>
      <c r="U498" s="85" t="n"/>
      <c r="V498" s="85" t="n"/>
      <c r="W498" s="85" t="n"/>
      <c r="X498" s="85" t="n"/>
      <c r="Y498" s="85" t="n"/>
      <c r="Z498" s="85" t="n"/>
    </row>
    <row r="499" ht="15.75" customHeight="1" s="86">
      <c r="T499" s="85" t="n"/>
      <c r="U499" s="85" t="n"/>
      <c r="V499" s="85" t="n"/>
      <c r="W499" s="85" t="n"/>
      <c r="X499" s="85" t="n"/>
      <c r="Y499" s="85" t="n"/>
      <c r="Z499" s="85" t="n"/>
    </row>
    <row r="500" ht="15.75" customHeight="1" s="86">
      <c r="T500" s="85" t="n"/>
      <c r="U500" s="85" t="n"/>
      <c r="V500" s="85" t="n"/>
      <c r="W500" s="85" t="n"/>
      <c r="X500" s="85" t="n"/>
      <c r="Y500" s="85" t="n"/>
      <c r="Z500" s="85" t="n"/>
    </row>
    <row r="501" ht="15.75" customHeight="1" s="86">
      <c r="T501" s="85" t="n"/>
      <c r="U501" s="85" t="n"/>
      <c r="V501" s="85" t="n"/>
      <c r="W501" s="85" t="n"/>
      <c r="X501" s="85" t="n"/>
      <c r="Y501" s="85" t="n"/>
      <c r="Z501" s="85" t="n"/>
    </row>
    <row r="502" ht="15.75" customHeight="1" s="86">
      <c r="T502" s="85" t="n"/>
      <c r="U502" s="85" t="n"/>
      <c r="V502" s="85" t="n"/>
      <c r="W502" s="85" t="n"/>
      <c r="X502" s="85" t="n"/>
      <c r="Y502" s="85" t="n"/>
      <c r="Z502" s="85" t="n"/>
    </row>
    <row r="503" ht="15.75" customHeight="1" s="86">
      <c r="T503" s="85" t="n"/>
      <c r="U503" s="85" t="n"/>
      <c r="V503" s="85" t="n"/>
      <c r="W503" s="85" t="n"/>
      <c r="X503" s="85" t="n"/>
      <c r="Y503" s="85" t="n"/>
      <c r="Z503" s="85" t="n"/>
    </row>
    <row r="504" ht="15.75" customHeight="1" s="86">
      <c r="T504" s="85" t="n"/>
      <c r="U504" s="85" t="n"/>
      <c r="V504" s="85" t="n"/>
      <c r="W504" s="85" t="n"/>
      <c r="X504" s="85" t="n"/>
      <c r="Y504" s="85" t="n"/>
      <c r="Z504" s="85" t="n"/>
    </row>
    <row r="505" ht="15.75" customHeight="1" s="86">
      <c r="T505" s="85" t="n"/>
      <c r="U505" s="85" t="n"/>
      <c r="V505" s="85" t="n"/>
      <c r="W505" s="85" t="n"/>
      <c r="X505" s="85" t="n"/>
      <c r="Y505" s="85" t="n"/>
      <c r="Z505" s="85" t="n"/>
    </row>
    <row r="506" ht="15.75" customHeight="1" s="86">
      <c r="T506" s="85" t="n"/>
      <c r="U506" s="85" t="n"/>
      <c r="V506" s="85" t="n"/>
      <c r="W506" s="85" t="n"/>
      <c r="X506" s="85" t="n"/>
      <c r="Y506" s="85" t="n"/>
      <c r="Z506" s="85" t="n"/>
    </row>
    <row r="507" ht="15.75" customHeight="1" s="86">
      <c r="T507" s="85" t="n"/>
      <c r="U507" s="85" t="n"/>
      <c r="V507" s="85" t="n"/>
      <c r="W507" s="85" t="n"/>
      <c r="X507" s="85" t="n"/>
      <c r="Y507" s="85" t="n"/>
      <c r="Z507" s="85" t="n"/>
    </row>
    <row r="508" ht="15.75" customHeight="1" s="86">
      <c r="T508" s="85" t="n"/>
      <c r="U508" s="85" t="n"/>
      <c r="V508" s="85" t="n"/>
      <c r="W508" s="85" t="n"/>
      <c r="X508" s="85" t="n"/>
      <c r="Y508" s="85" t="n"/>
      <c r="Z508" s="85" t="n"/>
    </row>
    <row r="509" ht="15.75" customHeight="1" s="86">
      <c r="T509" s="85" t="n"/>
      <c r="U509" s="85" t="n"/>
      <c r="V509" s="85" t="n"/>
      <c r="W509" s="85" t="n"/>
      <c r="X509" s="85" t="n"/>
      <c r="Y509" s="85" t="n"/>
      <c r="Z509" s="85" t="n"/>
    </row>
    <row r="510" ht="15.75" customHeight="1" s="86">
      <c r="T510" s="85" t="n"/>
      <c r="U510" s="85" t="n"/>
      <c r="V510" s="85" t="n"/>
      <c r="W510" s="85" t="n"/>
      <c r="X510" s="85" t="n"/>
      <c r="Y510" s="85" t="n"/>
      <c r="Z510" s="85" t="n"/>
    </row>
    <row r="511" ht="15.75" customHeight="1" s="86">
      <c r="T511" s="85" t="n"/>
      <c r="U511" s="85" t="n"/>
      <c r="V511" s="85" t="n"/>
      <c r="W511" s="85" t="n"/>
      <c r="X511" s="85" t="n"/>
      <c r="Y511" s="85" t="n"/>
      <c r="Z511" s="85" t="n"/>
    </row>
    <row r="512" ht="15.75" customHeight="1" s="86">
      <c r="T512" s="85" t="n"/>
      <c r="U512" s="85" t="n"/>
      <c r="V512" s="85" t="n"/>
      <c r="W512" s="85" t="n"/>
      <c r="X512" s="85" t="n"/>
      <c r="Y512" s="85" t="n"/>
      <c r="Z512" s="85" t="n"/>
    </row>
    <row r="513" ht="15.75" customHeight="1" s="86">
      <c r="T513" s="85" t="n"/>
      <c r="U513" s="85" t="n"/>
      <c r="V513" s="85" t="n"/>
      <c r="W513" s="85" t="n"/>
      <c r="X513" s="85" t="n"/>
      <c r="Y513" s="85" t="n"/>
      <c r="Z513" s="85" t="n"/>
    </row>
    <row r="514" ht="15.75" customHeight="1" s="86">
      <c r="T514" s="85" t="n"/>
      <c r="U514" s="85" t="n"/>
      <c r="V514" s="85" t="n"/>
      <c r="W514" s="85" t="n"/>
      <c r="X514" s="85" t="n"/>
      <c r="Y514" s="85" t="n"/>
      <c r="Z514" s="85" t="n"/>
    </row>
    <row r="515" ht="15.75" customHeight="1" s="86">
      <c r="T515" s="85" t="n"/>
      <c r="U515" s="85" t="n"/>
      <c r="V515" s="85" t="n"/>
      <c r="W515" s="85" t="n"/>
      <c r="X515" s="85" t="n"/>
      <c r="Y515" s="85" t="n"/>
      <c r="Z515" s="85" t="n"/>
    </row>
    <row r="516" ht="15.75" customHeight="1" s="86">
      <c r="T516" s="85" t="n"/>
      <c r="U516" s="85" t="n"/>
      <c r="V516" s="85" t="n"/>
      <c r="W516" s="85" t="n"/>
      <c r="X516" s="85" t="n"/>
      <c r="Y516" s="85" t="n"/>
      <c r="Z516" s="85" t="n"/>
    </row>
    <row r="517" ht="15.75" customHeight="1" s="86">
      <c r="T517" s="85" t="n"/>
      <c r="U517" s="85" t="n"/>
      <c r="V517" s="85" t="n"/>
      <c r="W517" s="85" t="n"/>
      <c r="X517" s="85" t="n"/>
      <c r="Y517" s="85" t="n"/>
      <c r="Z517" s="85" t="n"/>
    </row>
    <row r="518" ht="15.75" customHeight="1" s="86">
      <c r="T518" s="85" t="n"/>
      <c r="U518" s="85" t="n"/>
      <c r="V518" s="85" t="n"/>
      <c r="W518" s="85" t="n"/>
      <c r="X518" s="85" t="n"/>
      <c r="Y518" s="85" t="n"/>
      <c r="Z518" s="85" t="n"/>
    </row>
    <row r="519" ht="15.75" customHeight="1" s="86">
      <c r="T519" s="85" t="n"/>
      <c r="U519" s="85" t="n"/>
      <c r="V519" s="85" t="n"/>
      <c r="W519" s="85" t="n"/>
      <c r="X519" s="85" t="n"/>
      <c r="Y519" s="85" t="n"/>
      <c r="Z519" s="85" t="n"/>
    </row>
    <row r="520" ht="15.75" customHeight="1" s="86">
      <c r="T520" s="85" t="n"/>
      <c r="U520" s="85" t="n"/>
      <c r="V520" s="85" t="n"/>
      <c r="W520" s="85" t="n"/>
      <c r="X520" s="85" t="n"/>
      <c r="Y520" s="85" t="n"/>
      <c r="Z520" s="85" t="n"/>
    </row>
    <row r="521" ht="15.75" customHeight="1" s="86">
      <c r="T521" s="85" t="n"/>
      <c r="U521" s="85" t="n"/>
      <c r="V521" s="85" t="n"/>
      <c r="W521" s="85" t="n"/>
      <c r="X521" s="85" t="n"/>
      <c r="Y521" s="85" t="n"/>
      <c r="Z521" s="85" t="n"/>
    </row>
    <row r="522" ht="15.75" customHeight="1" s="86">
      <c r="T522" s="85" t="n"/>
      <c r="U522" s="85" t="n"/>
      <c r="V522" s="85" t="n"/>
      <c r="W522" s="85" t="n"/>
      <c r="X522" s="85" t="n"/>
      <c r="Y522" s="85" t="n"/>
      <c r="Z522" s="85" t="n"/>
    </row>
    <row r="523" ht="15.75" customHeight="1" s="86">
      <c r="T523" s="85" t="n"/>
      <c r="U523" s="85" t="n"/>
      <c r="V523" s="85" t="n"/>
      <c r="W523" s="85" t="n"/>
      <c r="X523" s="85" t="n"/>
      <c r="Y523" s="85" t="n"/>
      <c r="Z523" s="85" t="n"/>
    </row>
    <row r="524" ht="15.75" customHeight="1" s="86">
      <c r="T524" s="85" t="n"/>
      <c r="U524" s="85" t="n"/>
      <c r="V524" s="85" t="n"/>
      <c r="W524" s="85" t="n"/>
      <c r="X524" s="85" t="n"/>
      <c r="Y524" s="85" t="n"/>
      <c r="Z524" s="85" t="n"/>
    </row>
    <row r="525" ht="15.75" customHeight="1" s="86">
      <c r="T525" s="85" t="n"/>
      <c r="U525" s="85" t="n"/>
      <c r="V525" s="85" t="n"/>
      <c r="W525" s="85" t="n"/>
      <c r="X525" s="85" t="n"/>
      <c r="Y525" s="85" t="n"/>
      <c r="Z525" s="85" t="n"/>
    </row>
    <row r="526" ht="15.75" customHeight="1" s="86">
      <c r="T526" s="85" t="n"/>
      <c r="U526" s="85" t="n"/>
      <c r="V526" s="85" t="n"/>
      <c r="W526" s="85" t="n"/>
      <c r="X526" s="85" t="n"/>
      <c r="Y526" s="85" t="n"/>
      <c r="Z526" s="85" t="n"/>
    </row>
    <row r="527" ht="15.75" customHeight="1" s="86">
      <c r="T527" s="85" t="n"/>
      <c r="U527" s="85" t="n"/>
      <c r="V527" s="85" t="n"/>
      <c r="W527" s="85" t="n"/>
      <c r="X527" s="85" t="n"/>
      <c r="Y527" s="85" t="n"/>
      <c r="Z527" s="85" t="n"/>
    </row>
    <row r="528" ht="15.75" customHeight="1" s="86">
      <c r="T528" s="85" t="n"/>
      <c r="U528" s="85" t="n"/>
      <c r="V528" s="85" t="n"/>
      <c r="W528" s="85" t="n"/>
      <c r="X528" s="85" t="n"/>
      <c r="Y528" s="85" t="n"/>
      <c r="Z528" s="85" t="n"/>
    </row>
    <row r="529" ht="15.75" customHeight="1" s="86">
      <c r="T529" s="85" t="n"/>
      <c r="U529" s="85" t="n"/>
      <c r="V529" s="85" t="n"/>
      <c r="W529" s="85" t="n"/>
      <c r="X529" s="85" t="n"/>
      <c r="Y529" s="85" t="n"/>
      <c r="Z529" s="85" t="n"/>
    </row>
    <row r="530" ht="15.75" customHeight="1" s="86">
      <c r="T530" s="85" t="n"/>
      <c r="U530" s="85" t="n"/>
      <c r="V530" s="85" t="n"/>
      <c r="W530" s="85" t="n"/>
      <c r="X530" s="85" t="n"/>
      <c r="Y530" s="85" t="n"/>
      <c r="Z530" s="85" t="n"/>
    </row>
    <row r="531" ht="15.75" customHeight="1" s="86">
      <c r="T531" s="85" t="n"/>
      <c r="U531" s="85" t="n"/>
      <c r="V531" s="85" t="n"/>
      <c r="W531" s="85" t="n"/>
      <c r="X531" s="85" t="n"/>
      <c r="Y531" s="85" t="n"/>
      <c r="Z531" s="85" t="n"/>
    </row>
    <row r="532" ht="15.75" customHeight="1" s="86">
      <c r="T532" s="85" t="n"/>
      <c r="U532" s="85" t="n"/>
      <c r="V532" s="85" t="n"/>
      <c r="W532" s="85" t="n"/>
      <c r="X532" s="85" t="n"/>
      <c r="Y532" s="85" t="n"/>
      <c r="Z532" s="85" t="n"/>
    </row>
    <row r="533" ht="15.75" customHeight="1" s="86">
      <c r="T533" s="85" t="n"/>
      <c r="U533" s="85" t="n"/>
      <c r="V533" s="85" t="n"/>
      <c r="W533" s="85" t="n"/>
      <c r="X533" s="85" t="n"/>
      <c r="Y533" s="85" t="n"/>
      <c r="Z533" s="85" t="n"/>
    </row>
    <row r="534" ht="15.75" customHeight="1" s="86">
      <c r="T534" s="85" t="n"/>
      <c r="U534" s="85" t="n"/>
      <c r="V534" s="85" t="n"/>
      <c r="W534" s="85" t="n"/>
      <c r="X534" s="85" t="n"/>
      <c r="Y534" s="85" t="n"/>
      <c r="Z534" s="85" t="n"/>
    </row>
    <row r="535" ht="15.75" customHeight="1" s="86">
      <c r="T535" s="85" t="n"/>
      <c r="U535" s="85" t="n"/>
      <c r="V535" s="85" t="n"/>
      <c r="W535" s="85" t="n"/>
      <c r="X535" s="85" t="n"/>
      <c r="Y535" s="85" t="n"/>
      <c r="Z535" s="85" t="n"/>
    </row>
    <row r="536" ht="15.75" customHeight="1" s="86">
      <c r="T536" s="85" t="n"/>
      <c r="U536" s="85" t="n"/>
      <c r="V536" s="85" t="n"/>
      <c r="W536" s="85" t="n"/>
      <c r="X536" s="85" t="n"/>
      <c r="Y536" s="85" t="n"/>
      <c r="Z536" s="85" t="n"/>
    </row>
    <row r="537" ht="15.75" customHeight="1" s="86">
      <c r="T537" s="85" t="n"/>
      <c r="U537" s="85" t="n"/>
      <c r="V537" s="85" t="n"/>
      <c r="W537" s="85" t="n"/>
      <c r="X537" s="85" t="n"/>
      <c r="Y537" s="85" t="n"/>
      <c r="Z537" s="85" t="n"/>
    </row>
    <row r="538" ht="15.75" customHeight="1" s="86">
      <c r="T538" s="85" t="n"/>
      <c r="U538" s="85" t="n"/>
      <c r="V538" s="85" t="n"/>
      <c r="W538" s="85" t="n"/>
      <c r="X538" s="85" t="n"/>
      <c r="Y538" s="85" t="n"/>
      <c r="Z538" s="85" t="n"/>
    </row>
    <row r="539" ht="15.75" customHeight="1" s="86">
      <c r="T539" s="85" t="n"/>
      <c r="U539" s="85" t="n"/>
      <c r="V539" s="85" t="n"/>
      <c r="W539" s="85" t="n"/>
      <c r="X539" s="85" t="n"/>
      <c r="Y539" s="85" t="n"/>
      <c r="Z539" s="85" t="n"/>
    </row>
    <row r="540" ht="15.75" customHeight="1" s="86">
      <c r="T540" s="85" t="n"/>
      <c r="U540" s="85" t="n"/>
      <c r="V540" s="85" t="n"/>
      <c r="W540" s="85" t="n"/>
      <c r="X540" s="85" t="n"/>
      <c r="Y540" s="85" t="n"/>
      <c r="Z540" s="85" t="n"/>
    </row>
    <row r="541" ht="15.75" customHeight="1" s="86">
      <c r="T541" s="85" t="n"/>
      <c r="U541" s="85" t="n"/>
      <c r="V541" s="85" t="n"/>
      <c r="W541" s="85" t="n"/>
      <c r="X541" s="85" t="n"/>
      <c r="Y541" s="85" t="n"/>
      <c r="Z541" s="85" t="n"/>
    </row>
    <row r="542" ht="15.75" customHeight="1" s="86">
      <c r="T542" s="85" t="n"/>
      <c r="U542" s="85" t="n"/>
      <c r="V542" s="85" t="n"/>
      <c r="W542" s="85" t="n"/>
      <c r="X542" s="85" t="n"/>
      <c r="Y542" s="85" t="n"/>
      <c r="Z542" s="85" t="n"/>
    </row>
    <row r="543" ht="15.75" customHeight="1" s="86">
      <c r="T543" s="85" t="n"/>
      <c r="U543" s="85" t="n"/>
      <c r="V543" s="85" t="n"/>
      <c r="W543" s="85" t="n"/>
      <c r="X543" s="85" t="n"/>
      <c r="Y543" s="85" t="n"/>
      <c r="Z543" s="85" t="n"/>
    </row>
    <row r="544" ht="15.75" customHeight="1" s="86">
      <c r="T544" s="85" t="n"/>
      <c r="U544" s="85" t="n"/>
      <c r="V544" s="85" t="n"/>
      <c r="W544" s="85" t="n"/>
      <c r="X544" s="85" t="n"/>
      <c r="Y544" s="85" t="n"/>
      <c r="Z544" s="85" t="n"/>
    </row>
    <row r="545" ht="15.75" customHeight="1" s="86">
      <c r="T545" s="85" t="n"/>
      <c r="U545" s="85" t="n"/>
      <c r="V545" s="85" t="n"/>
      <c r="W545" s="85" t="n"/>
      <c r="X545" s="85" t="n"/>
      <c r="Y545" s="85" t="n"/>
      <c r="Z545" s="85" t="n"/>
    </row>
    <row r="546" ht="15.75" customHeight="1" s="86">
      <c r="T546" s="85" t="n"/>
      <c r="U546" s="85" t="n"/>
      <c r="V546" s="85" t="n"/>
      <c r="W546" s="85" t="n"/>
      <c r="X546" s="85" t="n"/>
      <c r="Y546" s="85" t="n"/>
      <c r="Z546" s="85" t="n"/>
    </row>
    <row r="547" ht="15.75" customHeight="1" s="86">
      <c r="T547" s="85" t="n"/>
      <c r="U547" s="85" t="n"/>
      <c r="V547" s="85" t="n"/>
      <c r="W547" s="85" t="n"/>
      <c r="X547" s="85" t="n"/>
      <c r="Y547" s="85" t="n"/>
      <c r="Z547" s="85" t="n"/>
    </row>
    <row r="548" ht="15.75" customHeight="1" s="86">
      <c r="T548" s="85" t="n"/>
      <c r="U548" s="85" t="n"/>
      <c r="V548" s="85" t="n"/>
      <c r="W548" s="85" t="n"/>
      <c r="X548" s="85" t="n"/>
      <c r="Y548" s="85" t="n"/>
      <c r="Z548" s="85" t="n"/>
    </row>
    <row r="549" ht="15.75" customHeight="1" s="86">
      <c r="T549" s="85" t="n"/>
      <c r="U549" s="85" t="n"/>
      <c r="V549" s="85" t="n"/>
      <c r="W549" s="85" t="n"/>
      <c r="X549" s="85" t="n"/>
      <c r="Y549" s="85" t="n"/>
      <c r="Z549" s="85" t="n"/>
    </row>
    <row r="550" ht="15.75" customHeight="1" s="86">
      <c r="T550" s="85" t="n"/>
      <c r="U550" s="85" t="n"/>
      <c r="V550" s="85" t="n"/>
      <c r="W550" s="85" t="n"/>
      <c r="X550" s="85" t="n"/>
      <c r="Y550" s="85" t="n"/>
      <c r="Z550" s="85" t="n"/>
    </row>
    <row r="551" ht="15.75" customHeight="1" s="86">
      <c r="T551" s="85" t="n"/>
      <c r="U551" s="85" t="n"/>
      <c r="V551" s="85" t="n"/>
      <c r="W551" s="85" t="n"/>
      <c r="X551" s="85" t="n"/>
      <c r="Y551" s="85" t="n"/>
      <c r="Z551" s="85" t="n"/>
    </row>
    <row r="552" ht="15.75" customHeight="1" s="86">
      <c r="T552" s="85" t="n"/>
      <c r="U552" s="85" t="n"/>
      <c r="V552" s="85" t="n"/>
      <c r="W552" s="85" t="n"/>
      <c r="X552" s="85" t="n"/>
      <c r="Y552" s="85" t="n"/>
      <c r="Z552" s="85" t="n"/>
    </row>
    <row r="553" ht="15.75" customHeight="1" s="86">
      <c r="T553" s="85" t="n"/>
      <c r="U553" s="85" t="n"/>
      <c r="V553" s="85" t="n"/>
      <c r="W553" s="85" t="n"/>
      <c r="X553" s="85" t="n"/>
      <c r="Y553" s="85" t="n"/>
      <c r="Z553" s="85" t="n"/>
    </row>
    <row r="554" ht="15.75" customHeight="1" s="86">
      <c r="T554" s="85" t="n"/>
      <c r="U554" s="85" t="n"/>
      <c r="V554" s="85" t="n"/>
      <c r="W554" s="85" t="n"/>
      <c r="X554" s="85" t="n"/>
      <c r="Y554" s="85" t="n"/>
      <c r="Z554" s="85" t="n"/>
    </row>
    <row r="555" ht="15.75" customHeight="1" s="86">
      <c r="T555" s="85" t="n"/>
      <c r="U555" s="85" t="n"/>
      <c r="V555" s="85" t="n"/>
      <c r="W555" s="85" t="n"/>
      <c r="X555" s="85" t="n"/>
      <c r="Y555" s="85" t="n"/>
      <c r="Z555" s="85" t="n"/>
    </row>
    <row r="556" ht="15.75" customHeight="1" s="86">
      <c r="T556" s="85" t="n"/>
      <c r="U556" s="85" t="n"/>
      <c r="V556" s="85" t="n"/>
      <c r="W556" s="85" t="n"/>
      <c r="X556" s="85" t="n"/>
      <c r="Y556" s="85" t="n"/>
      <c r="Z556" s="85" t="n"/>
    </row>
    <row r="557" ht="15.75" customHeight="1" s="86">
      <c r="T557" s="85" t="n"/>
      <c r="U557" s="85" t="n"/>
      <c r="V557" s="85" t="n"/>
      <c r="W557" s="85" t="n"/>
      <c r="X557" s="85" t="n"/>
      <c r="Y557" s="85" t="n"/>
      <c r="Z557" s="85" t="n"/>
    </row>
    <row r="558" ht="15.75" customHeight="1" s="86">
      <c r="T558" s="85" t="n"/>
      <c r="U558" s="85" t="n"/>
      <c r="V558" s="85" t="n"/>
      <c r="W558" s="85" t="n"/>
      <c r="X558" s="85" t="n"/>
      <c r="Y558" s="85" t="n"/>
      <c r="Z558" s="85" t="n"/>
    </row>
    <row r="559" ht="15.75" customHeight="1" s="86">
      <c r="T559" s="85" t="n"/>
      <c r="U559" s="85" t="n"/>
      <c r="V559" s="85" t="n"/>
      <c r="W559" s="85" t="n"/>
      <c r="X559" s="85" t="n"/>
      <c r="Y559" s="85" t="n"/>
      <c r="Z559" s="85" t="n"/>
    </row>
    <row r="560" ht="15.75" customHeight="1" s="86">
      <c r="T560" s="85" t="n"/>
      <c r="U560" s="85" t="n"/>
      <c r="V560" s="85" t="n"/>
      <c r="W560" s="85" t="n"/>
      <c r="X560" s="85" t="n"/>
      <c r="Y560" s="85" t="n"/>
      <c r="Z560" s="85" t="n"/>
    </row>
    <row r="561" ht="15.75" customHeight="1" s="86">
      <c r="T561" s="85" t="n"/>
      <c r="U561" s="85" t="n"/>
      <c r="V561" s="85" t="n"/>
      <c r="W561" s="85" t="n"/>
      <c r="X561" s="85" t="n"/>
      <c r="Y561" s="85" t="n"/>
      <c r="Z561" s="85" t="n"/>
    </row>
    <row r="562" ht="15.75" customHeight="1" s="86">
      <c r="T562" s="85" t="n"/>
      <c r="U562" s="85" t="n"/>
      <c r="V562" s="85" t="n"/>
      <c r="W562" s="85" t="n"/>
      <c r="X562" s="85" t="n"/>
      <c r="Y562" s="85" t="n"/>
      <c r="Z562" s="85" t="n"/>
    </row>
    <row r="563" ht="15.75" customHeight="1" s="86">
      <c r="T563" s="85" t="n"/>
      <c r="U563" s="85" t="n"/>
      <c r="V563" s="85" t="n"/>
      <c r="W563" s="85" t="n"/>
      <c r="X563" s="85" t="n"/>
      <c r="Y563" s="85" t="n"/>
      <c r="Z563" s="85" t="n"/>
    </row>
    <row r="564" ht="15.75" customHeight="1" s="86">
      <c r="T564" s="85" t="n"/>
      <c r="U564" s="85" t="n"/>
      <c r="V564" s="85" t="n"/>
      <c r="W564" s="85" t="n"/>
      <c r="X564" s="85" t="n"/>
      <c r="Y564" s="85" t="n"/>
      <c r="Z564" s="85" t="n"/>
    </row>
    <row r="565" ht="15.75" customHeight="1" s="86">
      <c r="T565" s="85" t="n"/>
      <c r="U565" s="85" t="n"/>
      <c r="V565" s="85" t="n"/>
      <c r="W565" s="85" t="n"/>
      <c r="X565" s="85" t="n"/>
      <c r="Y565" s="85" t="n"/>
      <c r="Z565" s="85" t="n"/>
    </row>
    <row r="566" ht="15.75" customHeight="1" s="86">
      <c r="T566" s="85" t="n"/>
      <c r="U566" s="85" t="n"/>
      <c r="V566" s="85" t="n"/>
      <c r="W566" s="85" t="n"/>
      <c r="X566" s="85" t="n"/>
      <c r="Y566" s="85" t="n"/>
      <c r="Z566" s="85" t="n"/>
    </row>
    <row r="567" ht="15.75" customHeight="1" s="86">
      <c r="T567" s="85" t="n"/>
      <c r="U567" s="85" t="n"/>
      <c r="V567" s="85" t="n"/>
      <c r="W567" s="85" t="n"/>
      <c r="X567" s="85" t="n"/>
      <c r="Y567" s="85" t="n"/>
      <c r="Z567" s="85" t="n"/>
    </row>
    <row r="568" ht="15.75" customHeight="1" s="86">
      <c r="T568" s="85" t="n"/>
      <c r="U568" s="85" t="n"/>
      <c r="V568" s="85" t="n"/>
      <c r="W568" s="85" t="n"/>
      <c r="X568" s="85" t="n"/>
      <c r="Y568" s="85" t="n"/>
      <c r="Z568" s="85" t="n"/>
    </row>
    <row r="569" ht="15.75" customHeight="1" s="86">
      <c r="T569" s="85" t="n"/>
      <c r="U569" s="85" t="n"/>
      <c r="V569" s="85" t="n"/>
      <c r="W569" s="85" t="n"/>
      <c r="X569" s="85" t="n"/>
      <c r="Y569" s="85" t="n"/>
      <c r="Z569" s="85" t="n"/>
    </row>
    <row r="570" ht="15.75" customHeight="1" s="86">
      <c r="T570" s="85" t="n"/>
      <c r="U570" s="85" t="n"/>
      <c r="V570" s="85" t="n"/>
      <c r="W570" s="85" t="n"/>
      <c r="X570" s="85" t="n"/>
      <c r="Y570" s="85" t="n"/>
      <c r="Z570" s="85" t="n"/>
    </row>
    <row r="571" ht="15.75" customHeight="1" s="86">
      <c r="T571" s="85" t="n"/>
      <c r="U571" s="85" t="n"/>
      <c r="V571" s="85" t="n"/>
      <c r="W571" s="85" t="n"/>
      <c r="X571" s="85" t="n"/>
      <c r="Y571" s="85" t="n"/>
      <c r="Z571" s="85" t="n"/>
    </row>
    <row r="572" ht="15.75" customHeight="1" s="86">
      <c r="T572" s="85" t="n"/>
      <c r="U572" s="85" t="n"/>
      <c r="V572" s="85" t="n"/>
      <c r="W572" s="85" t="n"/>
      <c r="X572" s="85" t="n"/>
      <c r="Y572" s="85" t="n"/>
      <c r="Z572" s="85" t="n"/>
    </row>
    <row r="573" ht="15.75" customHeight="1" s="86">
      <c r="T573" s="85" t="n"/>
      <c r="U573" s="85" t="n"/>
      <c r="V573" s="85" t="n"/>
      <c r="W573" s="85" t="n"/>
      <c r="X573" s="85" t="n"/>
      <c r="Y573" s="85" t="n"/>
      <c r="Z573" s="85" t="n"/>
    </row>
    <row r="574" ht="15.75" customHeight="1" s="86">
      <c r="T574" s="85" t="n"/>
      <c r="U574" s="85" t="n"/>
      <c r="V574" s="85" t="n"/>
      <c r="W574" s="85" t="n"/>
      <c r="X574" s="85" t="n"/>
      <c r="Y574" s="85" t="n"/>
      <c r="Z574" s="85" t="n"/>
    </row>
    <row r="575" ht="15.75" customHeight="1" s="86">
      <c r="T575" s="85" t="n"/>
      <c r="U575" s="85" t="n"/>
      <c r="V575" s="85" t="n"/>
      <c r="W575" s="85" t="n"/>
      <c r="X575" s="85" t="n"/>
      <c r="Y575" s="85" t="n"/>
      <c r="Z575" s="85" t="n"/>
    </row>
    <row r="576" ht="15.75" customHeight="1" s="86">
      <c r="T576" s="85" t="n"/>
      <c r="U576" s="85" t="n"/>
      <c r="V576" s="85" t="n"/>
      <c r="W576" s="85" t="n"/>
      <c r="X576" s="85" t="n"/>
      <c r="Y576" s="85" t="n"/>
      <c r="Z576" s="85" t="n"/>
    </row>
    <row r="577" ht="15.75" customHeight="1" s="86">
      <c r="T577" s="85" t="n"/>
      <c r="U577" s="85" t="n"/>
      <c r="V577" s="85" t="n"/>
      <c r="W577" s="85" t="n"/>
      <c r="X577" s="85" t="n"/>
      <c r="Y577" s="85" t="n"/>
      <c r="Z577" s="85" t="n"/>
    </row>
    <row r="578" ht="15.75" customHeight="1" s="86">
      <c r="T578" s="85" t="n"/>
      <c r="U578" s="85" t="n"/>
      <c r="V578" s="85" t="n"/>
      <c r="W578" s="85" t="n"/>
      <c r="X578" s="85" t="n"/>
      <c r="Y578" s="85" t="n"/>
      <c r="Z578" s="85" t="n"/>
    </row>
    <row r="579" ht="15.75" customHeight="1" s="86">
      <c r="T579" s="85" t="n"/>
      <c r="U579" s="85" t="n"/>
      <c r="V579" s="85" t="n"/>
      <c r="W579" s="85" t="n"/>
      <c r="X579" s="85" t="n"/>
      <c r="Y579" s="85" t="n"/>
      <c r="Z579" s="85" t="n"/>
    </row>
    <row r="580" ht="15.75" customHeight="1" s="86">
      <c r="T580" s="85" t="n"/>
      <c r="U580" s="85" t="n"/>
      <c r="V580" s="85" t="n"/>
      <c r="W580" s="85" t="n"/>
      <c r="X580" s="85" t="n"/>
      <c r="Y580" s="85" t="n"/>
      <c r="Z580" s="85" t="n"/>
    </row>
    <row r="581" ht="15.75" customHeight="1" s="86">
      <c r="T581" s="85" t="n"/>
      <c r="U581" s="85" t="n"/>
      <c r="V581" s="85" t="n"/>
      <c r="W581" s="85" t="n"/>
      <c r="X581" s="85" t="n"/>
      <c r="Y581" s="85" t="n"/>
      <c r="Z581" s="85" t="n"/>
    </row>
    <row r="582" ht="15.75" customHeight="1" s="86">
      <c r="T582" s="85" t="n"/>
      <c r="U582" s="85" t="n"/>
      <c r="V582" s="85" t="n"/>
      <c r="W582" s="85" t="n"/>
      <c r="X582" s="85" t="n"/>
      <c r="Y582" s="85" t="n"/>
      <c r="Z582" s="85" t="n"/>
    </row>
    <row r="583" ht="15.75" customHeight="1" s="86">
      <c r="T583" s="85" t="n"/>
      <c r="U583" s="85" t="n"/>
      <c r="V583" s="85" t="n"/>
      <c r="W583" s="85" t="n"/>
      <c r="X583" s="85" t="n"/>
      <c r="Y583" s="85" t="n"/>
      <c r="Z583" s="85" t="n"/>
    </row>
    <row r="584" ht="15.75" customHeight="1" s="86">
      <c r="T584" s="85" t="n"/>
      <c r="U584" s="85" t="n"/>
      <c r="V584" s="85" t="n"/>
      <c r="W584" s="85" t="n"/>
      <c r="X584" s="85" t="n"/>
      <c r="Y584" s="85" t="n"/>
      <c r="Z584" s="85" t="n"/>
    </row>
    <row r="585" ht="15.75" customHeight="1" s="86">
      <c r="T585" s="85" t="n"/>
      <c r="U585" s="85" t="n"/>
      <c r="V585" s="85" t="n"/>
      <c r="W585" s="85" t="n"/>
      <c r="X585" s="85" t="n"/>
      <c r="Y585" s="85" t="n"/>
      <c r="Z585" s="85" t="n"/>
    </row>
    <row r="586" ht="15.75" customHeight="1" s="86">
      <c r="T586" s="85" t="n"/>
      <c r="U586" s="85" t="n"/>
      <c r="V586" s="85" t="n"/>
      <c r="W586" s="85" t="n"/>
      <c r="X586" s="85" t="n"/>
      <c r="Y586" s="85" t="n"/>
      <c r="Z586" s="85" t="n"/>
    </row>
    <row r="587" ht="15.75" customHeight="1" s="86">
      <c r="T587" s="85" t="n"/>
      <c r="U587" s="85" t="n"/>
      <c r="V587" s="85" t="n"/>
      <c r="W587" s="85" t="n"/>
      <c r="X587" s="85" t="n"/>
      <c r="Y587" s="85" t="n"/>
      <c r="Z587" s="85" t="n"/>
    </row>
    <row r="588" ht="15.75" customHeight="1" s="86">
      <c r="T588" s="85" t="n"/>
      <c r="U588" s="85" t="n"/>
      <c r="V588" s="85" t="n"/>
      <c r="W588" s="85" t="n"/>
      <c r="X588" s="85" t="n"/>
      <c r="Y588" s="85" t="n"/>
      <c r="Z588" s="85" t="n"/>
    </row>
    <row r="589" ht="15.75" customHeight="1" s="86">
      <c r="T589" s="85" t="n"/>
      <c r="U589" s="85" t="n"/>
      <c r="V589" s="85" t="n"/>
      <c r="W589" s="85" t="n"/>
      <c r="X589" s="85" t="n"/>
      <c r="Y589" s="85" t="n"/>
      <c r="Z589" s="85" t="n"/>
    </row>
    <row r="590" ht="15.75" customHeight="1" s="86">
      <c r="T590" s="85" t="n"/>
      <c r="U590" s="85" t="n"/>
      <c r="V590" s="85" t="n"/>
      <c r="W590" s="85" t="n"/>
      <c r="X590" s="85" t="n"/>
      <c r="Y590" s="85" t="n"/>
      <c r="Z590" s="85" t="n"/>
    </row>
    <row r="591" ht="15.75" customHeight="1" s="86">
      <c r="T591" s="85" t="n"/>
      <c r="U591" s="85" t="n"/>
      <c r="V591" s="85" t="n"/>
      <c r="W591" s="85" t="n"/>
      <c r="X591" s="85" t="n"/>
      <c r="Y591" s="85" t="n"/>
      <c r="Z591" s="85" t="n"/>
    </row>
    <row r="592" ht="15.75" customHeight="1" s="86">
      <c r="T592" s="85" t="n"/>
      <c r="U592" s="85" t="n"/>
      <c r="V592" s="85" t="n"/>
      <c r="W592" s="85" t="n"/>
      <c r="X592" s="85" t="n"/>
      <c r="Y592" s="85" t="n"/>
      <c r="Z592" s="85" t="n"/>
    </row>
    <row r="593" ht="15.75" customHeight="1" s="86">
      <c r="T593" s="85" t="n"/>
      <c r="U593" s="85" t="n"/>
      <c r="V593" s="85" t="n"/>
      <c r="W593" s="85" t="n"/>
      <c r="X593" s="85" t="n"/>
      <c r="Y593" s="85" t="n"/>
      <c r="Z593" s="85" t="n"/>
    </row>
    <row r="594" ht="15.75" customHeight="1" s="86">
      <c r="T594" s="85" t="n"/>
      <c r="U594" s="85" t="n"/>
      <c r="V594" s="85" t="n"/>
      <c r="W594" s="85" t="n"/>
      <c r="X594" s="85" t="n"/>
      <c r="Y594" s="85" t="n"/>
      <c r="Z594" s="85" t="n"/>
    </row>
    <row r="595" ht="15.75" customHeight="1" s="86">
      <c r="T595" s="85" t="n"/>
      <c r="U595" s="85" t="n"/>
      <c r="V595" s="85" t="n"/>
      <c r="W595" s="85" t="n"/>
      <c r="X595" s="85" t="n"/>
      <c r="Y595" s="85" t="n"/>
      <c r="Z595" s="85" t="n"/>
    </row>
    <row r="596" ht="15.75" customHeight="1" s="86">
      <c r="T596" s="85" t="n"/>
      <c r="U596" s="85" t="n"/>
      <c r="V596" s="85" t="n"/>
      <c r="W596" s="85" t="n"/>
      <c r="X596" s="85" t="n"/>
      <c r="Y596" s="85" t="n"/>
      <c r="Z596" s="85" t="n"/>
    </row>
    <row r="597" ht="15.75" customHeight="1" s="86">
      <c r="T597" s="85" t="n"/>
      <c r="U597" s="85" t="n"/>
      <c r="V597" s="85" t="n"/>
      <c r="W597" s="85" t="n"/>
      <c r="X597" s="85" t="n"/>
      <c r="Y597" s="85" t="n"/>
      <c r="Z597" s="85" t="n"/>
    </row>
    <row r="598" ht="15.75" customHeight="1" s="86">
      <c r="T598" s="85" t="n"/>
      <c r="U598" s="85" t="n"/>
      <c r="V598" s="85" t="n"/>
      <c r="W598" s="85" t="n"/>
      <c r="X598" s="85" t="n"/>
      <c r="Y598" s="85" t="n"/>
      <c r="Z598" s="85" t="n"/>
    </row>
    <row r="599" ht="15.75" customHeight="1" s="86">
      <c r="T599" s="85" t="n"/>
      <c r="U599" s="85" t="n"/>
      <c r="V599" s="85" t="n"/>
      <c r="W599" s="85" t="n"/>
      <c r="X599" s="85" t="n"/>
      <c r="Y599" s="85" t="n"/>
      <c r="Z599" s="85" t="n"/>
    </row>
    <row r="600" ht="15.75" customHeight="1" s="86">
      <c r="T600" s="85" t="n"/>
      <c r="U600" s="85" t="n"/>
      <c r="V600" s="85" t="n"/>
      <c r="W600" s="85" t="n"/>
      <c r="X600" s="85" t="n"/>
      <c r="Y600" s="85" t="n"/>
      <c r="Z600" s="85" t="n"/>
    </row>
    <row r="601" ht="15.75" customHeight="1" s="86">
      <c r="T601" s="85" t="n"/>
      <c r="U601" s="85" t="n"/>
      <c r="V601" s="85" t="n"/>
      <c r="W601" s="85" t="n"/>
      <c r="X601" s="85" t="n"/>
      <c r="Y601" s="85" t="n"/>
      <c r="Z601" s="85" t="n"/>
    </row>
    <row r="602" ht="15.75" customHeight="1" s="86">
      <c r="T602" s="85" t="n"/>
      <c r="U602" s="85" t="n"/>
      <c r="V602" s="85" t="n"/>
      <c r="W602" s="85" t="n"/>
      <c r="X602" s="85" t="n"/>
      <c r="Y602" s="85" t="n"/>
      <c r="Z602" s="85" t="n"/>
    </row>
    <row r="603" ht="15.75" customHeight="1" s="86">
      <c r="T603" s="85" t="n"/>
      <c r="U603" s="85" t="n"/>
      <c r="V603" s="85" t="n"/>
      <c r="W603" s="85" t="n"/>
      <c r="X603" s="85" t="n"/>
      <c r="Y603" s="85" t="n"/>
      <c r="Z603" s="85" t="n"/>
    </row>
    <row r="604" ht="15.75" customHeight="1" s="86">
      <c r="T604" s="85" t="n"/>
      <c r="U604" s="85" t="n"/>
      <c r="V604" s="85" t="n"/>
      <c r="W604" s="85" t="n"/>
      <c r="X604" s="85" t="n"/>
      <c r="Y604" s="85" t="n"/>
      <c r="Z604" s="85" t="n"/>
    </row>
    <row r="605" ht="15.75" customHeight="1" s="86">
      <c r="T605" s="85" t="n"/>
      <c r="U605" s="85" t="n"/>
      <c r="V605" s="85" t="n"/>
      <c r="W605" s="85" t="n"/>
      <c r="X605" s="85" t="n"/>
      <c r="Y605" s="85" t="n"/>
      <c r="Z605" s="85" t="n"/>
    </row>
    <row r="606" ht="15.75" customHeight="1" s="86">
      <c r="T606" s="85" t="n"/>
      <c r="U606" s="85" t="n"/>
      <c r="V606" s="85" t="n"/>
      <c r="W606" s="85" t="n"/>
      <c r="X606" s="85" t="n"/>
      <c r="Y606" s="85" t="n"/>
      <c r="Z606" s="85" t="n"/>
    </row>
    <row r="607" ht="15.75" customHeight="1" s="86">
      <c r="T607" s="85" t="n"/>
      <c r="U607" s="85" t="n"/>
      <c r="V607" s="85" t="n"/>
      <c r="W607" s="85" t="n"/>
      <c r="X607" s="85" t="n"/>
      <c r="Y607" s="85" t="n"/>
      <c r="Z607" s="85" t="n"/>
    </row>
    <row r="608" ht="15.75" customHeight="1" s="86">
      <c r="T608" s="85" t="n"/>
      <c r="U608" s="85" t="n"/>
      <c r="V608" s="85" t="n"/>
      <c r="W608" s="85" t="n"/>
      <c r="X608" s="85" t="n"/>
      <c r="Y608" s="85" t="n"/>
      <c r="Z608" s="85" t="n"/>
    </row>
    <row r="609" ht="15.75" customHeight="1" s="86">
      <c r="T609" s="85" t="n"/>
      <c r="U609" s="85" t="n"/>
      <c r="V609" s="85" t="n"/>
      <c r="W609" s="85" t="n"/>
      <c r="X609" s="85" t="n"/>
      <c r="Y609" s="85" t="n"/>
      <c r="Z609" s="85" t="n"/>
    </row>
    <row r="610" ht="15.75" customHeight="1" s="86">
      <c r="T610" s="85" t="n"/>
      <c r="U610" s="85" t="n"/>
      <c r="V610" s="85" t="n"/>
      <c r="W610" s="85" t="n"/>
      <c r="X610" s="85" t="n"/>
      <c r="Y610" s="85" t="n"/>
      <c r="Z610" s="85" t="n"/>
    </row>
    <row r="611" ht="15.75" customHeight="1" s="86">
      <c r="T611" s="85" t="n"/>
      <c r="U611" s="85" t="n"/>
      <c r="V611" s="85" t="n"/>
      <c r="W611" s="85" t="n"/>
      <c r="X611" s="85" t="n"/>
      <c r="Y611" s="85" t="n"/>
      <c r="Z611" s="85" t="n"/>
    </row>
    <row r="612" ht="15.75" customHeight="1" s="86">
      <c r="T612" s="85" t="n"/>
      <c r="U612" s="85" t="n"/>
      <c r="V612" s="85" t="n"/>
      <c r="W612" s="85" t="n"/>
      <c r="X612" s="85" t="n"/>
      <c r="Y612" s="85" t="n"/>
      <c r="Z612" s="85" t="n"/>
    </row>
    <row r="613" ht="15.75" customHeight="1" s="86">
      <c r="T613" s="85" t="n"/>
      <c r="U613" s="85" t="n"/>
      <c r="V613" s="85" t="n"/>
      <c r="W613" s="85" t="n"/>
      <c r="X613" s="85" t="n"/>
      <c r="Y613" s="85" t="n"/>
      <c r="Z613" s="85" t="n"/>
    </row>
    <row r="614" ht="15.75" customHeight="1" s="86">
      <c r="T614" s="85" t="n"/>
      <c r="U614" s="85" t="n"/>
      <c r="V614" s="85" t="n"/>
      <c r="W614" s="85" t="n"/>
      <c r="X614" s="85" t="n"/>
      <c r="Y614" s="85" t="n"/>
      <c r="Z614" s="85" t="n"/>
    </row>
    <row r="615" ht="15.75" customHeight="1" s="86">
      <c r="T615" s="85" t="n"/>
      <c r="U615" s="85" t="n"/>
      <c r="V615" s="85" t="n"/>
      <c r="W615" s="85" t="n"/>
      <c r="X615" s="85" t="n"/>
      <c r="Y615" s="85" t="n"/>
      <c r="Z615" s="85" t="n"/>
    </row>
    <row r="616" ht="15.75" customHeight="1" s="86">
      <c r="T616" s="85" t="n"/>
      <c r="U616" s="85" t="n"/>
      <c r="V616" s="85" t="n"/>
      <c r="W616" s="85" t="n"/>
      <c r="X616" s="85" t="n"/>
      <c r="Y616" s="85" t="n"/>
      <c r="Z616" s="85" t="n"/>
    </row>
    <row r="617" ht="15.75" customHeight="1" s="86">
      <c r="T617" s="85" t="n"/>
      <c r="U617" s="85" t="n"/>
      <c r="V617" s="85" t="n"/>
      <c r="W617" s="85" t="n"/>
      <c r="X617" s="85" t="n"/>
      <c r="Y617" s="85" t="n"/>
      <c r="Z617" s="85" t="n"/>
    </row>
    <row r="618" ht="15.75" customHeight="1" s="86">
      <c r="T618" s="85" t="n"/>
      <c r="U618" s="85" t="n"/>
      <c r="V618" s="85" t="n"/>
      <c r="W618" s="85" t="n"/>
      <c r="X618" s="85" t="n"/>
      <c r="Y618" s="85" t="n"/>
      <c r="Z618" s="85" t="n"/>
    </row>
    <row r="619" ht="15.75" customHeight="1" s="86">
      <c r="T619" s="85" t="n"/>
      <c r="U619" s="85" t="n"/>
      <c r="V619" s="85" t="n"/>
      <c r="W619" s="85" t="n"/>
      <c r="X619" s="85" t="n"/>
      <c r="Y619" s="85" t="n"/>
      <c r="Z619" s="85" t="n"/>
    </row>
    <row r="620" ht="15.75" customHeight="1" s="86">
      <c r="T620" s="85" t="n"/>
      <c r="U620" s="85" t="n"/>
      <c r="V620" s="85" t="n"/>
      <c r="W620" s="85" t="n"/>
      <c r="X620" s="85" t="n"/>
      <c r="Y620" s="85" t="n"/>
      <c r="Z620" s="85" t="n"/>
    </row>
    <row r="621" ht="15.75" customHeight="1" s="86">
      <c r="T621" s="85" t="n"/>
      <c r="U621" s="85" t="n"/>
      <c r="V621" s="85" t="n"/>
      <c r="W621" s="85" t="n"/>
      <c r="X621" s="85" t="n"/>
      <c r="Y621" s="85" t="n"/>
      <c r="Z621" s="85" t="n"/>
    </row>
    <row r="622" ht="15.75" customHeight="1" s="86">
      <c r="T622" s="85" t="n"/>
      <c r="U622" s="85" t="n"/>
      <c r="V622" s="85" t="n"/>
      <c r="W622" s="85" t="n"/>
      <c r="X622" s="85" t="n"/>
      <c r="Y622" s="85" t="n"/>
      <c r="Z622" s="85" t="n"/>
    </row>
    <row r="623" ht="15.75" customHeight="1" s="86">
      <c r="T623" s="85" t="n"/>
      <c r="U623" s="85" t="n"/>
      <c r="V623" s="85" t="n"/>
      <c r="W623" s="85" t="n"/>
      <c r="X623" s="85" t="n"/>
      <c r="Y623" s="85" t="n"/>
      <c r="Z623" s="85" t="n"/>
    </row>
    <row r="624" ht="15.75" customHeight="1" s="86">
      <c r="T624" s="85" t="n"/>
      <c r="U624" s="85" t="n"/>
      <c r="V624" s="85" t="n"/>
      <c r="W624" s="85" t="n"/>
      <c r="X624" s="85" t="n"/>
      <c r="Y624" s="85" t="n"/>
      <c r="Z624" s="85" t="n"/>
    </row>
    <row r="625" ht="15.75" customHeight="1" s="86">
      <c r="T625" s="85" t="n"/>
      <c r="U625" s="85" t="n"/>
      <c r="V625" s="85" t="n"/>
      <c r="W625" s="85" t="n"/>
      <c r="X625" s="85" t="n"/>
      <c r="Y625" s="85" t="n"/>
      <c r="Z625" s="85" t="n"/>
    </row>
    <row r="626" ht="15.75" customHeight="1" s="86">
      <c r="T626" s="85" t="n"/>
      <c r="U626" s="85" t="n"/>
      <c r="V626" s="85" t="n"/>
      <c r="W626" s="85" t="n"/>
      <c r="X626" s="85" t="n"/>
      <c r="Y626" s="85" t="n"/>
      <c r="Z626" s="85" t="n"/>
    </row>
    <row r="627" ht="15.75" customHeight="1" s="86">
      <c r="T627" s="85" t="n"/>
      <c r="U627" s="85" t="n"/>
      <c r="V627" s="85" t="n"/>
      <c r="W627" s="85" t="n"/>
      <c r="X627" s="85" t="n"/>
      <c r="Y627" s="85" t="n"/>
      <c r="Z627" s="85" t="n"/>
    </row>
    <row r="628" ht="15.75" customHeight="1" s="86">
      <c r="T628" s="85" t="n"/>
      <c r="U628" s="85" t="n"/>
      <c r="V628" s="85" t="n"/>
      <c r="W628" s="85" t="n"/>
      <c r="X628" s="85" t="n"/>
      <c r="Y628" s="85" t="n"/>
      <c r="Z628" s="85" t="n"/>
    </row>
    <row r="629" ht="15.75" customHeight="1" s="86">
      <c r="T629" s="85" t="n"/>
      <c r="U629" s="85" t="n"/>
      <c r="V629" s="85" t="n"/>
      <c r="W629" s="85" t="n"/>
      <c r="X629" s="85" t="n"/>
      <c r="Y629" s="85" t="n"/>
      <c r="Z629" s="85" t="n"/>
    </row>
    <row r="630" ht="15.75" customHeight="1" s="86">
      <c r="T630" s="85" t="n"/>
      <c r="U630" s="85" t="n"/>
      <c r="V630" s="85" t="n"/>
      <c r="W630" s="85" t="n"/>
      <c r="X630" s="85" t="n"/>
      <c r="Y630" s="85" t="n"/>
      <c r="Z630" s="85" t="n"/>
    </row>
    <row r="631" ht="15.75" customHeight="1" s="86">
      <c r="T631" s="85" t="n"/>
      <c r="U631" s="85" t="n"/>
      <c r="V631" s="85" t="n"/>
      <c r="W631" s="85" t="n"/>
      <c r="X631" s="85" t="n"/>
      <c r="Y631" s="85" t="n"/>
      <c r="Z631" s="85" t="n"/>
    </row>
    <row r="632" ht="15.75" customHeight="1" s="86">
      <c r="T632" s="85" t="n"/>
      <c r="U632" s="85" t="n"/>
      <c r="V632" s="85" t="n"/>
      <c r="W632" s="85" t="n"/>
      <c r="X632" s="85" t="n"/>
      <c r="Y632" s="85" t="n"/>
      <c r="Z632" s="85" t="n"/>
    </row>
    <row r="633" ht="15.75" customHeight="1" s="86">
      <c r="T633" s="85" t="n"/>
      <c r="U633" s="85" t="n"/>
      <c r="V633" s="85" t="n"/>
      <c r="W633" s="85" t="n"/>
      <c r="X633" s="85" t="n"/>
      <c r="Y633" s="85" t="n"/>
      <c r="Z633" s="85" t="n"/>
    </row>
    <row r="634" ht="15.75" customHeight="1" s="86">
      <c r="T634" s="85" t="n"/>
      <c r="U634" s="85" t="n"/>
      <c r="V634" s="85" t="n"/>
      <c r="W634" s="85" t="n"/>
      <c r="X634" s="85" t="n"/>
      <c r="Y634" s="85" t="n"/>
      <c r="Z634" s="85" t="n"/>
    </row>
    <row r="635" ht="15.75" customHeight="1" s="86">
      <c r="T635" s="85" t="n"/>
      <c r="U635" s="85" t="n"/>
      <c r="V635" s="85" t="n"/>
      <c r="W635" s="85" t="n"/>
      <c r="X635" s="85" t="n"/>
      <c r="Y635" s="85" t="n"/>
      <c r="Z635" s="85" t="n"/>
    </row>
    <row r="636" ht="15.75" customHeight="1" s="86">
      <c r="T636" s="85" t="n"/>
      <c r="U636" s="85" t="n"/>
      <c r="V636" s="85" t="n"/>
      <c r="W636" s="85" t="n"/>
      <c r="X636" s="85" t="n"/>
      <c r="Y636" s="85" t="n"/>
      <c r="Z636" s="85" t="n"/>
    </row>
    <row r="637" ht="15.75" customHeight="1" s="86">
      <c r="T637" s="85" t="n"/>
      <c r="U637" s="85" t="n"/>
      <c r="V637" s="85" t="n"/>
      <c r="W637" s="85" t="n"/>
      <c r="X637" s="85" t="n"/>
      <c r="Y637" s="85" t="n"/>
      <c r="Z637" s="85" t="n"/>
    </row>
    <row r="638" ht="15.75" customHeight="1" s="86">
      <c r="T638" s="85" t="n"/>
      <c r="U638" s="85" t="n"/>
      <c r="V638" s="85" t="n"/>
      <c r="W638" s="85" t="n"/>
      <c r="X638" s="85" t="n"/>
      <c r="Y638" s="85" t="n"/>
      <c r="Z638" s="85" t="n"/>
    </row>
    <row r="639" ht="15.75" customHeight="1" s="86">
      <c r="T639" s="85" t="n"/>
      <c r="U639" s="85" t="n"/>
      <c r="V639" s="85" t="n"/>
      <c r="W639" s="85" t="n"/>
      <c r="X639" s="85" t="n"/>
      <c r="Y639" s="85" t="n"/>
      <c r="Z639" s="85" t="n"/>
    </row>
    <row r="640" ht="15.75" customHeight="1" s="86">
      <c r="T640" s="85" t="n"/>
      <c r="U640" s="85" t="n"/>
      <c r="V640" s="85" t="n"/>
      <c r="W640" s="85" t="n"/>
      <c r="X640" s="85" t="n"/>
      <c r="Y640" s="85" t="n"/>
      <c r="Z640" s="85" t="n"/>
    </row>
    <row r="641" ht="15.75" customHeight="1" s="86">
      <c r="T641" s="85" t="n"/>
      <c r="U641" s="85" t="n"/>
      <c r="V641" s="85" t="n"/>
      <c r="W641" s="85" t="n"/>
      <c r="X641" s="85" t="n"/>
      <c r="Y641" s="85" t="n"/>
      <c r="Z641" s="85" t="n"/>
    </row>
    <row r="642" ht="15.75" customHeight="1" s="86">
      <c r="T642" s="85" t="n"/>
      <c r="U642" s="85" t="n"/>
      <c r="V642" s="85" t="n"/>
      <c r="W642" s="85" t="n"/>
      <c r="X642" s="85" t="n"/>
      <c r="Y642" s="85" t="n"/>
      <c r="Z642" s="85" t="n"/>
    </row>
    <row r="643" ht="15.75" customHeight="1" s="86">
      <c r="T643" s="85" t="n"/>
      <c r="U643" s="85" t="n"/>
      <c r="V643" s="85" t="n"/>
      <c r="W643" s="85" t="n"/>
      <c r="X643" s="85" t="n"/>
      <c r="Y643" s="85" t="n"/>
      <c r="Z643" s="85" t="n"/>
    </row>
    <row r="644" ht="15.75" customHeight="1" s="86">
      <c r="T644" s="85" t="n"/>
      <c r="U644" s="85" t="n"/>
      <c r="V644" s="85" t="n"/>
      <c r="W644" s="85" t="n"/>
      <c r="X644" s="85" t="n"/>
      <c r="Y644" s="85" t="n"/>
      <c r="Z644" s="85" t="n"/>
    </row>
    <row r="645" ht="15.75" customHeight="1" s="86">
      <c r="T645" s="85" t="n"/>
      <c r="U645" s="85" t="n"/>
      <c r="V645" s="85" t="n"/>
      <c r="W645" s="85" t="n"/>
      <c r="X645" s="85" t="n"/>
      <c r="Y645" s="85" t="n"/>
      <c r="Z645" s="85" t="n"/>
    </row>
    <row r="646" ht="15.75" customHeight="1" s="86">
      <c r="T646" s="85" t="n"/>
      <c r="U646" s="85" t="n"/>
      <c r="V646" s="85" t="n"/>
      <c r="W646" s="85" t="n"/>
      <c r="X646" s="85" t="n"/>
      <c r="Y646" s="85" t="n"/>
      <c r="Z646" s="85" t="n"/>
    </row>
    <row r="647" ht="15.75" customHeight="1" s="86">
      <c r="T647" s="85" t="n"/>
      <c r="U647" s="85" t="n"/>
      <c r="V647" s="85" t="n"/>
      <c r="W647" s="85" t="n"/>
      <c r="X647" s="85" t="n"/>
      <c r="Y647" s="85" t="n"/>
      <c r="Z647" s="85" t="n"/>
    </row>
    <row r="648" ht="15.75" customHeight="1" s="86">
      <c r="T648" s="85" t="n"/>
      <c r="U648" s="85" t="n"/>
      <c r="V648" s="85" t="n"/>
      <c r="W648" s="85" t="n"/>
      <c r="X648" s="85" t="n"/>
      <c r="Y648" s="85" t="n"/>
      <c r="Z648" s="85" t="n"/>
    </row>
    <row r="649" ht="15.75" customHeight="1" s="86">
      <c r="T649" s="85" t="n"/>
      <c r="U649" s="85" t="n"/>
      <c r="V649" s="85" t="n"/>
      <c r="W649" s="85" t="n"/>
      <c r="X649" s="85" t="n"/>
      <c r="Y649" s="85" t="n"/>
      <c r="Z649" s="85" t="n"/>
    </row>
    <row r="650" ht="15.75" customHeight="1" s="86">
      <c r="T650" s="85" t="n"/>
      <c r="U650" s="85" t="n"/>
      <c r="V650" s="85" t="n"/>
      <c r="W650" s="85" t="n"/>
      <c r="X650" s="85" t="n"/>
      <c r="Y650" s="85" t="n"/>
      <c r="Z650" s="85" t="n"/>
    </row>
    <row r="651" ht="15.75" customHeight="1" s="86">
      <c r="T651" s="85" t="n"/>
      <c r="U651" s="85" t="n"/>
      <c r="V651" s="85" t="n"/>
      <c r="W651" s="85" t="n"/>
      <c r="X651" s="85" t="n"/>
      <c r="Y651" s="85" t="n"/>
      <c r="Z651" s="85" t="n"/>
    </row>
    <row r="652" ht="15.75" customHeight="1" s="86">
      <c r="T652" s="85" t="n"/>
      <c r="U652" s="85" t="n"/>
      <c r="V652" s="85" t="n"/>
      <c r="W652" s="85" t="n"/>
      <c r="X652" s="85" t="n"/>
      <c r="Y652" s="85" t="n"/>
      <c r="Z652" s="85" t="n"/>
    </row>
    <row r="653" ht="15.75" customHeight="1" s="86">
      <c r="T653" s="85" t="n"/>
      <c r="U653" s="85" t="n"/>
      <c r="V653" s="85" t="n"/>
      <c r="W653" s="85" t="n"/>
      <c r="X653" s="85" t="n"/>
      <c r="Y653" s="85" t="n"/>
      <c r="Z653" s="85" t="n"/>
    </row>
    <row r="654" ht="15.75" customHeight="1" s="86">
      <c r="T654" s="85" t="n"/>
      <c r="U654" s="85" t="n"/>
      <c r="V654" s="85" t="n"/>
      <c r="W654" s="85" t="n"/>
      <c r="X654" s="85" t="n"/>
      <c r="Y654" s="85" t="n"/>
      <c r="Z654" s="85" t="n"/>
    </row>
    <row r="655" ht="15.75" customHeight="1" s="86">
      <c r="T655" s="85" t="n"/>
      <c r="U655" s="85" t="n"/>
      <c r="V655" s="85" t="n"/>
      <c r="W655" s="85" t="n"/>
      <c r="X655" s="85" t="n"/>
      <c r="Y655" s="85" t="n"/>
      <c r="Z655" s="85" t="n"/>
    </row>
    <row r="656" ht="15.75" customHeight="1" s="86">
      <c r="T656" s="85" t="n"/>
      <c r="U656" s="85" t="n"/>
      <c r="V656" s="85" t="n"/>
      <c r="W656" s="85" t="n"/>
      <c r="X656" s="85" t="n"/>
      <c r="Y656" s="85" t="n"/>
      <c r="Z656" s="85" t="n"/>
    </row>
    <row r="657" ht="15.75" customHeight="1" s="86">
      <c r="T657" s="85" t="n"/>
      <c r="U657" s="85" t="n"/>
      <c r="V657" s="85" t="n"/>
      <c r="W657" s="85" t="n"/>
      <c r="X657" s="85" t="n"/>
      <c r="Y657" s="85" t="n"/>
      <c r="Z657" s="85" t="n"/>
    </row>
    <row r="658" ht="15.75" customHeight="1" s="86">
      <c r="T658" s="85" t="n"/>
      <c r="U658" s="85" t="n"/>
      <c r="V658" s="85" t="n"/>
      <c r="W658" s="85" t="n"/>
      <c r="X658" s="85" t="n"/>
      <c r="Y658" s="85" t="n"/>
      <c r="Z658" s="85" t="n"/>
    </row>
    <row r="659" ht="15.75" customHeight="1" s="86">
      <c r="T659" s="85" t="n"/>
      <c r="U659" s="85" t="n"/>
      <c r="V659" s="85" t="n"/>
      <c r="W659" s="85" t="n"/>
      <c r="X659" s="85" t="n"/>
      <c r="Y659" s="85" t="n"/>
      <c r="Z659" s="85" t="n"/>
    </row>
    <row r="660" ht="15.75" customHeight="1" s="86">
      <c r="T660" s="85" t="n"/>
      <c r="U660" s="85" t="n"/>
      <c r="V660" s="85" t="n"/>
      <c r="W660" s="85" t="n"/>
      <c r="X660" s="85" t="n"/>
      <c r="Y660" s="85" t="n"/>
      <c r="Z660" s="85" t="n"/>
    </row>
    <row r="661" ht="15.75" customHeight="1" s="86">
      <c r="T661" s="85" t="n"/>
      <c r="U661" s="85" t="n"/>
      <c r="V661" s="85" t="n"/>
      <c r="W661" s="85" t="n"/>
      <c r="X661" s="85" t="n"/>
      <c r="Y661" s="85" t="n"/>
      <c r="Z661" s="85" t="n"/>
    </row>
    <row r="662" ht="15.75" customHeight="1" s="86">
      <c r="T662" s="85" t="n"/>
      <c r="U662" s="85" t="n"/>
      <c r="V662" s="85" t="n"/>
      <c r="W662" s="85" t="n"/>
      <c r="X662" s="85" t="n"/>
      <c r="Y662" s="85" t="n"/>
      <c r="Z662" s="85" t="n"/>
    </row>
    <row r="663" ht="15.75" customHeight="1" s="86">
      <c r="T663" s="85" t="n"/>
      <c r="U663" s="85" t="n"/>
      <c r="V663" s="85" t="n"/>
      <c r="W663" s="85" t="n"/>
      <c r="X663" s="85" t="n"/>
      <c r="Y663" s="85" t="n"/>
      <c r="Z663" s="85" t="n"/>
    </row>
    <row r="664" ht="15.75" customHeight="1" s="86">
      <c r="T664" s="85" t="n"/>
      <c r="U664" s="85" t="n"/>
      <c r="V664" s="85" t="n"/>
      <c r="W664" s="85" t="n"/>
      <c r="X664" s="85" t="n"/>
      <c r="Y664" s="85" t="n"/>
      <c r="Z664" s="85" t="n"/>
    </row>
    <row r="665" ht="15.75" customHeight="1" s="86">
      <c r="T665" s="85" t="n"/>
      <c r="U665" s="85" t="n"/>
      <c r="V665" s="85" t="n"/>
      <c r="W665" s="85" t="n"/>
      <c r="X665" s="85" t="n"/>
      <c r="Y665" s="85" t="n"/>
      <c r="Z665" s="85" t="n"/>
    </row>
    <row r="666" ht="15.75" customHeight="1" s="86">
      <c r="T666" s="85" t="n"/>
      <c r="U666" s="85" t="n"/>
      <c r="V666" s="85" t="n"/>
      <c r="W666" s="85" t="n"/>
      <c r="X666" s="85" t="n"/>
      <c r="Y666" s="85" t="n"/>
      <c r="Z666" s="85" t="n"/>
    </row>
    <row r="667" ht="15.75" customHeight="1" s="86">
      <c r="T667" s="85" t="n"/>
      <c r="U667" s="85" t="n"/>
      <c r="V667" s="85" t="n"/>
      <c r="W667" s="85" t="n"/>
      <c r="X667" s="85" t="n"/>
      <c r="Y667" s="85" t="n"/>
      <c r="Z667" s="85" t="n"/>
    </row>
    <row r="668" ht="15.75" customHeight="1" s="86">
      <c r="T668" s="85" t="n"/>
      <c r="U668" s="85" t="n"/>
      <c r="V668" s="85" t="n"/>
      <c r="W668" s="85" t="n"/>
      <c r="X668" s="85" t="n"/>
      <c r="Y668" s="85" t="n"/>
      <c r="Z668" s="85" t="n"/>
    </row>
    <row r="669" ht="15.75" customHeight="1" s="86">
      <c r="T669" s="85" t="n"/>
      <c r="U669" s="85" t="n"/>
      <c r="V669" s="85" t="n"/>
      <c r="W669" s="85" t="n"/>
      <c r="X669" s="85" t="n"/>
      <c r="Y669" s="85" t="n"/>
      <c r="Z669" s="85" t="n"/>
    </row>
    <row r="670" ht="15.75" customHeight="1" s="86">
      <c r="T670" s="85" t="n"/>
      <c r="U670" s="85" t="n"/>
      <c r="V670" s="85" t="n"/>
      <c r="W670" s="85" t="n"/>
      <c r="X670" s="85" t="n"/>
      <c r="Y670" s="85" t="n"/>
      <c r="Z670" s="85" t="n"/>
    </row>
    <row r="671" ht="15.75" customHeight="1" s="86">
      <c r="T671" s="85" t="n"/>
      <c r="U671" s="85" t="n"/>
      <c r="V671" s="85" t="n"/>
      <c r="W671" s="85" t="n"/>
      <c r="X671" s="85" t="n"/>
      <c r="Y671" s="85" t="n"/>
      <c r="Z671" s="85" t="n"/>
    </row>
    <row r="672" ht="15.75" customHeight="1" s="86">
      <c r="T672" s="85" t="n"/>
      <c r="U672" s="85" t="n"/>
      <c r="V672" s="85" t="n"/>
      <c r="W672" s="85" t="n"/>
      <c r="X672" s="85" t="n"/>
      <c r="Y672" s="85" t="n"/>
      <c r="Z672" s="85" t="n"/>
    </row>
    <row r="673" ht="15.75" customHeight="1" s="86">
      <c r="T673" s="85" t="n"/>
      <c r="U673" s="85" t="n"/>
      <c r="V673" s="85" t="n"/>
      <c r="W673" s="85" t="n"/>
      <c r="X673" s="85" t="n"/>
      <c r="Y673" s="85" t="n"/>
      <c r="Z673" s="85" t="n"/>
    </row>
    <row r="674" ht="15.75" customHeight="1" s="86">
      <c r="T674" s="85" t="n"/>
      <c r="U674" s="85" t="n"/>
      <c r="V674" s="85" t="n"/>
      <c r="W674" s="85" t="n"/>
      <c r="X674" s="85" t="n"/>
      <c r="Y674" s="85" t="n"/>
      <c r="Z674" s="85" t="n"/>
    </row>
    <row r="675" ht="15.75" customHeight="1" s="86">
      <c r="T675" s="85" t="n"/>
      <c r="U675" s="85" t="n"/>
      <c r="V675" s="85" t="n"/>
      <c r="W675" s="85" t="n"/>
      <c r="X675" s="85" t="n"/>
      <c r="Y675" s="85" t="n"/>
      <c r="Z675" s="85" t="n"/>
    </row>
    <row r="676" ht="15.75" customHeight="1" s="86">
      <c r="T676" s="85" t="n"/>
      <c r="U676" s="85" t="n"/>
      <c r="V676" s="85" t="n"/>
      <c r="W676" s="85" t="n"/>
      <c r="X676" s="85" t="n"/>
      <c r="Y676" s="85" t="n"/>
      <c r="Z676" s="85" t="n"/>
    </row>
    <row r="677" ht="15.75" customHeight="1" s="86">
      <c r="T677" s="85" t="n"/>
      <c r="U677" s="85" t="n"/>
      <c r="V677" s="85" t="n"/>
      <c r="W677" s="85" t="n"/>
      <c r="X677" s="85" t="n"/>
      <c r="Y677" s="85" t="n"/>
      <c r="Z677" s="85" t="n"/>
    </row>
    <row r="678" ht="15.75" customHeight="1" s="86">
      <c r="T678" s="85" t="n"/>
      <c r="U678" s="85" t="n"/>
      <c r="V678" s="85" t="n"/>
      <c r="W678" s="85" t="n"/>
      <c r="X678" s="85" t="n"/>
      <c r="Y678" s="85" t="n"/>
      <c r="Z678" s="85" t="n"/>
    </row>
    <row r="679" ht="15.75" customHeight="1" s="86">
      <c r="T679" s="85" t="n"/>
      <c r="U679" s="85" t="n"/>
      <c r="V679" s="85" t="n"/>
      <c r="W679" s="85" t="n"/>
      <c r="X679" s="85" t="n"/>
      <c r="Y679" s="85" t="n"/>
      <c r="Z679" s="85" t="n"/>
    </row>
    <row r="680" ht="15.75" customHeight="1" s="86">
      <c r="T680" s="85" t="n"/>
      <c r="U680" s="85" t="n"/>
      <c r="V680" s="85" t="n"/>
      <c r="W680" s="85" t="n"/>
      <c r="X680" s="85" t="n"/>
      <c r="Y680" s="85" t="n"/>
      <c r="Z680" s="85" t="n"/>
    </row>
    <row r="681" ht="15.75" customHeight="1" s="86">
      <c r="T681" s="85" t="n"/>
      <c r="U681" s="85" t="n"/>
      <c r="V681" s="85" t="n"/>
      <c r="W681" s="85" t="n"/>
      <c r="X681" s="85" t="n"/>
      <c r="Y681" s="85" t="n"/>
      <c r="Z681" s="85" t="n"/>
    </row>
    <row r="682" ht="15.75" customHeight="1" s="86">
      <c r="T682" s="85" t="n"/>
      <c r="U682" s="85" t="n"/>
      <c r="V682" s="85" t="n"/>
      <c r="W682" s="85" t="n"/>
      <c r="X682" s="85" t="n"/>
      <c r="Y682" s="85" t="n"/>
      <c r="Z682" s="85" t="n"/>
    </row>
    <row r="683" ht="15.75" customHeight="1" s="86">
      <c r="T683" s="85" t="n"/>
      <c r="U683" s="85" t="n"/>
      <c r="V683" s="85" t="n"/>
      <c r="W683" s="85" t="n"/>
      <c r="X683" s="85" t="n"/>
      <c r="Y683" s="85" t="n"/>
      <c r="Z683" s="85" t="n"/>
    </row>
    <row r="684" ht="15.75" customHeight="1" s="86">
      <c r="T684" s="85" t="n"/>
      <c r="U684" s="85" t="n"/>
      <c r="V684" s="85" t="n"/>
      <c r="W684" s="85" t="n"/>
      <c r="X684" s="85" t="n"/>
      <c r="Y684" s="85" t="n"/>
      <c r="Z684" s="85" t="n"/>
    </row>
    <row r="685" ht="15.75" customHeight="1" s="86">
      <c r="T685" s="85" t="n"/>
      <c r="U685" s="85" t="n"/>
      <c r="V685" s="85" t="n"/>
      <c r="W685" s="85" t="n"/>
      <c r="X685" s="85" t="n"/>
      <c r="Y685" s="85" t="n"/>
      <c r="Z685" s="85" t="n"/>
    </row>
    <row r="686" ht="15.75" customHeight="1" s="86">
      <c r="T686" s="85" t="n"/>
      <c r="U686" s="85" t="n"/>
      <c r="V686" s="85" t="n"/>
      <c r="W686" s="85" t="n"/>
      <c r="X686" s="85" t="n"/>
      <c r="Y686" s="85" t="n"/>
      <c r="Z686" s="85" t="n"/>
    </row>
    <row r="687" ht="15.75" customHeight="1" s="86">
      <c r="T687" s="85" t="n"/>
      <c r="U687" s="85" t="n"/>
      <c r="V687" s="85" t="n"/>
      <c r="W687" s="85" t="n"/>
      <c r="X687" s="85" t="n"/>
      <c r="Y687" s="85" t="n"/>
      <c r="Z687" s="85" t="n"/>
    </row>
    <row r="688" ht="15.75" customHeight="1" s="86">
      <c r="T688" s="85" t="n"/>
      <c r="U688" s="85" t="n"/>
      <c r="V688" s="85" t="n"/>
      <c r="W688" s="85" t="n"/>
      <c r="X688" s="85" t="n"/>
      <c r="Y688" s="85" t="n"/>
      <c r="Z688" s="85" t="n"/>
    </row>
    <row r="689" ht="15.75" customHeight="1" s="86">
      <c r="T689" s="85" t="n"/>
      <c r="U689" s="85" t="n"/>
      <c r="V689" s="85" t="n"/>
      <c r="W689" s="85" t="n"/>
      <c r="X689" s="85" t="n"/>
      <c r="Y689" s="85" t="n"/>
      <c r="Z689" s="85" t="n"/>
    </row>
    <row r="690" ht="15.75" customHeight="1" s="86">
      <c r="T690" s="85" t="n"/>
      <c r="U690" s="85" t="n"/>
      <c r="V690" s="85" t="n"/>
      <c r="W690" s="85" t="n"/>
      <c r="X690" s="85" t="n"/>
      <c r="Y690" s="85" t="n"/>
      <c r="Z690" s="85" t="n"/>
    </row>
    <row r="691" ht="15.75" customHeight="1" s="86">
      <c r="T691" s="85" t="n"/>
      <c r="U691" s="85" t="n"/>
      <c r="V691" s="85" t="n"/>
      <c r="W691" s="85" t="n"/>
      <c r="X691" s="85" t="n"/>
      <c r="Y691" s="85" t="n"/>
      <c r="Z691" s="85" t="n"/>
    </row>
    <row r="692" ht="15.75" customHeight="1" s="86">
      <c r="T692" s="85" t="n"/>
      <c r="U692" s="85" t="n"/>
      <c r="V692" s="85" t="n"/>
      <c r="W692" s="85" t="n"/>
      <c r="X692" s="85" t="n"/>
      <c r="Y692" s="85" t="n"/>
      <c r="Z692" s="85" t="n"/>
    </row>
    <row r="693" ht="15.75" customHeight="1" s="86">
      <c r="T693" s="85" t="n"/>
      <c r="U693" s="85" t="n"/>
      <c r="V693" s="85" t="n"/>
      <c r="W693" s="85" t="n"/>
      <c r="X693" s="85" t="n"/>
      <c r="Y693" s="85" t="n"/>
      <c r="Z693" s="85" t="n"/>
    </row>
    <row r="694" ht="15.75" customHeight="1" s="86">
      <c r="T694" s="85" t="n"/>
      <c r="U694" s="85" t="n"/>
      <c r="V694" s="85" t="n"/>
      <c r="W694" s="85" t="n"/>
      <c r="X694" s="85" t="n"/>
      <c r="Y694" s="85" t="n"/>
      <c r="Z694" s="85" t="n"/>
    </row>
    <row r="695" ht="15.75" customHeight="1" s="86">
      <c r="T695" s="85" t="n"/>
      <c r="U695" s="85" t="n"/>
      <c r="V695" s="85" t="n"/>
      <c r="W695" s="85" t="n"/>
      <c r="X695" s="85" t="n"/>
      <c r="Y695" s="85" t="n"/>
      <c r="Z695" s="85" t="n"/>
    </row>
    <row r="696" ht="15.75" customHeight="1" s="86">
      <c r="T696" s="85" t="n"/>
      <c r="U696" s="85" t="n"/>
      <c r="V696" s="85" t="n"/>
      <c r="W696" s="85" t="n"/>
      <c r="X696" s="85" t="n"/>
      <c r="Y696" s="85" t="n"/>
      <c r="Z696" s="85" t="n"/>
    </row>
    <row r="697" ht="15.75" customHeight="1" s="86">
      <c r="T697" s="85" t="n"/>
      <c r="U697" s="85" t="n"/>
      <c r="V697" s="85" t="n"/>
      <c r="W697" s="85" t="n"/>
      <c r="X697" s="85" t="n"/>
      <c r="Y697" s="85" t="n"/>
      <c r="Z697" s="85" t="n"/>
    </row>
    <row r="698" ht="15.75" customHeight="1" s="86">
      <c r="T698" s="85" t="n"/>
      <c r="U698" s="85" t="n"/>
      <c r="V698" s="85" t="n"/>
      <c r="W698" s="85" t="n"/>
      <c r="X698" s="85" t="n"/>
      <c r="Y698" s="85" t="n"/>
      <c r="Z698" s="85" t="n"/>
    </row>
    <row r="699" ht="15.75" customHeight="1" s="86">
      <c r="T699" s="85" t="n"/>
      <c r="U699" s="85" t="n"/>
      <c r="V699" s="85" t="n"/>
      <c r="W699" s="85" t="n"/>
      <c r="X699" s="85" t="n"/>
      <c r="Y699" s="85" t="n"/>
      <c r="Z699" s="85" t="n"/>
    </row>
    <row r="700" ht="15.75" customHeight="1" s="86">
      <c r="T700" s="85" t="n"/>
      <c r="U700" s="85" t="n"/>
      <c r="V700" s="85" t="n"/>
      <c r="W700" s="85" t="n"/>
      <c r="X700" s="85" t="n"/>
      <c r="Y700" s="85" t="n"/>
      <c r="Z700" s="85" t="n"/>
    </row>
    <row r="701" ht="15.75" customHeight="1" s="86">
      <c r="T701" s="85" t="n"/>
      <c r="U701" s="85" t="n"/>
      <c r="V701" s="85" t="n"/>
      <c r="W701" s="85" t="n"/>
      <c r="X701" s="85" t="n"/>
      <c r="Y701" s="85" t="n"/>
      <c r="Z701" s="85" t="n"/>
    </row>
    <row r="702" ht="15.75" customHeight="1" s="86">
      <c r="T702" s="85" t="n"/>
      <c r="U702" s="85" t="n"/>
      <c r="V702" s="85" t="n"/>
      <c r="W702" s="85" t="n"/>
      <c r="X702" s="85" t="n"/>
      <c r="Y702" s="85" t="n"/>
      <c r="Z702" s="85" t="n"/>
    </row>
    <row r="703" ht="15.75" customHeight="1" s="86">
      <c r="T703" s="85" t="n"/>
      <c r="U703" s="85" t="n"/>
      <c r="V703" s="85" t="n"/>
      <c r="W703" s="85" t="n"/>
      <c r="X703" s="85" t="n"/>
      <c r="Y703" s="85" t="n"/>
      <c r="Z703" s="85" t="n"/>
    </row>
    <row r="704" ht="15.75" customHeight="1" s="86">
      <c r="T704" s="85" t="n"/>
      <c r="U704" s="85" t="n"/>
      <c r="V704" s="85" t="n"/>
      <c r="W704" s="85" t="n"/>
      <c r="X704" s="85" t="n"/>
      <c r="Y704" s="85" t="n"/>
      <c r="Z704" s="85" t="n"/>
    </row>
    <row r="705" ht="15.75" customHeight="1" s="86">
      <c r="T705" s="85" t="n"/>
      <c r="U705" s="85" t="n"/>
      <c r="V705" s="85" t="n"/>
      <c r="W705" s="85" t="n"/>
      <c r="X705" s="85" t="n"/>
      <c r="Y705" s="85" t="n"/>
      <c r="Z705" s="85" t="n"/>
    </row>
    <row r="706" ht="15.75" customHeight="1" s="86">
      <c r="T706" s="85" t="n"/>
      <c r="U706" s="85" t="n"/>
      <c r="V706" s="85" t="n"/>
      <c r="W706" s="85" t="n"/>
      <c r="X706" s="85" t="n"/>
      <c r="Y706" s="85" t="n"/>
      <c r="Z706" s="85" t="n"/>
    </row>
    <row r="707" ht="15.75" customHeight="1" s="86">
      <c r="T707" s="85" t="n"/>
      <c r="U707" s="85" t="n"/>
      <c r="V707" s="85" t="n"/>
      <c r="W707" s="85" t="n"/>
      <c r="X707" s="85" t="n"/>
      <c r="Y707" s="85" t="n"/>
      <c r="Z707" s="85" t="n"/>
    </row>
    <row r="708" ht="15.75" customHeight="1" s="86">
      <c r="T708" s="85" t="n"/>
      <c r="U708" s="85" t="n"/>
      <c r="V708" s="85" t="n"/>
      <c r="W708" s="85" t="n"/>
      <c r="X708" s="85" t="n"/>
      <c r="Y708" s="85" t="n"/>
      <c r="Z708" s="85" t="n"/>
    </row>
    <row r="709" ht="15.75" customHeight="1" s="86">
      <c r="T709" s="85" t="n"/>
      <c r="U709" s="85" t="n"/>
      <c r="V709" s="85" t="n"/>
      <c r="W709" s="85" t="n"/>
      <c r="X709" s="85" t="n"/>
      <c r="Y709" s="85" t="n"/>
      <c r="Z709" s="85" t="n"/>
    </row>
    <row r="710" ht="15.75" customHeight="1" s="86">
      <c r="T710" s="85" t="n"/>
      <c r="U710" s="85" t="n"/>
      <c r="V710" s="85" t="n"/>
      <c r="W710" s="85" t="n"/>
      <c r="X710" s="85" t="n"/>
      <c r="Y710" s="85" t="n"/>
      <c r="Z710" s="85" t="n"/>
    </row>
    <row r="711" ht="15.75" customHeight="1" s="86">
      <c r="T711" s="85" t="n"/>
      <c r="U711" s="85" t="n"/>
      <c r="V711" s="85" t="n"/>
      <c r="W711" s="85" t="n"/>
      <c r="X711" s="85" t="n"/>
      <c r="Y711" s="85" t="n"/>
      <c r="Z711" s="85" t="n"/>
    </row>
    <row r="712" ht="15.75" customHeight="1" s="86">
      <c r="T712" s="85" t="n"/>
      <c r="U712" s="85" t="n"/>
      <c r="V712" s="85" t="n"/>
      <c r="W712" s="85" t="n"/>
      <c r="X712" s="85" t="n"/>
      <c r="Y712" s="85" t="n"/>
      <c r="Z712" s="85" t="n"/>
    </row>
    <row r="713" ht="15.75" customHeight="1" s="86">
      <c r="T713" s="85" t="n"/>
      <c r="U713" s="85" t="n"/>
      <c r="V713" s="85" t="n"/>
      <c r="W713" s="85" t="n"/>
      <c r="X713" s="85" t="n"/>
      <c r="Y713" s="85" t="n"/>
      <c r="Z713" s="85" t="n"/>
    </row>
    <row r="714" ht="15.75" customHeight="1" s="86">
      <c r="T714" s="85" t="n"/>
      <c r="U714" s="85" t="n"/>
      <c r="V714" s="85" t="n"/>
      <c r="W714" s="85" t="n"/>
      <c r="X714" s="85" t="n"/>
      <c r="Y714" s="85" t="n"/>
      <c r="Z714" s="85" t="n"/>
    </row>
    <row r="715" ht="15.75" customHeight="1" s="86">
      <c r="T715" s="85" t="n"/>
      <c r="U715" s="85" t="n"/>
      <c r="V715" s="85" t="n"/>
      <c r="W715" s="85" t="n"/>
      <c r="X715" s="85" t="n"/>
      <c r="Y715" s="85" t="n"/>
      <c r="Z715" s="85" t="n"/>
    </row>
    <row r="716" ht="15.75" customHeight="1" s="86">
      <c r="T716" s="85" t="n"/>
      <c r="U716" s="85" t="n"/>
      <c r="V716" s="85" t="n"/>
      <c r="W716" s="85" t="n"/>
      <c r="X716" s="85" t="n"/>
      <c r="Y716" s="85" t="n"/>
      <c r="Z716" s="85" t="n"/>
    </row>
    <row r="717" ht="15.75" customHeight="1" s="86">
      <c r="T717" s="85" t="n"/>
      <c r="U717" s="85" t="n"/>
      <c r="V717" s="85" t="n"/>
      <c r="W717" s="85" t="n"/>
      <c r="X717" s="85" t="n"/>
      <c r="Y717" s="85" t="n"/>
      <c r="Z717" s="85" t="n"/>
    </row>
    <row r="718" ht="15.75" customHeight="1" s="86">
      <c r="T718" s="85" t="n"/>
      <c r="U718" s="85" t="n"/>
      <c r="V718" s="85" t="n"/>
      <c r="W718" s="85" t="n"/>
      <c r="X718" s="85" t="n"/>
      <c r="Y718" s="85" t="n"/>
      <c r="Z718" s="85" t="n"/>
    </row>
    <row r="719" ht="15.75" customHeight="1" s="86">
      <c r="T719" s="85" t="n"/>
      <c r="U719" s="85" t="n"/>
      <c r="V719" s="85" t="n"/>
      <c r="W719" s="85" t="n"/>
      <c r="X719" s="85" t="n"/>
      <c r="Y719" s="85" t="n"/>
      <c r="Z719" s="85" t="n"/>
    </row>
    <row r="720" ht="15.75" customHeight="1" s="86">
      <c r="T720" s="85" t="n"/>
      <c r="U720" s="85" t="n"/>
      <c r="V720" s="85" t="n"/>
      <c r="W720" s="85" t="n"/>
      <c r="X720" s="85" t="n"/>
      <c r="Y720" s="85" t="n"/>
      <c r="Z720" s="85" t="n"/>
    </row>
    <row r="721" ht="15.75" customHeight="1" s="86">
      <c r="T721" s="85" t="n"/>
      <c r="U721" s="85" t="n"/>
      <c r="V721" s="85" t="n"/>
      <c r="W721" s="85" t="n"/>
      <c r="X721" s="85" t="n"/>
      <c r="Y721" s="85" t="n"/>
      <c r="Z721" s="85" t="n"/>
    </row>
    <row r="722" ht="15.75" customHeight="1" s="86">
      <c r="T722" s="85" t="n"/>
      <c r="U722" s="85" t="n"/>
      <c r="V722" s="85" t="n"/>
      <c r="W722" s="85" t="n"/>
      <c r="X722" s="85" t="n"/>
      <c r="Y722" s="85" t="n"/>
      <c r="Z722" s="85" t="n"/>
    </row>
    <row r="723" ht="15.75" customHeight="1" s="86">
      <c r="T723" s="85" t="n"/>
      <c r="U723" s="85" t="n"/>
      <c r="V723" s="85" t="n"/>
      <c r="W723" s="85" t="n"/>
      <c r="X723" s="85" t="n"/>
      <c r="Y723" s="85" t="n"/>
      <c r="Z723" s="85" t="n"/>
    </row>
    <row r="724" ht="15.75" customHeight="1" s="86">
      <c r="T724" s="85" t="n"/>
      <c r="U724" s="85" t="n"/>
      <c r="V724" s="85" t="n"/>
      <c r="W724" s="85" t="n"/>
      <c r="X724" s="85" t="n"/>
      <c r="Y724" s="85" t="n"/>
      <c r="Z724" s="85" t="n"/>
    </row>
    <row r="725" ht="15.75" customHeight="1" s="86">
      <c r="T725" s="85" t="n"/>
      <c r="U725" s="85" t="n"/>
      <c r="V725" s="85" t="n"/>
      <c r="W725" s="85" t="n"/>
      <c r="X725" s="85" t="n"/>
      <c r="Y725" s="85" t="n"/>
      <c r="Z725" s="85" t="n"/>
    </row>
    <row r="726" ht="15.75" customHeight="1" s="86">
      <c r="T726" s="85" t="n"/>
      <c r="U726" s="85" t="n"/>
      <c r="V726" s="85" t="n"/>
      <c r="W726" s="85" t="n"/>
      <c r="X726" s="85" t="n"/>
      <c r="Y726" s="85" t="n"/>
      <c r="Z726" s="85" t="n"/>
    </row>
    <row r="727" ht="15.75" customHeight="1" s="86">
      <c r="T727" s="85" t="n"/>
      <c r="U727" s="85" t="n"/>
      <c r="V727" s="85" t="n"/>
      <c r="W727" s="85" t="n"/>
      <c r="X727" s="85" t="n"/>
      <c r="Y727" s="85" t="n"/>
      <c r="Z727" s="85" t="n"/>
    </row>
    <row r="728" ht="15.75" customHeight="1" s="86">
      <c r="T728" s="85" t="n"/>
      <c r="U728" s="85" t="n"/>
      <c r="V728" s="85" t="n"/>
      <c r="W728" s="85" t="n"/>
      <c r="X728" s="85" t="n"/>
      <c r="Y728" s="85" t="n"/>
      <c r="Z728" s="85" t="n"/>
    </row>
    <row r="729" ht="15.75" customHeight="1" s="86">
      <c r="T729" s="85" t="n"/>
      <c r="U729" s="85" t="n"/>
      <c r="V729" s="85" t="n"/>
      <c r="W729" s="85" t="n"/>
      <c r="X729" s="85" t="n"/>
      <c r="Y729" s="85" t="n"/>
      <c r="Z729" s="85" t="n"/>
    </row>
    <row r="730" ht="15.75" customHeight="1" s="86">
      <c r="T730" s="85" t="n"/>
      <c r="U730" s="85" t="n"/>
      <c r="V730" s="85" t="n"/>
      <c r="W730" s="85" t="n"/>
      <c r="X730" s="85" t="n"/>
      <c r="Y730" s="85" t="n"/>
      <c r="Z730" s="85" t="n"/>
    </row>
    <row r="731" ht="15.75" customHeight="1" s="86">
      <c r="T731" s="85" t="n"/>
      <c r="U731" s="85" t="n"/>
      <c r="V731" s="85" t="n"/>
      <c r="W731" s="85" t="n"/>
      <c r="X731" s="85" t="n"/>
      <c r="Y731" s="85" t="n"/>
      <c r="Z731" s="85" t="n"/>
    </row>
    <row r="732" ht="15.75" customHeight="1" s="86">
      <c r="T732" s="85" t="n"/>
      <c r="U732" s="85" t="n"/>
      <c r="V732" s="85" t="n"/>
      <c r="W732" s="85" t="n"/>
      <c r="X732" s="85" t="n"/>
      <c r="Y732" s="85" t="n"/>
      <c r="Z732" s="85" t="n"/>
    </row>
    <row r="733" ht="15.75" customHeight="1" s="86">
      <c r="T733" s="85" t="n"/>
      <c r="U733" s="85" t="n"/>
      <c r="V733" s="85" t="n"/>
      <c r="W733" s="85" t="n"/>
      <c r="X733" s="85" t="n"/>
      <c r="Y733" s="85" t="n"/>
      <c r="Z733" s="85" t="n"/>
    </row>
    <row r="734" ht="15.75" customHeight="1" s="86">
      <c r="T734" s="85" t="n"/>
      <c r="U734" s="85" t="n"/>
      <c r="V734" s="85" t="n"/>
      <c r="W734" s="85" t="n"/>
      <c r="X734" s="85" t="n"/>
      <c r="Y734" s="85" t="n"/>
      <c r="Z734" s="85" t="n"/>
    </row>
    <row r="735" ht="15.75" customHeight="1" s="86">
      <c r="T735" s="85" t="n"/>
      <c r="U735" s="85" t="n"/>
      <c r="V735" s="85" t="n"/>
      <c r="W735" s="85" t="n"/>
      <c r="X735" s="85" t="n"/>
      <c r="Y735" s="85" t="n"/>
      <c r="Z735" s="85" t="n"/>
    </row>
    <row r="736" ht="15.75" customHeight="1" s="86">
      <c r="T736" s="85" t="n"/>
      <c r="U736" s="85" t="n"/>
      <c r="V736" s="85" t="n"/>
      <c r="W736" s="85" t="n"/>
      <c r="X736" s="85" t="n"/>
      <c r="Y736" s="85" t="n"/>
      <c r="Z736" s="85" t="n"/>
    </row>
    <row r="737" ht="15.75" customHeight="1" s="86">
      <c r="T737" s="85" t="n"/>
      <c r="U737" s="85" t="n"/>
      <c r="V737" s="85" t="n"/>
      <c r="W737" s="85" t="n"/>
      <c r="X737" s="85" t="n"/>
      <c r="Y737" s="85" t="n"/>
      <c r="Z737" s="85" t="n"/>
    </row>
    <row r="738" ht="15.75" customHeight="1" s="86">
      <c r="T738" s="85" t="n"/>
      <c r="U738" s="85" t="n"/>
      <c r="V738" s="85" t="n"/>
      <c r="W738" s="85" t="n"/>
      <c r="X738" s="85" t="n"/>
      <c r="Y738" s="85" t="n"/>
      <c r="Z738" s="85" t="n"/>
    </row>
    <row r="739" ht="15.75" customHeight="1" s="86">
      <c r="T739" s="85" t="n"/>
      <c r="U739" s="85" t="n"/>
      <c r="V739" s="85" t="n"/>
      <c r="W739" s="85" t="n"/>
      <c r="X739" s="85" t="n"/>
      <c r="Y739" s="85" t="n"/>
      <c r="Z739" s="85" t="n"/>
    </row>
    <row r="740" ht="15.75" customHeight="1" s="86">
      <c r="T740" s="85" t="n"/>
      <c r="U740" s="85" t="n"/>
      <c r="V740" s="85" t="n"/>
      <c r="W740" s="85" t="n"/>
      <c r="X740" s="85" t="n"/>
      <c r="Y740" s="85" t="n"/>
      <c r="Z740" s="85" t="n"/>
    </row>
    <row r="741" ht="15.75" customHeight="1" s="86">
      <c r="T741" s="85" t="n"/>
      <c r="U741" s="85" t="n"/>
      <c r="V741" s="85" t="n"/>
      <c r="W741" s="85" t="n"/>
      <c r="X741" s="85" t="n"/>
      <c r="Y741" s="85" t="n"/>
      <c r="Z741" s="85" t="n"/>
    </row>
    <row r="742" ht="15.75" customHeight="1" s="86">
      <c r="T742" s="85" t="n"/>
      <c r="U742" s="85" t="n"/>
      <c r="V742" s="85" t="n"/>
      <c r="W742" s="85" t="n"/>
      <c r="X742" s="85" t="n"/>
      <c r="Y742" s="85" t="n"/>
      <c r="Z742" s="85" t="n"/>
    </row>
    <row r="743" ht="15.75" customHeight="1" s="86">
      <c r="T743" s="85" t="n"/>
      <c r="U743" s="85" t="n"/>
      <c r="V743" s="85" t="n"/>
      <c r="W743" s="85" t="n"/>
      <c r="X743" s="85" t="n"/>
      <c r="Y743" s="85" t="n"/>
      <c r="Z743" s="85" t="n"/>
    </row>
    <row r="744" ht="15.75" customHeight="1" s="86">
      <c r="T744" s="85" t="n"/>
      <c r="U744" s="85" t="n"/>
      <c r="V744" s="85" t="n"/>
      <c r="W744" s="85" t="n"/>
      <c r="X744" s="85" t="n"/>
      <c r="Y744" s="85" t="n"/>
      <c r="Z744" s="85" t="n"/>
    </row>
    <row r="745" ht="15.75" customHeight="1" s="86">
      <c r="T745" s="85" t="n"/>
      <c r="U745" s="85" t="n"/>
      <c r="V745" s="85" t="n"/>
      <c r="W745" s="85" t="n"/>
      <c r="X745" s="85" t="n"/>
      <c r="Y745" s="85" t="n"/>
      <c r="Z745" s="85" t="n"/>
    </row>
    <row r="746" ht="15.75" customHeight="1" s="86">
      <c r="T746" s="85" t="n"/>
      <c r="U746" s="85" t="n"/>
      <c r="V746" s="85" t="n"/>
      <c r="W746" s="85" t="n"/>
      <c r="X746" s="85" t="n"/>
      <c r="Y746" s="85" t="n"/>
      <c r="Z746" s="85" t="n"/>
    </row>
    <row r="747" ht="15.75" customHeight="1" s="86">
      <c r="T747" s="85" t="n"/>
      <c r="U747" s="85" t="n"/>
      <c r="V747" s="85" t="n"/>
      <c r="W747" s="85" t="n"/>
      <c r="X747" s="85" t="n"/>
      <c r="Y747" s="85" t="n"/>
      <c r="Z747" s="85" t="n"/>
    </row>
    <row r="748" ht="15.75" customHeight="1" s="86">
      <c r="T748" s="85" t="n"/>
      <c r="U748" s="85" t="n"/>
      <c r="V748" s="85" t="n"/>
      <c r="W748" s="85" t="n"/>
      <c r="X748" s="85" t="n"/>
      <c r="Y748" s="85" t="n"/>
      <c r="Z748" s="85" t="n"/>
    </row>
    <row r="749" ht="15.75" customHeight="1" s="86">
      <c r="T749" s="85" t="n"/>
      <c r="U749" s="85" t="n"/>
      <c r="V749" s="85" t="n"/>
      <c r="W749" s="85" t="n"/>
      <c r="X749" s="85" t="n"/>
      <c r="Y749" s="85" t="n"/>
      <c r="Z749" s="85" t="n"/>
    </row>
    <row r="750" ht="15.75" customHeight="1" s="86">
      <c r="T750" s="85" t="n"/>
      <c r="U750" s="85" t="n"/>
      <c r="V750" s="85" t="n"/>
      <c r="W750" s="85" t="n"/>
      <c r="X750" s="85" t="n"/>
      <c r="Y750" s="85" t="n"/>
      <c r="Z750" s="85" t="n"/>
    </row>
    <row r="751" ht="15.75" customHeight="1" s="86">
      <c r="T751" s="85" t="n"/>
      <c r="U751" s="85" t="n"/>
      <c r="V751" s="85" t="n"/>
      <c r="W751" s="85" t="n"/>
      <c r="X751" s="85" t="n"/>
      <c r="Y751" s="85" t="n"/>
      <c r="Z751" s="85" t="n"/>
    </row>
    <row r="752" ht="15.75" customHeight="1" s="86">
      <c r="T752" s="85" t="n"/>
      <c r="U752" s="85" t="n"/>
      <c r="V752" s="85" t="n"/>
      <c r="W752" s="85" t="n"/>
      <c r="X752" s="85" t="n"/>
      <c r="Y752" s="85" t="n"/>
      <c r="Z752" s="85" t="n"/>
    </row>
    <row r="753" ht="15.75" customHeight="1" s="86">
      <c r="T753" s="85" t="n"/>
      <c r="U753" s="85" t="n"/>
      <c r="V753" s="85" t="n"/>
      <c r="W753" s="85" t="n"/>
      <c r="X753" s="85" t="n"/>
      <c r="Y753" s="85" t="n"/>
      <c r="Z753" s="85" t="n"/>
    </row>
    <row r="754" ht="15.75" customHeight="1" s="86">
      <c r="T754" s="85" t="n"/>
      <c r="U754" s="85" t="n"/>
      <c r="V754" s="85" t="n"/>
      <c r="W754" s="85" t="n"/>
      <c r="X754" s="85" t="n"/>
      <c r="Y754" s="85" t="n"/>
      <c r="Z754" s="85" t="n"/>
    </row>
    <row r="755" ht="15.75" customHeight="1" s="86">
      <c r="T755" s="85" t="n"/>
      <c r="U755" s="85" t="n"/>
      <c r="V755" s="85" t="n"/>
      <c r="W755" s="85" t="n"/>
      <c r="X755" s="85" t="n"/>
      <c r="Y755" s="85" t="n"/>
      <c r="Z755" s="85" t="n"/>
    </row>
    <row r="756" ht="15.75" customHeight="1" s="86">
      <c r="T756" s="85" t="n"/>
      <c r="U756" s="85" t="n"/>
      <c r="V756" s="85" t="n"/>
      <c r="W756" s="85" t="n"/>
      <c r="X756" s="85" t="n"/>
      <c r="Y756" s="85" t="n"/>
      <c r="Z756" s="85" t="n"/>
    </row>
    <row r="757" ht="15.75" customHeight="1" s="86">
      <c r="T757" s="85" t="n"/>
      <c r="U757" s="85" t="n"/>
      <c r="V757" s="85" t="n"/>
      <c r="W757" s="85" t="n"/>
      <c r="X757" s="85" t="n"/>
      <c r="Y757" s="85" t="n"/>
      <c r="Z757" s="85" t="n"/>
    </row>
    <row r="758" ht="15.75" customHeight="1" s="86">
      <c r="T758" s="85" t="n"/>
      <c r="U758" s="85" t="n"/>
      <c r="V758" s="85" t="n"/>
      <c r="W758" s="85" t="n"/>
      <c r="X758" s="85" t="n"/>
      <c r="Y758" s="85" t="n"/>
      <c r="Z758" s="85" t="n"/>
    </row>
    <row r="759" ht="15.75" customHeight="1" s="86">
      <c r="T759" s="85" t="n"/>
      <c r="U759" s="85" t="n"/>
      <c r="V759" s="85" t="n"/>
      <c r="W759" s="85" t="n"/>
      <c r="X759" s="85" t="n"/>
      <c r="Y759" s="85" t="n"/>
      <c r="Z759" s="85" t="n"/>
    </row>
    <row r="760" ht="15.75" customHeight="1" s="86">
      <c r="T760" s="85" t="n"/>
      <c r="U760" s="85" t="n"/>
      <c r="V760" s="85" t="n"/>
      <c r="W760" s="85" t="n"/>
      <c r="X760" s="85" t="n"/>
      <c r="Y760" s="85" t="n"/>
      <c r="Z760" s="85" t="n"/>
    </row>
    <row r="761" ht="15.75" customHeight="1" s="86">
      <c r="T761" s="85" t="n"/>
      <c r="U761" s="85" t="n"/>
      <c r="V761" s="85" t="n"/>
      <c r="W761" s="85" t="n"/>
      <c r="X761" s="85" t="n"/>
      <c r="Y761" s="85" t="n"/>
      <c r="Z761" s="85" t="n"/>
    </row>
    <row r="762" ht="15.75" customHeight="1" s="86">
      <c r="T762" s="85" t="n"/>
      <c r="U762" s="85" t="n"/>
      <c r="V762" s="85" t="n"/>
      <c r="W762" s="85" t="n"/>
      <c r="X762" s="85" t="n"/>
      <c r="Y762" s="85" t="n"/>
      <c r="Z762" s="85" t="n"/>
    </row>
    <row r="763" ht="15.75" customHeight="1" s="86">
      <c r="T763" s="85" t="n"/>
      <c r="U763" s="85" t="n"/>
      <c r="V763" s="85" t="n"/>
      <c r="W763" s="85" t="n"/>
      <c r="X763" s="85" t="n"/>
      <c r="Y763" s="85" t="n"/>
      <c r="Z763" s="85" t="n"/>
    </row>
    <row r="764" ht="15.75" customHeight="1" s="86">
      <c r="T764" s="85" t="n"/>
      <c r="U764" s="85" t="n"/>
      <c r="V764" s="85" t="n"/>
      <c r="W764" s="85" t="n"/>
      <c r="X764" s="85" t="n"/>
      <c r="Y764" s="85" t="n"/>
      <c r="Z764" s="85" t="n"/>
    </row>
    <row r="765" ht="15.75" customHeight="1" s="86">
      <c r="T765" s="85" t="n"/>
      <c r="U765" s="85" t="n"/>
      <c r="V765" s="85" t="n"/>
      <c r="W765" s="85" t="n"/>
      <c r="X765" s="85" t="n"/>
      <c r="Y765" s="85" t="n"/>
      <c r="Z765" s="85" t="n"/>
    </row>
    <row r="766" ht="15.75" customHeight="1" s="86">
      <c r="T766" s="85" t="n"/>
      <c r="U766" s="85" t="n"/>
      <c r="V766" s="85" t="n"/>
      <c r="W766" s="85" t="n"/>
      <c r="X766" s="85" t="n"/>
      <c r="Y766" s="85" t="n"/>
      <c r="Z766" s="85" t="n"/>
    </row>
    <row r="767" ht="15.75" customHeight="1" s="86">
      <c r="T767" s="85" t="n"/>
      <c r="U767" s="85" t="n"/>
      <c r="V767" s="85" t="n"/>
      <c r="W767" s="85" t="n"/>
      <c r="X767" s="85" t="n"/>
      <c r="Y767" s="85" t="n"/>
      <c r="Z767" s="85" t="n"/>
    </row>
    <row r="768" ht="15.75" customHeight="1" s="86">
      <c r="T768" s="85" t="n"/>
      <c r="U768" s="85" t="n"/>
      <c r="V768" s="85" t="n"/>
      <c r="W768" s="85" t="n"/>
      <c r="X768" s="85" t="n"/>
      <c r="Y768" s="85" t="n"/>
      <c r="Z768" s="85" t="n"/>
    </row>
    <row r="769" ht="15.75" customHeight="1" s="86">
      <c r="T769" s="85" t="n"/>
      <c r="U769" s="85" t="n"/>
      <c r="V769" s="85" t="n"/>
      <c r="W769" s="85" t="n"/>
      <c r="X769" s="85" t="n"/>
      <c r="Y769" s="85" t="n"/>
      <c r="Z769" s="85" t="n"/>
    </row>
    <row r="770" ht="15.75" customHeight="1" s="86">
      <c r="T770" s="85" t="n"/>
      <c r="U770" s="85" t="n"/>
      <c r="V770" s="85" t="n"/>
      <c r="W770" s="85" t="n"/>
      <c r="X770" s="85" t="n"/>
      <c r="Y770" s="85" t="n"/>
      <c r="Z770" s="85" t="n"/>
    </row>
    <row r="771" ht="15.75" customHeight="1" s="86">
      <c r="T771" s="85" t="n"/>
      <c r="U771" s="85" t="n"/>
      <c r="V771" s="85" t="n"/>
      <c r="W771" s="85" t="n"/>
      <c r="X771" s="85" t="n"/>
      <c r="Y771" s="85" t="n"/>
      <c r="Z771" s="85" t="n"/>
    </row>
    <row r="772" ht="15.75" customHeight="1" s="86">
      <c r="T772" s="85" t="n"/>
      <c r="U772" s="85" t="n"/>
      <c r="V772" s="85" t="n"/>
      <c r="W772" s="85" t="n"/>
      <c r="X772" s="85" t="n"/>
      <c r="Y772" s="85" t="n"/>
      <c r="Z772" s="85" t="n"/>
    </row>
    <row r="773" ht="15.75" customHeight="1" s="86">
      <c r="T773" s="85" t="n"/>
      <c r="U773" s="85" t="n"/>
      <c r="V773" s="85" t="n"/>
      <c r="W773" s="85" t="n"/>
      <c r="X773" s="85" t="n"/>
      <c r="Y773" s="85" t="n"/>
      <c r="Z773" s="85" t="n"/>
    </row>
    <row r="774" ht="15.75" customHeight="1" s="86">
      <c r="T774" s="85" t="n"/>
      <c r="U774" s="85" t="n"/>
      <c r="V774" s="85" t="n"/>
      <c r="W774" s="85" t="n"/>
      <c r="X774" s="85" t="n"/>
      <c r="Y774" s="85" t="n"/>
      <c r="Z774" s="85" t="n"/>
    </row>
    <row r="775" ht="15.75" customHeight="1" s="86">
      <c r="T775" s="85" t="n"/>
      <c r="U775" s="85" t="n"/>
      <c r="V775" s="85" t="n"/>
      <c r="W775" s="85" t="n"/>
      <c r="X775" s="85" t="n"/>
      <c r="Y775" s="85" t="n"/>
      <c r="Z775" s="85" t="n"/>
    </row>
    <row r="776" ht="15.75" customHeight="1" s="86">
      <c r="T776" s="85" t="n"/>
      <c r="U776" s="85" t="n"/>
      <c r="V776" s="85" t="n"/>
      <c r="W776" s="85" t="n"/>
      <c r="X776" s="85" t="n"/>
      <c r="Y776" s="85" t="n"/>
      <c r="Z776" s="85" t="n"/>
    </row>
    <row r="777" ht="15.75" customHeight="1" s="86">
      <c r="T777" s="85" t="n"/>
      <c r="U777" s="85" t="n"/>
      <c r="V777" s="85" t="n"/>
      <c r="W777" s="85" t="n"/>
      <c r="X777" s="85" t="n"/>
      <c r="Y777" s="85" t="n"/>
      <c r="Z777" s="85" t="n"/>
    </row>
    <row r="778" ht="15.75" customHeight="1" s="86">
      <c r="T778" s="85" t="n"/>
      <c r="U778" s="85" t="n"/>
      <c r="V778" s="85" t="n"/>
      <c r="W778" s="85" t="n"/>
      <c r="X778" s="85" t="n"/>
      <c r="Y778" s="85" t="n"/>
      <c r="Z778" s="85" t="n"/>
    </row>
    <row r="779" ht="15.75" customHeight="1" s="86">
      <c r="T779" s="85" t="n"/>
      <c r="U779" s="85" t="n"/>
      <c r="V779" s="85" t="n"/>
      <c r="W779" s="85" t="n"/>
      <c r="X779" s="85" t="n"/>
      <c r="Y779" s="85" t="n"/>
      <c r="Z779" s="85" t="n"/>
    </row>
    <row r="780" ht="15.75" customHeight="1" s="86">
      <c r="T780" s="85" t="n"/>
      <c r="U780" s="85" t="n"/>
      <c r="V780" s="85" t="n"/>
      <c r="W780" s="85" t="n"/>
      <c r="X780" s="85" t="n"/>
      <c r="Y780" s="85" t="n"/>
      <c r="Z780" s="85" t="n"/>
    </row>
    <row r="781" ht="15.75" customHeight="1" s="86">
      <c r="T781" s="85" t="n"/>
      <c r="U781" s="85" t="n"/>
      <c r="V781" s="85" t="n"/>
      <c r="W781" s="85" t="n"/>
      <c r="X781" s="85" t="n"/>
      <c r="Y781" s="85" t="n"/>
      <c r="Z781" s="85" t="n"/>
    </row>
    <row r="782" ht="15.75" customHeight="1" s="86">
      <c r="T782" s="85" t="n"/>
      <c r="U782" s="85" t="n"/>
      <c r="V782" s="85" t="n"/>
      <c r="W782" s="85" t="n"/>
      <c r="X782" s="85" t="n"/>
      <c r="Y782" s="85" t="n"/>
      <c r="Z782" s="85" t="n"/>
    </row>
    <row r="783" ht="15.75" customHeight="1" s="86">
      <c r="T783" s="85" t="n"/>
      <c r="U783" s="85" t="n"/>
      <c r="V783" s="85" t="n"/>
      <c r="W783" s="85" t="n"/>
      <c r="X783" s="85" t="n"/>
      <c r="Y783" s="85" t="n"/>
      <c r="Z783" s="85" t="n"/>
    </row>
    <row r="784" ht="15.75" customHeight="1" s="86">
      <c r="T784" s="85" t="n"/>
      <c r="U784" s="85" t="n"/>
      <c r="V784" s="85" t="n"/>
      <c r="W784" s="85" t="n"/>
      <c r="X784" s="85" t="n"/>
      <c r="Y784" s="85" t="n"/>
      <c r="Z784" s="85" t="n"/>
    </row>
    <row r="785" ht="15.75" customHeight="1" s="86">
      <c r="T785" s="85" t="n"/>
      <c r="U785" s="85" t="n"/>
      <c r="V785" s="85" t="n"/>
      <c r="W785" s="85" t="n"/>
      <c r="X785" s="85" t="n"/>
      <c r="Y785" s="85" t="n"/>
      <c r="Z785" s="85" t="n"/>
    </row>
    <row r="786" ht="15.75" customHeight="1" s="86">
      <c r="T786" s="85" t="n"/>
      <c r="U786" s="85" t="n"/>
      <c r="V786" s="85" t="n"/>
      <c r="W786" s="85" t="n"/>
      <c r="X786" s="85" t="n"/>
      <c r="Y786" s="85" t="n"/>
      <c r="Z786" s="85" t="n"/>
    </row>
    <row r="787" ht="15.75" customHeight="1" s="86">
      <c r="T787" s="85" t="n"/>
      <c r="U787" s="85" t="n"/>
      <c r="V787" s="85" t="n"/>
      <c r="W787" s="85" t="n"/>
      <c r="X787" s="85" t="n"/>
      <c r="Y787" s="85" t="n"/>
      <c r="Z787" s="85" t="n"/>
    </row>
    <row r="788" ht="15.75" customHeight="1" s="86">
      <c r="T788" s="85" t="n"/>
      <c r="U788" s="85" t="n"/>
      <c r="V788" s="85" t="n"/>
      <c r="W788" s="85" t="n"/>
      <c r="X788" s="85" t="n"/>
      <c r="Y788" s="85" t="n"/>
      <c r="Z788" s="85" t="n"/>
    </row>
    <row r="789" ht="15.75" customHeight="1" s="86">
      <c r="T789" s="85" t="n"/>
      <c r="U789" s="85" t="n"/>
      <c r="V789" s="85" t="n"/>
      <c r="W789" s="85" t="n"/>
      <c r="X789" s="85" t="n"/>
      <c r="Y789" s="85" t="n"/>
      <c r="Z789" s="85" t="n"/>
    </row>
    <row r="790" ht="15.75" customHeight="1" s="86">
      <c r="T790" s="85" t="n"/>
      <c r="U790" s="85" t="n"/>
      <c r="V790" s="85" t="n"/>
      <c r="W790" s="85" t="n"/>
      <c r="X790" s="85" t="n"/>
      <c r="Y790" s="85" t="n"/>
      <c r="Z790" s="85" t="n"/>
    </row>
    <row r="791" ht="15.75" customHeight="1" s="86">
      <c r="T791" s="85" t="n"/>
      <c r="U791" s="85" t="n"/>
      <c r="V791" s="85" t="n"/>
      <c r="W791" s="85" t="n"/>
      <c r="X791" s="85" t="n"/>
      <c r="Y791" s="85" t="n"/>
      <c r="Z791" s="85" t="n"/>
    </row>
    <row r="792" ht="15.75" customHeight="1" s="86">
      <c r="T792" s="85" t="n"/>
      <c r="U792" s="85" t="n"/>
      <c r="V792" s="85" t="n"/>
      <c r="W792" s="85" t="n"/>
      <c r="X792" s="85" t="n"/>
      <c r="Y792" s="85" t="n"/>
      <c r="Z792" s="85" t="n"/>
    </row>
    <row r="793" ht="15.75" customHeight="1" s="86">
      <c r="T793" s="85" t="n"/>
      <c r="U793" s="85" t="n"/>
      <c r="V793" s="85" t="n"/>
      <c r="W793" s="85" t="n"/>
      <c r="X793" s="85" t="n"/>
      <c r="Y793" s="85" t="n"/>
      <c r="Z793" s="85" t="n"/>
    </row>
    <row r="794" ht="15.75" customHeight="1" s="86">
      <c r="T794" s="85" t="n"/>
      <c r="U794" s="85" t="n"/>
      <c r="V794" s="85" t="n"/>
      <c r="W794" s="85" t="n"/>
      <c r="X794" s="85" t="n"/>
      <c r="Y794" s="85" t="n"/>
      <c r="Z794" s="85" t="n"/>
    </row>
    <row r="795" ht="15.75" customHeight="1" s="86">
      <c r="T795" s="85" t="n"/>
      <c r="U795" s="85" t="n"/>
      <c r="V795" s="85" t="n"/>
      <c r="W795" s="85" t="n"/>
      <c r="X795" s="85" t="n"/>
      <c r="Y795" s="85" t="n"/>
      <c r="Z795" s="85" t="n"/>
    </row>
    <row r="796" ht="15.75" customHeight="1" s="86">
      <c r="T796" s="85" t="n"/>
      <c r="U796" s="85" t="n"/>
      <c r="V796" s="85" t="n"/>
      <c r="W796" s="85" t="n"/>
      <c r="X796" s="85" t="n"/>
      <c r="Y796" s="85" t="n"/>
      <c r="Z796" s="85" t="n"/>
    </row>
    <row r="797" ht="15.75" customHeight="1" s="86">
      <c r="T797" s="85" t="n"/>
      <c r="U797" s="85" t="n"/>
      <c r="V797" s="85" t="n"/>
      <c r="W797" s="85" t="n"/>
      <c r="X797" s="85" t="n"/>
      <c r="Y797" s="85" t="n"/>
      <c r="Z797" s="85" t="n"/>
    </row>
    <row r="798" ht="15.75" customHeight="1" s="86">
      <c r="T798" s="85" t="n"/>
      <c r="U798" s="85" t="n"/>
      <c r="V798" s="85" t="n"/>
      <c r="W798" s="85" t="n"/>
      <c r="X798" s="85" t="n"/>
      <c r="Y798" s="85" t="n"/>
      <c r="Z798" s="85" t="n"/>
    </row>
    <row r="799" ht="15.75" customHeight="1" s="86">
      <c r="T799" s="85" t="n"/>
      <c r="U799" s="85" t="n"/>
      <c r="V799" s="85" t="n"/>
      <c r="W799" s="85" t="n"/>
      <c r="X799" s="85" t="n"/>
      <c r="Y799" s="85" t="n"/>
      <c r="Z799" s="85" t="n"/>
    </row>
    <row r="800" ht="15.75" customHeight="1" s="86">
      <c r="T800" s="85" t="n"/>
      <c r="U800" s="85" t="n"/>
      <c r="V800" s="85" t="n"/>
      <c r="W800" s="85" t="n"/>
      <c r="X800" s="85" t="n"/>
      <c r="Y800" s="85" t="n"/>
      <c r="Z800" s="85" t="n"/>
    </row>
    <row r="801" ht="15.75" customHeight="1" s="86">
      <c r="T801" s="85" t="n"/>
      <c r="U801" s="85" t="n"/>
      <c r="V801" s="85" t="n"/>
      <c r="W801" s="85" t="n"/>
      <c r="X801" s="85" t="n"/>
      <c r="Y801" s="85" t="n"/>
      <c r="Z801" s="85" t="n"/>
    </row>
    <row r="802" ht="15.75" customHeight="1" s="86">
      <c r="T802" s="85" t="n"/>
      <c r="U802" s="85" t="n"/>
      <c r="V802" s="85" t="n"/>
      <c r="W802" s="85" t="n"/>
      <c r="X802" s="85" t="n"/>
      <c r="Y802" s="85" t="n"/>
      <c r="Z802" s="85" t="n"/>
    </row>
    <row r="803" ht="15.75" customHeight="1" s="86">
      <c r="T803" s="85" t="n"/>
      <c r="U803" s="85" t="n"/>
      <c r="V803" s="85" t="n"/>
      <c r="W803" s="85" t="n"/>
      <c r="X803" s="85" t="n"/>
      <c r="Y803" s="85" t="n"/>
      <c r="Z803" s="85" t="n"/>
    </row>
    <row r="804" ht="15.75" customHeight="1" s="86">
      <c r="T804" s="85" t="n"/>
      <c r="U804" s="85" t="n"/>
      <c r="V804" s="85" t="n"/>
      <c r="W804" s="85" t="n"/>
      <c r="X804" s="85" t="n"/>
      <c r="Y804" s="85" t="n"/>
      <c r="Z804" s="85" t="n"/>
    </row>
    <row r="805" ht="15.75" customHeight="1" s="86">
      <c r="T805" s="85" t="n"/>
      <c r="U805" s="85" t="n"/>
      <c r="V805" s="85" t="n"/>
      <c r="W805" s="85" t="n"/>
      <c r="X805" s="85" t="n"/>
      <c r="Y805" s="85" t="n"/>
      <c r="Z805" s="85" t="n"/>
    </row>
    <row r="806" ht="15.75" customHeight="1" s="86">
      <c r="T806" s="85" t="n"/>
      <c r="U806" s="85" t="n"/>
      <c r="V806" s="85" t="n"/>
      <c r="W806" s="85" t="n"/>
      <c r="X806" s="85" t="n"/>
      <c r="Y806" s="85" t="n"/>
      <c r="Z806" s="85" t="n"/>
    </row>
    <row r="807" ht="15.75" customHeight="1" s="86">
      <c r="T807" s="85" t="n"/>
      <c r="U807" s="85" t="n"/>
      <c r="V807" s="85" t="n"/>
      <c r="W807" s="85" t="n"/>
      <c r="X807" s="85" t="n"/>
      <c r="Y807" s="85" t="n"/>
      <c r="Z807" s="85" t="n"/>
    </row>
    <row r="808" ht="15.75" customHeight="1" s="86">
      <c r="T808" s="85" t="n"/>
      <c r="U808" s="85" t="n"/>
      <c r="V808" s="85" t="n"/>
      <c r="W808" s="85" t="n"/>
      <c r="X808" s="85" t="n"/>
      <c r="Y808" s="85" t="n"/>
      <c r="Z808" s="85" t="n"/>
    </row>
    <row r="809" ht="15.75" customHeight="1" s="86">
      <c r="T809" s="85" t="n"/>
      <c r="U809" s="85" t="n"/>
      <c r="V809" s="85" t="n"/>
      <c r="W809" s="85" t="n"/>
      <c r="X809" s="85" t="n"/>
      <c r="Y809" s="85" t="n"/>
      <c r="Z809" s="85" t="n"/>
    </row>
    <row r="810" ht="15.75" customHeight="1" s="86">
      <c r="T810" s="85" t="n"/>
      <c r="U810" s="85" t="n"/>
      <c r="V810" s="85" t="n"/>
      <c r="W810" s="85" t="n"/>
      <c r="X810" s="85" t="n"/>
      <c r="Y810" s="85" t="n"/>
      <c r="Z810" s="85" t="n"/>
    </row>
    <row r="811" ht="15.75" customHeight="1" s="86">
      <c r="T811" s="85" t="n"/>
      <c r="U811" s="85" t="n"/>
      <c r="V811" s="85" t="n"/>
      <c r="W811" s="85" t="n"/>
      <c r="X811" s="85" t="n"/>
      <c r="Y811" s="85" t="n"/>
      <c r="Z811" s="85" t="n"/>
    </row>
    <row r="812" ht="15.75" customHeight="1" s="86">
      <c r="T812" s="85" t="n"/>
      <c r="U812" s="85" t="n"/>
      <c r="V812" s="85" t="n"/>
      <c r="W812" s="85" t="n"/>
      <c r="X812" s="85" t="n"/>
      <c r="Y812" s="85" t="n"/>
      <c r="Z812" s="85" t="n"/>
    </row>
    <row r="813" ht="15.75" customHeight="1" s="86">
      <c r="T813" s="85" t="n"/>
      <c r="U813" s="85" t="n"/>
      <c r="V813" s="85" t="n"/>
      <c r="W813" s="85" t="n"/>
      <c r="X813" s="85" t="n"/>
      <c r="Y813" s="85" t="n"/>
      <c r="Z813" s="85" t="n"/>
    </row>
    <row r="814" ht="15.75" customHeight="1" s="86">
      <c r="T814" s="85" t="n"/>
      <c r="U814" s="85" t="n"/>
      <c r="V814" s="85" t="n"/>
      <c r="W814" s="85" t="n"/>
      <c r="X814" s="85" t="n"/>
      <c r="Y814" s="85" t="n"/>
      <c r="Z814" s="85" t="n"/>
    </row>
    <row r="815" ht="15.75" customHeight="1" s="86">
      <c r="T815" s="85" t="n"/>
      <c r="U815" s="85" t="n"/>
      <c r="V815" s="85" t="n"/>
      <c r="W815" s="85" t="n"/>
      <c r="X815" s="85" t="n"/>
      <c r="Y815" s="85" t="n"/>
      <c r="Z815" s="85" t="n"/>
    </row>
    <row r="816" ht="15.75" customHeight="1" s="86">
      <c r="T816" s="85" t="n"/>
      <c r="U816" s="85" t="n"/>
      <c r="V816" s="85" t="n"/>
      <c r="W816" s="85" t="n"/>
      <c r="X816" s="85" t="n"/>
      <c r="Y816" s="85" t="n"/>
      <c r="Z816" s="85" t="n"/>
    </row>
    <row r="817" ht="15.75" customHeight="1" s="86">
      <c r="T817" s="85" t="n"/>
      <c r="U817" s="85" t="n"/>
      <c r="V817" s="85" t="n"/>
      <c r="W817" s="85" t="n"/>
      <c r="X817" s="85" t="n"/>
      <c r="Y817" s="85" t="n"/>
      <c r="Z817" s="85" t="n"/>
    </row>
    <row r="818" ht="15.75" customHeight="1" s="86">
      <c r="T818" s="85" t="n"/>
      <c r="U818" s="85" t="n"/>
      <c r="V818" s="85" t="n"/>
      <c r="W818" s="85" t="n"/>
      <c r="X818" s="85" t="n"/>
      <c r="Y818" s="85" t="n"/>
      <c r="Z818" s="85" t="n"/>
    </row>
    <row r="819" ht="15.75" customHeight="1" s="86">
      <c r="T819" s="85" t="n"/>
      <c r="U819" s="85" t="n"/>
      <c r="V819" s="85" t="n"/>
      <c r="W819" s="85" t="n"/>
      <c r="X819" s="85" t="n"/>
      <c r="Y819" s="85" t="n"/>
      <c r="Z819" s="85" t="n"/>
    </row>
    <row r="820" ht="15.75" customHeight="1" s="86">
      <c r="T820" s="85" t="n"/>
      <c r="U820" s="85" t="n"/>
      <c r="V820" s="85" t="n"/>
      <c r="W820" s="85" t="n"/>
      <c r="X820" s="85" t="n"/>
      <c r="Y820" s="85" t="n"/>
      <c r="Z820" s="85" t="n"/>
    </row>
    <row r="821" ht="15.75" customHeight="1" s="86">
      <c r="T821" s="85" t="n"/>
      <c r="U821" s="85" t="n"/>
      <c r="V821" s="85" t="n"/>
      <c r="W821" s="85" t="n"/>
      <c r="X821" s="85" t="n"/>
      <c r="Y821" s="85" t="n"/>
      <c r="Z821" s="85" t="n"/>
    </row>
    <row r="822" ht="15.75" customHeight="1" s="86">
      <c r="T822" s="85" t="n"/>
      <c r="U822" s="85" t="n"/>
      <c r="V822" s="85" t="n"/>
      <c r="W822" s="85" t="n"/>
      <c r="X822" s="85" t="n"/>
      <c r="Y822" s="85" t="n"/>
      <c r="Z822" s="85" t="n"/>
    </row>
    <row r="823" ht="15.75" customHeight="1" s="86">
      <c r="T823" s="85" t="n"/>
      <c r="U823" s="85" t="n"/>
      <c r="V823" s="85" t="n"/>
      <c r="W823" s="85" t="n"/>
      <c r="X823" s="85" t="n"/>
      <c r="Y823" s="85" t="n"/>
      <c r="Z823" s="85" t="n"/>
    </row>
    <row r="824" ht="15.75" customHeight="1" s="86">
      <c r="T824" s="85" t="n"/>
      <c r="U824" s="85" t="n"/>
      <c r="V824" s="85" t="n"/>
      <c r="W824" s="85" t="n"/>
      <c r="X824" s="85" t="n"/>
      <c r="Y824" s="85" t="n"/>
      <c r="Z824" s="85" t="n"/>
    </row>
    <row r="825" ht="15.75" customHeight="1" s="86">
      <c r="T825" s="85" t="n"/>
      <c r="U825" s="85" t="n"/>
      <c r="V825" s="85" t="n"/>
      <c r="W825" s="85" t="n"/>
      <c r="X825" s="85" t="n"/>
      <c r="Y825" s="85" t="n"/>
      <c r="Z825" s="85" t="n"/>
    </row>
    <row r="826" ht="15.75" customHeight="1" s="86">
      <c r="T826" s="85" t="n"/>
      <c r="U826" s="85" t="n"/>
      <c r="V826" s="85" t="n"/>
      <c r="W826" s="85" t="n"/>
      <c r="X826" s="85" t="n"/>
      <c r="Y826" s="85" t="n"/>
      <c r="Z826" s="85" t="n"/>
    </row>
    <row r="827" ht="15.75" customHeight="1" s="86">
      <c r="T827" s="85" t="n"/>
      <c r="U827" s="85" t="n"/>
      <c r="V827" s="85" t="n"/>
      <c r="W827" s="85" t="n"/>
      <c r="X827" s="85" t="n"/>
      <c r="Y827" s="85" t="n"/>
      <c r="Z827" s="85" t="n"/>
    </row>
    <row r="828" ht="15.75" customHeight="1" s="86">
      <c r="T828" s="85" t="n"/>
      <c r="U828" s="85" t="n"/>
      <c r="V828" s="85" t="n"/>
      <c r="W828" s="85" t="n"/>
      <c r="X828" s="85" t="n"/>
      <c r="Y828" s="85" t="n"/>
      <c r="Z828" s="85" t="n"/>
    </row>
    <row r="829" ht="15.75" customHeight="1" s="86">
      <c r="T829" s="85" t="n"/>
      <c r="U829" s="85" t="n"/>
      <c r="V829" s="85" t="n"/>
      <c r="W829" s="85" t="n"/>
      <c r="X829" s="85" t="n"/>
      <c r="Y829" s="85" t="n"/>
      <c r="Z829" s="85" t="n"/>
    </row>
    <row r="830" ht="15.75" customHeight="1" s="86">
      <c r="T830" s="85" t="n"/>
      <c r="U830" s="85" t="n"/>
      <c r="V830" s="85" t="n"/>
      <c r="W830" s="85" t="n"/>
      <c r="X830" s="85" t="n"/>
      <c r="Y830" s="85" t="n"/>
      <c r="Z830" s="85" t="n"/>
    </row>
    <row r="831" ht="15.75" customHeight="1" s="86">
      <c r="T831" s="85" t="n"/>
      <c r="U831" s="85" t="n"/>
      <c r="V831" s="85" t="n"/>
      <c r="W831" s="85" t="n"/>
      <c r="X831" s="85" t="n"/>
      <c r="Y831" s="85" t="n"/>
      <c r="Z831" s="85" t="n"/>
    </row>
    <row r="832" ht="15.75" customHeight="1" s="86">
      <c r="T832" s="85" t="n"/>
      <c r="U832" s="85" t="n"/>
      <c r="V832" s="85" t="n"/>
      <c r="W832" s="85" t="n"/>
      <c r="X832" s="85" t="n"/>
      <c r="Y832" s="85" t="n"/>
      <c r="Z832" s="85" t="n"/>
    </row>
    <row r="833" ht="15.75" customHeight="1" s="86">
      <c r="T833" s="85" t="n"/>
      <c r="U833" s="85" t="n"/>
      <c r="V833" s="85" t="n"/>
      <c r="W833" s="85" t="n"/>
      <c r="X833" s="85" t="n"/>
      <c r="Y833" s="85" t="n"/>
      <c r="Z833" s="85" t="n"/>
    </row>
    <row r="834" ht="15.75" customHeight="1" s="86">
      <c r="T834" s="85" t="n"/>
      <c r="U834" s="85" t="n"/>
      <c r="V834" s="85" t="n"/>
      <c r="W834" s="85" t="n"/>
      <c r="X834" s="85" t="n"/>
      <c r="Y834" s="85" t="n"/>
      <c r="Z834" s="85" t="n"/>
    </row>
    <row r="835" ht="15.75" customHeight="1" s="86">
      <c r="T835" s="85" t="n"/>
      <c r="U835" s="85" t="n"/>
      <c r="V835" s="85" t="n"/>
      <c r="W835" s="85" t="n"/>
      <c r="X835" s="85" t="n"/>
      <c r="Y835" s="85" t="n"/>
      <c r="Z835" s="85" t="n"/>
    </row>
    <row r="836" ht="15.75" customHeight="1" s="86">
      <c r="T836" s="85" t="n"/>
      <c r="U836" s="85" t="n"/>
      <c r="V836" s="85" t="n"/>
      <c r="W836" s="85" t="n"/>
      <c r="X836" s="85" t="n"/>
      <c r="Y836" s="85" t="n"/>
      <c r="Z836" s="85" t="n"/>
    </row>
    <row r="837" ht="15.75" customHeight="1" s="86">
      <c r="T837" s="85" t="n"/>
      <c r="U837" s="85" t="n"/>
      <c r="V837" s="85" t="n"/>
      <c r="W837" s="85" t="n"/>
      <c r="X837" s="85" t="n"/>
      <c r="Y837" s="85" t="n"/>
      <c r="Z837" s="85" t="n"/>
    </row>
    <row r="838" ht="15.75" customHeight="1" s="86">
      <c r="T838" s="85" t="n"/>
      <c r="U838" s="85" t="n"/>
      <c r="V838" s="85" t="n"/>
      <c r="W838" s="85" t="n"/>
      <c r="X838" s="85" t="n"/>
      <c r="Y838" s="85" t="n"/>
      <c r="Z838" s="85" t="n"/>
    </row>
    <row r="839" ht="15.75" customHeight="1" s="86">
      <c r="T839" s="85" t="n"/>
      <c r="U839" s="85" t="n"/>
      <c r="V839" s="85" t="n"/>
      <c r="W839" s="85" t="n"/>
      <c r="X839" s="85" t="n"/>
      <c r="Y839" s="85" t="n"/>
      <c r="Z839" s="85" t="n"/>
    </row>
    <row r="840" ht="15.75" customHeight="1" s="86">
      <c r="T840" s="85" t="n"/>
      <c r="U840" s="85" t="n"/>
      <c r="V840" s="85" t="n"/>
      <c r="W840" s="85" t="n"/>
      <c r="X840" s="85" t="n"/>
      <c r="Y840" s="85" t="n"/>
      <c r="Z840" s="85" t="n"/>
    </row>
    <row r="841" ht="15.75" customHeight="1" s="86">
      <c r="T841" s="85" t="n"/>
      <c r="U841" s="85" t="n"/>
      <c r="V841" s="85" t="n"/>
      <c r="W841" s="85" t="n"/>
      <c r="X841" s="85" t="n"/>
      <c r="Y841" s="85" t="n"/>
      <c r="Z841" s="85" t="n"/>
    </row>
    <row r="842" ht="15.75" customHeight="1" s="86">
      <c r="T842" s="85" t="n"/>
      <c r="U842" s="85" t="n"/>
      <c r="V842" s="85" t="n"/>
      <c r="W842" s="85" t="n"/>
      <c r="X842" s="85" t="n"/>
      <c r="Y842" s="85" t="n"/>
      <c r="Z842" s="85" t="n"/>
    </row>
    <row r="843" ht="15.75" customHeight="1" s="86">
      <c r="T843" s="85" t="n"/>
      <c r="U843" s="85" t="n"/>
      <c r="V843" s="85" t="n"/>
      <c r="W843" s="85" t="n"/>
      <c r="X843" s="85" t="n"/>
      <c r="Y843" s="85" t="n"/>
      <c r="Z843" s="85" t="n"/>
    </row>
    <row r="844" ht="15.75" customHeight="1" s="86">
      <c r="T844" s="85" t="n"/>
      <c r="U844" s="85" t="n"/>
      <c r="V844" s="85" t="n"/>
      <c r="W844" s="85" t="n"/>
      <c r="X844" s="85" t="n"/>
      <c r="Y844" s="85" t="n"/>
      <c r="Z844" s="85" t="n"/>
    </row>
    <row r="845" ht="15.75" customHeight="1" s="86">
      <c r="T845" s="85" t="n"/>
      <c r="U845" s="85" t="n"/>
      <c r="V845" s="85" t="n"/>
      <c r="W845" s="85" t="n"/>
      <c r="X845" s="85" t="n"/>
      <c r="Y845" s="85" t="n"/>
      <c r="Z845" s="85" t="n"/>
    </row>
    <row r="846" ht="15.75" customHeight="1" s="86">
      <c r="T846" s="85" t="n"/>
      <c r="U846" s="85" t="n"/>
      <c r="V846" s="85" t="n"/>
      <c r="W846" s="85" t="n"/>
      <c r="X846" s="85" t="n"/>
      <c r="Y846" s="85" t="n"/>
      <c r="Z846" s="85" t="n"/>
    </row>
    <row r="847" ht="15.75" customHeight="1" s="86">
      <c r="T847" s="85" t="n"/>
      <c r="U847" s="85" t="n"/>
      <c r="V847" s="85" t="n"/>
      <c r="W847" s="85" t="n"/>
      <c r="X847" s="85" t="n"/>
      <c r="Y847" s="85" t="n"/>
      <c r="Z847" s="85" t="n"/>
    </row>
    <row r="848" ht="15.75" customHeight="1" s="86">
      <c r="T848" s="85" t="n"/>
      <c r="U848" s="85" t="n"/>
      <c r="V848" s="85" t="n"/>
      <c r="W848" s="85" t="n"/>
      <c r="X848" s="85" t="n"/>
      <c r="Y848" s="85" t="n"/>
      <c r="Z848" s="85" t="n"/>
    </row>
    <row r="849" ht="15.75" customHeight="1" s="86">
      <c r="T849" s="85" t="n"/>
      <c r="U849" s="85" t="n"/>
      <c r="V849" s="85" t="n"/>
      <c r="W849" s="85" t="n"/>
      <c r="X849" s="85" t="n"/>
      <c r="Y849" s="85" t="n"/>
      <c r="Z849" s="85" t="n"/>
    </row>
    <row r="850" ht="15.75" customHeight="1" s="86">
      <c r="T850" s="85" t="n"/>
      <c r="U850" s="85" t="n"/>
      <c r="V850" s="85" t="n"/>
      <c r="W850" s="85" t="n"/>
      <c r="X850" s="85" t="n"/>
      <c r="Y850" s="85" t="n"/>
      <c r="Z850" s="85" t="n"/>
    </row>
    <row r="851" ht="15.75" customHeight="1" s="86">
      <c r="T851" s="85" t="n"/>
      <c r="U851" s="85" t="n"/>
      <c r="V851" s="85" t="n"/>
      <c r="W851" s="85" t="n"/>
      <c r="X851" s="85" t="n"/>
      <c r="Y851" s="85" t="n"/>
      <c r="Z851" s="85" t="n"/>
    </row>
    <row r="852" ht="15.75" customHeight="1" s="86">
      <c r="T852" s="85" t="n"/>
      <c r="U852" s="85" t="n"/>
      <c r="V852" s="85" t="n"/>
      <c r="W852" s="85" t="n"/>
      <c r="X852" s="85" t="n"/>
      <c r="Y852" s="85" t="n"/>
      <c r="Z852" s="85" t="n"/>
    </row>
    <row r="853" ht="15.75" customHeight="1" s="86">
      <c r="T853" s="85" t="n"/>
      <c r="U853" s="85" t="n"/>
      <c r="V853" s="85" t="n"/>
      <c r="W853" s="85" t="n"/>
      <c r="X853" s="85" t="n"/>
      <c r="Y853" s="85" t="n"/>
      <c r="Z853" s="85" t="n"/>
    </row>
    <row r="854" ht="15.75" customHeight="1" s="86">
      <c r="T854" s="85" t="n"/>
      <c r="U854" s="85" t="n"/>
      <c r="V854" s="85" t="n"/>
      <c r="W854" s="85" t="n"/>
      <c r="X854" s="85" t="n"/>
      <c r="Y854" s="85" t="n"/>
      <c r="Z854" s="85" t="n"/>
    </row>
    <row r="855" ht="15.75" customHeight="1" s="86">
      <c r="T855" s="85" t="n"/>
      <c r="U855" s="85" t="n"/>
      <c r="V855" s="85" t="n"/>
      <c r="W855" s="85" t="n"/>
      <c r="X855" s="85" t="n"/>
      <c r="Y855" s="85" t="n"/>
      <c r="Z855" s="85" t="n"/>
    </row>
    <row r="856" ht="15.75" customHeight="1" s="86">
      <c r="T856" s="85" t="n"/>
      <c r="U856" s="85" t="n"/>
      <c r="V856" s="85" t="n"/>
      <c r="W856" s="85" t="n"/>
      <c r="X856" s="85" t="n"/>
      <c r="Y856" s="85" t="n"/>
      <c r="Z856" s="85" t="n"/>
    </row>
    <row r="857" ht="15.75" customHeight="1" s="86">
      <c r="T857" s="85" t="n"/>
      <c r="U857" s="85" t="n"/>
      <c r="V857" s="85" t="n"/>
      <c r="W857" s="85" t="n"/>
      <c r="X857" s="85" t="n"/>
      <c r="Y857" s="85" t="n"/>
      <c r="Z857" s="85" t="n"/>
    </row>
    <row r="858" ht="15.75" customHeight="1" s="86">
      <c r="T858" s="85" t="n"/>
      <c r="U858" s="85" t="n"/>
      <c r="V858" s="85" t="n"/>
      <c r="W858" s="85" t="n"/>
      <c r="X858" s="85" t="n"/>
      <c r="Y858" s="85" t="n"/>
      <c r="Z858" s="85" t="n"/>
    </row>
    <row r="859" ht="15.75" customHeight="1" s="86">
      <c r="T859" s="85" t="n"/>
      <c r="U859" s="85" t="n"/>
      <c r="V859" s="85" t="n"/>
      <c r="W859" s="85" t="n"/>
      <c r="X859" s="85" t="n"/>
      <c r="Y859" s="85" t="n"/>
      <c r="Z859" s="85" t="n"/>
    </row>
    <row r="860" ht="15.75" customHeight="1" s="86">
      <c r="T860" s="85" t="n"/>
      <c r="U860" s="85" t="n"/>
      <c r="V860" s="85" t="n"/>
      <c r="W860" s="85" t="n"/>
      <c r="X860" s="85" t="n"/>
      <c r="Y860" s="85" t="n"/>
      <c r="Z860" s="85" t="n"/>
    </row>
    <row r="861" ht="15.75" customHeight="1" s="86">
      <c r="T861" s="85" t="n"/>
      <c r="U861" s="85" t="n"/>
      <c r="V861" s="85" t="n"/>
      <c r="W861" s="85" t="n"/>
      <c r="X861" s="85" t="n"/>
      <c r="Y861" s="85" t="n"/>
      <c r="Z861" s="85" t="n"/>
    </row>
    <row r="862" ht="15.75" customHeight="1" s="86">
      <c r="T862" s="85" t="n"/>
      <c r="U862" s="85" t="n"/>
      <c r="V862" s="85" t="n"/>
      <c r="W862" s="85" t="n"/>
      <c r="X862" s="85" t="n"/>
      <c r="Y862" s="85" t="n"/>
      <c r="Z862" s="85" t="n"/>
    </row>
    <row r="863" ht="15.75" customHeight="1" s="86">
      <c r="T863" s="85" t="n"/>
      <c r="U863" s="85" t="n"/>
      <c r="V863" s="85" t="n"/>
      <c r="W863" s="85" t="n"/>
      <c r="X863" s="85" t="n"/>
      <c r="Y863" s="85" t="n"/>
      <c r="Z863" s="85" t="n"/>
    </row>
    <row r="864" ht="15.75" customHeight="1" s="86">
      <c r="T864" s="85" t="n"/>
      <c r="U864" s="85" t="n"/>
      <c r="V864" s="85" t="n"/>
      <c r="W864" s="85" t="n"/>
      <c r="X864" s="85" t="n"/>
      <c r="Y864" s="85" t="n"/>
      <c r="Z864" s="85" t="n"/>
    </row>
    <row r="865" ht="15.75" customHeight="1" s="86">
      <c r="T865" s="85" t="n"/>
      <c r="U865" s="85" t="n"/>
      <c r="V865" s="85" t="n"/>
      <c r="W865" s="85" t="n"/>
      <c r="X865" s="85" t="n"/>
      <c r="Y865" s="85" t="n"/>
      <c r="Z865" s="85" t="n"/>
    </row>
    <row r="866" ht="15.75" customHeight="1" s="86">
      <c r="T866" s="85" t="n"/>
      <c r="U866" s="85" t="n"/>
      <c r="V866" s="85" t="n"/>
      <c r="W866" s="85" t="n"/>
      <c r="X866" s="85" t="n"/>
      <c r="Y866" s="85" t="n"/>
      <c r="Z866" s="85" t="n"/>
    </row>
    <row r="867" ht="15.75" customHeight="1" s="86">
      <c r="T867" s="85" t="n"/>
      <c r="U867" s="85" t="n"/>
      <c r="V867" s="85" t="n"/>
      <c r="W867" s="85" t="n"/>
      <c r="X867" s="85" t="n"/>
      <c r="Y867" s="85" t="n"/>
      <c r="Z867" s="85" t="n"/>
    </row>
    <row r="868" ht="15.75" customHeight="1" s="86">
      <c r="T868" s="85" t="n"/>
      <c r="U868" s="85" t="n"/>
      <c r="V868" s="85" t="n"/>
      <c r="W868" s="85" t="n"/>
      <c r="X868" s="85" t="n"/>
      <c r="Y868" s="85" t="n"/>
      <c r="Z868" s="85" t="n"/>
    </row>
    <row r="869" ht="15.75" customHeight="1" s="86">
      <c r="T869" s="85" t="n"/>
      <c r="U869" s="85" t="n"/>
      <c r="V869" s="85" t="n"/>
      <c r="W869" s="85" t="n"/>
      <c r="X869" s="85" t="n"/>
      <c r="Y869" s="85" t="n"/>
      <c r="Z869" s="85" t="n"/>
    </row>
    <row r="870" ht="15.75" customHeight="1" s="86">
      <c r="T870" s="85" t="n"/>
      <c r="U870" s="85" t="n"/>
      <c r="V870" s="85" t="n"/>
      <c r="W870" s="85" t="n"/>
      <c r="X870" s="85" t="n"/>
      <c r="Y870" s="85" t="n"/>
      <c r="Z870" s="85" t="n"/>
    </row>
    <row r="871" ht="15.75" customHeight="1" s="86">
      <c r="T871" s="85" t="n"/>
      <c r="U871" s="85" t="n"/>
      <c r="V871" s="85" t="n"/>
      <c r="W871" s="85" t="n"/>
      <c r="X871" s="85" t="n"/>
      <c r="Y871" s="85" t="n"/>
      <c r="Z871" s="85" t="n"/>
    </row>
    <row r="872" ht="15.75" customHeight="1" s="86">
      <c r="T872" s="85" t="n"/>
      <c r="U872" s="85" t="n"/>
      <c r="V872" s="85" t="n"/>
      <c r="W872" s="85" t="n"/>
      <c r="X872" s="85" t="n"/>
      <c r="Y872" s="85" t="n"/>
      <c r="Z872" s="85" t="n"/>
    </row>
    <row r="873" ht="15.75" customHeight="1" s="86">
      <c r="T873" s="85" t="n"/>
      <c r="U873" s="85" t="n"/>
      <c r="V873" s="85" t="n"/>
      <c r="W873" s="85" t="n"/>
      <c r="X873" s="85" t="n"/>
      <c r="Y873" s="85" t="n"/>
      <c r="Z873" s="85" t="n"/>
    </row>
    <row r="874" ht="15.75" customHeight="1" s="86">
      <c r="T874" s="85" t="n"/>
      <c r="U874" s="85" t="n"/>
      <c r="V874" s="85" t="n"/>
      <c r="W874" s="85" t="n"/>
      <c r="X874" s="85" t="n"/>
      <c r="Y874" s="85" t="n"/>
      <c r="Z874" s="85" t="n"/>
    </row>
    <row r="875" ht="15.75" customHeight="1" s="86">
      <c r="T875" s="85" t="n"/>
      <c r="U875" s="85" t="n"/>
      <c r="V875" s="85" t="n"/>
      <c r="W875" s="85" t="n"/>
      <c r="X875" s="85" t="n"/>
      <c r="Y875" s="85" t="n"/>
      <c r="Z875" s="85" t="n"/>
    </row>
    <row r="876" ht="15.75" customHeight="1" s="86">
      <c r="T876" s="85" t="n"/>
      <c r="U876" s="85" t="n"/>
      <c r="V876" s="85" t="n"/>
      <c r="W876" s="85" t="n"/>
      <c r="X876" s="85" t="n"/>
      <c r="Y876" s="85" t="n"/>
      <c r="Z876" s="85" t="n"/>
    </row>
    <row r="877" ht="15.75" customHeight="1" s="86">
      <c r="T877" s="85" t="n"/>
      <c r="U877" s="85" t="n"/>
      <c r="V877" s="85" t="n"/>
      <c r="W877" s="85" t="n"/>
      <c r="X877" s="85" t="n"/>
      <c r="Y877" s="85" t="n"/>
      <c r="Z877" s="85" t="n"/>
    </row>
    <row r="878" ht="15.75" customHeight="1" s="86">
      <c r="T878" s="85" t="n"/>
      <c r="U878" s="85" t="n"/>
      <c r="V878" s="85" t="n"/>
      <c r="W878" s="85" t="n"/>
      <c r="X878" s="85" t="n"/>
      <c r="Y878" s="85" t="n"/>
      <c r="Z878" s="85" t="n"/>
    </row>
    <row r="879" ht="15.75" customHeight="1" s="86">
      <c r="T879" s="85" t="n"/>
      <c r="U879" s="85" t="n"/>
      <c r="V879" s="85" t="n"/>
      <c r="W879" s="85" t="n"/>
      <c r="X879" s="85" t="n"/>
      <c r="Y879" s="85" t="n"/>
      <c r="Z879" s="85" t="n"/>
    </row>
    <row r="880" ht="15.75" customHeight="1" s="86">
      <c r="T880" s="85" t="n"/>
      <c r="U880" s="85" t="n"/>
      <c r="V880" s="85" t="n"/>
      <c r="W880" s="85" t="n"/>
      <c r="X880" s="85" t="n"/>
      <c r="Y880" s="85" t="n"/>
      <c r="Z880" s="85" t="n"/>
    </row>
    <row r="881" ht="15.75" customHeight="1" s="86">
      <c r="T881" s="85" t="n"/>
      <c r="U881" s="85" t="n"/>
      <c r="V881" s="85" t="n"/>
      <c r="W881" s="85" t="n"/>
      <c r="X881" s="85" t="n"/>
      <c r="Y881" s="85" t="n"/>
      <c r="Z881" s="85" t="n"/>
    </row>
    <row r="882" ht="15.75" customHeight="1" s="86">
      <c r="T882" s="85" t="n"/>
      <c r="U882" s="85" t="n"/>
      <c r="V882" s="85" t="n"/>
      <c r="W882" s="85" t="n"/>
      <c r="X882" s="85" t="n"/>
      <c r="Y882" s="85" t="n"/>
      <c r="Z882" s="85" t="n"/>
    </row>
    <row r="883" ht="15.75" customHeight="1" s="86">
      <c r="T883" s="85" t="n"/>
      <c r="U883" s="85" t="n"/>
      <c r="V883" s="85" t="n"/>
      <c r="W883" s="85" t="n"/>
      <c r="X883" s="85" t="n"/>
      <c r="Y883" s="85" t="n"/>
      <c r="Z883" s="85" t="n"/>
    </row>
    <row r="884" ht="15.75" customHeight="1" s="86">
      <c r="T884" s="85" t="n"/>
      <c r="U884" s="85" t="n"/>
      <c r="V884" s="85" t="n"/>
      <c r="W884" s="85" t="n"/>
      <c r="X884" s="85" t="n"/>
      <c r="Y884" s="85" t="n"/>
      <c r="Z884" s="85" t="n"/>
    </row>
    <row r="885" ht="15.75" customHeight="1" s="86">
      <c r="T885" s="85" t="n"/>
      <c r="U885" s="85" t="n"/>
      <c r="V885" s="85" t="n"/>
      <c r="W885" s="85" t="n"/>
      <c r="X885" s="85" t="n"/>
      <c r="Y885" s="85" t="n"/>
      <c r="Z885" s="85" t="n"/>
    </row>
    <row r="886" ht="15.75" customHeight="1" s="86">
      <c r="T886" s="85" t="n"/>
      <c r="U886" s="85" t="n"/>
      <c r="V886" s="85" t="n"/>
      <c r="W886" s="85" t="n"/>
      <c r="X886" s="85" t="n"/>
      <c r="Y886" s="85" t="n"/>
      <c r="Z886" s="85" t="n"/>
    </row>
    <row r="887" ht="15.75" customHeight="1" s="86">
      <c r="T887" s="85" t="n"/>
      <c r="U887" s="85" t="n"/>
      <c r="V887" s="85" t="n"/>
      <c r="W887" s="85" t="n"/>
      <c r="X887" s="85" t="n"/>
      <c r="Y887" s="85" t="n"/>
      <c r="Z887" s="85" t="n"/>
    </row>
    <row r="888" ht="15.75" customHeight="1" s="86">
      <c r="T888" s="85" t="n"/>
      <c r="U888" s="85" t="n"/>
      <c r="V888" s="85" t="n"/>
      <c r="W888" s="85" t="n"/>
      <c r="X888" s="85" t="n"/>
      <c r="Y888" s="85" t="n"/>
      <c r="Z888" s="85" t="n"/>
    </row>
    <row r="889" ht="15.75" customHeight="1" s="86">
      <c r="T889" s="85" t="n"/>
      <c r="U889" s="85" t="n"/>
      <c r="V889" s="85" t="n"/>
      <c r="W889" s="85" t="n"/>
      <c r="X889" s="85" t="n"/>
      <c r="Y889" s="85" t="n"/>
      <c r="Z889" s="85" t="n"/>
    </row>
    <row r="890" ht="15.75" customHeight="1" s="86">
      <c r="T890" s="85" t="n"/>
      <c r="U890" s="85" t="n"/>
      <c r="V890" s="85" t="n"/>
      <c r="W890" s="85" t="n"/>
      <c r="X890" s="85" t="n"/>
      <c r="Y890" s="85" t="n"/>
      <c r="Z890" s="85" t="n"/>
    </row>
    <row r="891" ht="15.75" customHeight="1" s="86">
      <c r="T891" s="85" t="n"/>
      <c r="U891" s="85" t="n"/>
      <c r="V891" s="85" t="n"/>
      <c r="W891" s="85" t="n"/>
      <c r="X891" s="85" t="n"/>
      <c r="Y891" s="85" t="n"/>
      <c r="Z891" s="85" t="n"/>
    </row>
    <row r="892" ht="15.75" customHeight="1" s="86">
      <c r="T892" s="85" t="n"/>
      <c r="U892" s="85" t="n"/>
      <c r="V892" s="85" t="n"/>
      <c r="W892" s="85" t="n"/>
      <c r="X892" s="85" t="n"/>
      <c r="Y892" s="85" t="n"/>
      <c r="Z892" s="85" t="n"/>
    </row>
    <row r="893" ht="15.75" customHeight="1" s="86">
      <c r="T893" s="85" t="n"/>
      <c r="U893" s="85" t="n"/>
      <c r="V893" s="85" t="n"/>
      <c r="W893" s="85" t="n"/>
      <c r="X893" s="85" t="n"/>
      <c r="Y893" s="85" t="n"/>
      <c r="Z893" s="85" t="n"/>
    </row>
    <row r="894" ht="15.75" customHeight="1" s="86">
      <c r="T894" s="85" t="n"/>
      <c r="U894" s="85" t="n"/>
      <c r="V894" s="85" t="n"/>
      <c r="W894" s="85" t="n"/>
      <c r="X894" s="85" t="n"/>
      <c r="Y894" s="85" t="n"/>
      <c r="Z894" s="85" t="n"/>
    </row>
    <row r="895" ht="15.75" customHeight="1" s="86">
      <c r="T895" s="85" t="n"/>
      <c r="U895" s="85" t="n"/>
      <c r="V895" s="85" t="n"/>
      <c r="W895" s="85" t="n"/>
      <c r="X895" s="85" t="n"/>
      <c r="Y895" s="85" t="n"/>
      <c r="Z895" s="85" t="n"/>
    </row>
    <row r="896" ht="15.75" customHeight="1" s="86">
      <c r="T896" s="85" t="n"/>
      <c r="U896" s="85" t="n"/>
      <c r="V896" s="85" t="n"/>
      <c r="W896" s="85" t="n"/>
      <c r="X896" s="85" t="n"/>
      <c r="Y896" s="85" t="n"/>
      <c r="Z896" s="85" t="n"/>
    </row>
    <row r="897" ht="15.75" customHeight="1" s="86">
      <c r="T897" s="85" t="n"/>
      <c r="U897" s="85" t="n"/>
      <c r="V897" s="85" t="n"/>
      <c r="W897" s="85" t="n"/>
      <c r="X897" s="85" t="n"/>
      <c r="Y897" s="85" t="n"/>
      <c r="Z897" s="85" t="n"/>
    </row>
    <row r="898" ht="15.75" customHeight="1" s="86">
      <c r="T898" s="85" t="n"/>
      <c r="U898" s="85" t="n"/>
      <c r="V898" s="85" t="n"/>
      <c r="W898" s="85" t="n"/>
      <c r="X898" s="85" t="n"/>
      <c r="Y898" s="85" t="n"/>
      <c r="Z898" s="85" t="n"/>
    </row>
    <row r="899" ht="15.75" customHeight="1" s="86">
      <c r="T899" s="85" t="n"/>
      <c r="U899" s="85" t="n"/>
      <c r="V899" s="85" t="n"/>
      <c r="W899" s="85" t="n"/>
      <c r="X899" s="85" t="n"/>
      <c r="Y899" s="85" t="n"/>
      <c r="Z899" s="85" t="n"/>
    </row>
    <row r="900" ht="15.75" customHeight="1" s="86">
      <c r="T900" s="85" t="n"/>
      <c r="U900" s="85" t="n"/>
      <c r="V900" s="85" t="n"/>
      <c r="W900" s="85" t="n"/>
      <c r="X900" s="85" t="n"/>
      <c r="Y900" s="85" t="n"/>
      <c r="Z900" s="85" t="n"/>
    </row>
    <row r="901" ht="15.75" customHeight="1" s="86">
      <c r="T901" s="85" t="n"/>
      <c r="U901" s="85" t="n"/>
      <c r="V901" s="85" t="n"/>
      <c r="W901" s="85" t="n"/>
      <c r="X901" s="85" t="n"/>
      <c r="Y901" s="85" t="n"/>
      <c r="Z901" s="85" t="n"/>
    </row>
    <row r="902" ht="15.75" customHeight="1" s="86">
      <c r="T902" s="85" t="n"/>
      <c r="U902" s="85" t="n"/>
      <c r="V902" s="85" t="n"/>
      <c r="W902" s="85" t="n"/>
      <c r="X902" s="85" t="n"/>
      <c r="Y902" s="85" t="n"/>
      <c r="Z902" s="85" t="n"/>
    </row>
    <row r="903" ht="15.75" customHeight="1" s="86">
      <c r="T903" s="85" t="n"/>
      <c r="U903" s="85" t="n"/>
      <c r="V903" s="85" t="n"/>
      <c r="W903" s="85" t="n"/>
      <c r="X903" s="85" t="n"/>
      <c r="Y903" s="85" t="n"/>
      <c r="Z903" s="85" t="n"/>
    </row>
    <row r="904" ht="15.75" customHeight="1" s="86">
      <c r="T904" s="85" t="n"/>
      <c r="U904" s="85" t="n"/>
      <c r="V904" s="85" t="n"/>
      <c r="W904" s="85" t="n"/>
      <c r="X904" s="85" t="n"/>
      <c r="Y904" s="85" t="n"/>
      <c r="Z904" s="85" t="n"/>
    </row>
    <row r="905" ht="15.75" customHeight="1" s="86">
      <c r="T905" s="85" t="n"/>
      <c r="U905" s="85" t="n"/>
      <c r="V905" s="85" t="n"/>
      <c r="W905" s="85" t="n"/>
      <c r="X905" s="85" t="n"/>
      <c r="Y905" s="85" t="n"/>
      <c r="Z905" s="85" t="n"/>
    </row>
    <row r="906" ht="15.75" customHeight="1" s="86">
      <c r="T906" s="85" t="n"/>
      <c r="U906" s="85" t="n"/>
      <c r="V906" s="85" t="n"/>
      <c r="W906" s="85" t="n"/>
      <c r="X906" s="85" t="n"/>
      <c r="Y906" s="85" t="n"/>
      <c r="Z906" s="85" t="n"/>
    </row>
    <row r="907" ht="15.75" customHeight="1" s="86">
      <c r="T907" s="85" t="n"/>
      <c r="U907" s="85" t="n"/>
      <c r="V907" s="85" t="n"/>
      <c r="W907" s="85" t="n"/>
      <c r="X907" s="85" t="n"/>
      <c r="Y907" s="85" t="n"/>
      <c r="Z907" s="85" t="n"/>
    </row>
    <row r="908" ht="15.75" customHeight="1" s="86">
      <c r="T908" s="85" t="n"/>
      <c r="U908" s="85" t="n"/>
      <c r="V908" s="85" t="n"/>
      <c r="W908" s="85" t="n"/>
      <c r="X908" s="85" t="n"/>
      <c r="Y908" s="85" t="n"/>
      <c r="Z908" s="85" t="n"/>
    </row>
    <row r="909" ht="15.75" customHeight="1" s="86">
      <c r="T909" s="85" t="n"/>
      <c r="U909" s="85" t="n"/>
      <c r="V909" s="85" t="n"/>
      <c r="W909" s="85" t="n"/>
      <c r="X909" s="85" t="n"/>
      <c r="Y909" s="85" t="n"/>
      <c r="Z909" s="85" t="n"/>
    </row>
    <row r="910" ht="15.75" customHeight="1" s="86">
      <c r="T910" s="85" t="n"/>
      <c r="U910" s="85" t="n"/>
      <c r="V910" s="85" t="n"/>
      <c r="W910" s="85" t="n"/>
      <c r="X910" s="85" t="n"/>
      <c r="Y910" s="85" t="n"/>
      <c r="Z910" s="85" t="n"/>
    </row>
    <row r="911" ht="15.75" customHeight="1" s="86">
      <c r="T911" s="85" t="n"/>
      <c r="U911" s="85" t="n"/>
      <c r="V911" s="85" t="n"/>
      <c r="W911" s="85" t="n"/>
      <c r="X911" s="85" t="n"/>
      <c r="Y911" s="85" t="n"/>
      <c r="Z911" s="85" t="n"/>
    </row>
    <row r="912" ht="15.75" customHeight="1" s="86">
      <c r="T912" s="85" t="n"/>
      <c r="U912" s="85" t="n"/>
      <c r="V912" s="85" t="n"/>
      <c r="W912" s="85" t="n"/>
      <c r="X912" s="85" t="n"/>
      <c r="Y912" s="85" t="n"/>
      <c r="Z912" s="85" t="n"/>
    </row>
    <row r="913" ht="15.75" customHeight="1" s="86">
      <c r="T913" s="85" t="n"/>
      <c r="U913" s="85" t="n"/>
      <c r="V913" s="85" t="n"/>
      <c r="W913" s="85" t="n"/>
      <c r="X913" s="85" t="n"/>
      <c r="Y913" s="85" t="n"/>
      <c r="Z913" s="85" t="n"/>
    </row>
    <row r="914" ht="15.75" customHeight="1" s="86">
      <c r="T914" s="85" t="n"/>
      <c r="U914" s="85" t="n"/>
      <c r="V914" s="85" t="n"/>
      <c r="W914" s="85" t="n"/>
      <c r="X914" s="85" t="n"/>
      <c r="Y914" s="85" t="n"/>
      <c r="Z914" s="85" t="n"/>
    </row>
    <row r="915" ht="15.75" customHeight="1" s="86">
      <c r="T915" s="85" t="n"/>
      <c r="U915" s="85" t="n"/>
      <c r="V915" s="85" t="n"/>
      <c r="W915" s="85" t="n"/>
      <c r="X915" s="85" t="n"/>
      <c r="Y915" s="85" t="n"/>
      <c r="Z915" s="85" t="n"/>
    </row>
    <row r="916" ht="15.75" customHeight="1" s="86">
      <c r="T916" s="85" t="n"/>
      <c r="U916" s="85" t="n"/>
      <c r="V916" s="85" t="n"/>
      <c r="W916" s="85" t="n"/>
      <c r="X916" s="85" t="n"/>
      <c r="Y916" s="85" t="n"/>
      <c r="Z916" s="85" t="n"/>
    </row>
    <row r="917" ht="15.75" customHeight="1" s="86">
      <c r="T917" s="85" t="n"/>
      <c r="U917" s="85" t="n"/>
      <c r="V917" s="85" t="n"/>
      <c r="W917" s="85" t="n"/>
      <c r="X917" s="85" t="n"/>
      <c r="Y917" s="85" t="n"/>
      <c r="Z917" s="85" t="n"/>
    </row>
    <row r="918" ht="15.75" customHeight="1" s="86">
      <c r="T918" s="85" t="n"/>
      <c r="U918" s="85" t="n"/>
      <c r="V918" s="85" t="n"/>
      <c r="W918" s="85" t="n"/>
      <c r="X918" s="85" t="n"/>
      <c r="Y918" s="85" t="n"/>
      <c r="Z918" s="85" t="n"/>
    </row>
    <row r="919" ht="15.75" customHeight="1" s="86">
      <c r="T919" s="85" t="n"/>
      <c r="U919" s="85" t="n"/>
      <c r="V919" s="85" t="n"/>
      <c r="W919" s="85" t="n"/>
      <c r="X919" s="85" t="n"/>
      <c r="Y919" s="85" t="n"/>
      <c r="Z919" s="85" t="n"/>
    </row>
    <row r="920" ht="15.75" customHeight="1" s="86">
      <c r="T920" s="85" t="n"/>
      <c r="U920" s="85" t="n"/>
      <c r="V920" s="85" t="n"/>
      <c r="W920" s="85" t="n"/>
      <c r="X920" s="85" t="n"/>
      <c r="Y920" s="85" t="n"/>
      <c r="Z920" s="85" t="n"/>
    </row>
    <row r="921" ht="15.75" customHeight="1" s="86">
      <c r="T921" s="85" t="n"/>
      <c r="U921" s="85" t="n"/>
      <c r="V921" s="85" t="n"/>
      <c r="W921" s="85" t="n"/>
      <c r="X921" s="85" t="n"/>
      <c r="Y921" s="85" t="n"/>
      <c r="Z921" s="85" t="n"/>
    </row>
    <row r="922" ht="15.75" customHeight="1" s="86">
      <c r="T922" s="85" t="n"/>
      <c r="U922" s="85" t="n"/>
      <c r="V922" s="85" t="n"/>
      <c r="W922" s="85" t="n"/>
      <c r="X922" s="85" t="n"/>
      <c r="Y922" s="85" t="n"/>
      <c r="Z922" s="85" t="n"/>
    </row>
    <row r="923" ht="15.75" customHeight="1" s="86">
      <c r="T923" s="85" t="n"/>
      <c r="U923" s="85" t="n"/>
      <c r="V923" s="85" t="n"/>
      <c r="W923" s="85" t="n"/>
      <c r="X923" s="85" t="n"/>
      <c r="Y923" s="85" t="n"/>
      <c r="Z923" s="85" t="n"/>
    </row>
    <row r="924" ht="15.75" customHeight="1" s="86">
      <c r="T924" s="85" t="n"/>
      <c r="U924" s="85" t="n"/>
      <c r="V924" s="85" t="n"/>
      <c r="W924" s="85" t="n"/>
      <c r="X924" s="85" t="n"/>
      <c r="Y924" s="85" t="n"/>
      <c r="Z924" s="85" t="n"/>
    </row>
    <row r="925" ht="15.75" customHeight="1" s="86">
      <c r="T925" s="85" t="n"/>
      <c r="U925" s="85" t="n"/>
      <c r="V925" s="85" t="n"/>
      <c r="W925" s="85" t="n"/>
      <c r="X925" s="85" t="n"/>
      <c r="Y925" s="85" t="n"/>
      <c r="Z925" s="85" t="n"/>
    </row>
    <row r="926" ht="15.75" customHeight="1" s="86">
      <c r="T926" s="85" t="n"/>
      <c r="U926" s="85" t="n"/>
      <c r="V926" s="85" t="n"/>
      <c r="W926" s="85" t="n"/>
      <c r="X926" s="85" t="n"/>
      <c r="Y926" s="85" t="n"/>
      <c r="Z926" s="85" t="n"/>
    </row>
    <row r="927" ht="15.75" customHeight="1" s="86">
      <c r="T927" s="85" t="n"/>
      <c r="U927" s="85" t="n"/>
      <c r="V927" s="85" t="n"/>
      <c r="W927" s="85" t="n"/>
      <c r="X927" s="85" t="n"/>
      <c r="Y927" s="85" t="n"/>
      <c r="Z927" s="85" t="n"/>
    </row>
    <row r="928" ht="15.75" customHeight="1" s="86">
      <c r="T928" s="85" t="n"/>
      <c r="U928" s="85" t="n"/>
      <c r="V928" s="85" t="n"/>
      <c r="W928" s="85" t="n"/>
      <c r="X928" s="85" t="n"/>
      <c r="Y928" s="85" t="n"/>
      <c r="Z928" s="85" t="n"/>
    </row>
    <row r="929" ht="15.75" customHeight="1" s="86">
      <c r="T929" s="85" t="n"/>
      <c r="U929" s="85" t="n"/>
      <c r="V929" s="85" t="n"/>
      <c r="W929" s="85" t="n"/>
      <c r="X929" s="85" t="n"/>
      <c r="Y929" s="85" t="n"/>
      <c r="Z929" s="85" t="n"/>
    </row>
    <row r="930" ht="15.75" customHeight="1" s="86">
      <c r="T930" s="85" t="n"/>
      <c r="U930" s="85" t="n"/>
      <c r="V930" s="85" t="n"/>
      <c r="W930" s="85" t="n"/>
      <c r="X930" s="85" t="n"/>
      <c r="Y930" s="85" t="n"/>
      <c r="Z930" s="85" t="n"/>
    </row>
    <row r="931" ht="15.75" customHeight="1" s="86">
      <c r="T931" s="85" t="n"/>
      <c r="U931" s="85" t="n"/>
      <c r="V931" s="85" t="n"/>
      <c r="W931" s="85" t="n"/>
      <c r="X931" s="85" t="n"/>
      <c r="Y931" s="85" t="n"/>
      <c r="Z931" s="85" t="n"/>
    </row>
    <row r="932" ht="15.75" customHeight="1" s="86">
      <c r="T932" s="85" t="n"/>
      <c r="U932" s="85" t="n"/>
      <c r="V932" s="85" t="n"/>
      <c r="W932" s="85" t="n"/>
      <c r="X932" s="85" t="n"/>
      <c r="Y932" s="85" t="n"/>
      <c r="Z932" s="85" t="n"/>
    </row>
    <row r="933" ht="15.75" customHeight="1" s="86">
      <c r="T933" s="85" t="n"/>
      <c r="U933" s="85" t="n"/>
      <c r="V933" s="85" t="n"/>
      <c r="W933" s="85" t="n"/>
      <c r="X933" s="85" t="n"/>
      <c r="Y933" s="85" t="n"/>
      <c r="Z933" s="85" t="n"/>
    </row>
    <row r="934" ht="15.75" customHeight="1" s="86">
      <c r="T934" s="85" t="n"/>
      <c r="U934" s="85" t="n"/>
      <c r="V934" s="85" t="n"/>
      <c r="W934" s="85" t="n"/>
      <c r="X934" s="85" t="n"/>
      <c r="Y934" s="85" t="n"/>
      <c r="Z934" s="85" t="n"/>
    </row>
    <row r="935" ht="15.75" customHeight="1" s="86">
      <c r="T935" s="85" t="n"/>
      <c r="U935" s="85" t="n"/>
      <c r="V935" s="85" t="n"/>
      <c r="W935" s="85" t="n"/>
      <c r="X935" s="85" t="n"/>
      <c r="Y935" s="85" t="n"/>
      <c r="Z935" s="85" t="n"/>
    </row>
    <row r="936" ht="15.75" customHeight="1" s="86">
      <c r="T936" s="85" t="n"/>
      <c r="U936" s="85" t="n"/>
      <c r="V936" s="85" t="n"/>
      <c r="W936" s="85" t="n"/>
      <c r="X936" s="85" t="n"/>
      <c r="Y936" s="85" t="n"/>
      <c r="Z936" s="85" t="n"/>
    </row>
    <row r="937" ht="15.75" customHeight="1" s="86">
      <c r="T937" s="85" t="n"/>
      <c r="U937" s="85" t="n"/>
      <c r="V937" s="85" t="n"/>
      <c r="W937" s="85" t="n"/>
      <c r="X937" s="85" t="n"/>
      <c r="Y937" s="85" t="n"/>
      <c r="Z937" s="85" t="n"/>
    </row>
    <row r="938" ht="15.75" customHeight="1" s="86">
      <c r="T938" s="85" t="n"/>
      <c r="U938" s="85" t="n"/>
      <c r="V938" s="85" t="n"/>
      <c r="W938" s="85" t="n"/>
      <c r="X938" s="85" t="n"/>
      <c r="Y938" s="85" t="n"/>
      <c r="Z938" s="85" t="n"/>
    </row>
    <row r="939" ht="15.75" customHeight="1" s="86">
      <c r="T939" s="85" t="n"/>
      <c r="U939" s="85" t="n"/>
      <c r="V939" s="85" t="n"/>
      <c r="W939" s="85" t="n"/>
      <c r="X939" s="85" t="n"/>
      <c r="Y939" s="85" t="n"/>
      <c r="Z939" s="85" t="n"/>
    </row>
    <row r="940" ht="15.75" customHeight="1" s="86">
      <c r="T940" s="85" t="n"/>
      <c r="U940" s="85" t="n"/>
      <c r="V940" s="85" t="n"/>
      <c r="W940" s="85" t="n"/>
      <c r="X940" s="85" t="n"/>
      <c r="Y940" s="85" t="n"/>
      <c r="Z940" s="85" t="n"/>
    </row>
    <row r="941" ht="15.75" customHeight="1" s="86">
      <c r="T941" s="85" t="n"/>
      <c r="U941" s="85" t="n"/>
      <c r="V941" s="85" t="n"/>
      <c r="W941" s="85" t="n"/>
      <c r="X941" s="85" t="n"/>
      <c r="Y941" s="85" t="n"/>
      <c r="Z941" s="85" t="n"/>
    </row>
    <row r="942" ht="15.75" customHeight="1" s="86">
      <c r="T942" s="85" t="n"/>
      <c r="U942" s="85" t="n"/>
      <c r="V942" s="85" t="n"/>
      <c r="W942" s="85" t="n"/>
      <c r="X942" s="85" t="n"/>
      <c r="Y942" s="85" t="n"/>
      <c r="Z942" s="85" t="n"/>
    </row>
    <row r="943" ht="15.75" customHeight="1" s="86">
      <c r="T943" s="85" t="n"/>
      <c r="U943" s="85" t="n"/>
      <c r="V943" s="85" t="n"/>
      <c r="W943" s="85" t="n"/>
      <c r="X943" s="85" t="n"/>
      <c r="Y943" s="85" t="n"/>
      <c r="Z943" s="85" t="n"/>
    </row>
    <row r="944" ht="15.75" customHeight="1" s="86">
      <c r="T944" s="85" t="n"/>
      <c r="U944" s="85" t="n"/>
      <c r="V944" s="85" t="n"/>
      <c r="W944" s="85" t="n"/>
      <c r="X944" s="85" t="n"/>
      <c r="Y944" s="85" t="n"/>
      <c r="Z944" s="85" t="n"/>
    </row>
    <row r="945" ht="15.75" customHeight="1" s="86">
      <c r="T945" s="85" t="n"/>
      <c r="U945" s="85" t="n"/>
      <c r="V945" s="85" t="n"/>
      <c r="W945" s="85" t="n"/>
      <c r="X945" s="85" t="n"/>
      <c r="Y945" s="85" t="n"/>
      <c r="Z945" s="85" t="n"/>
    </row>
    <row r="946" ht="15.75" customHeight="1" s="86">
      <c r="T946" s="85" t="n"/>
      <c r="U946" s="85" t="n"/>
      <c r="V946" s="85" t="n"/>
      <c r="W946" s="85" t="n"/>
      <c r="X946" s="85" t="n"/>
      <c r="Y946" s="85" t="n"/>
      <c r="Z946" s="85" t="n"/>
    </row>
    <row r="947" ht="15.75" customHeight="1" s="86">
      <c r="T947" s="85" t="n"/>
      <c r="U947" s="85" t="n"/>
      <c r="V947" s="85" t="n"/>
      <c r="W947" s="85" t="n"/>
      <c r="X947" s="85" t="n"/>
      <c r="Y947" s="85" t="n"/>
      <c r="Z947" s="85" t="n"/>
    </row>
    <row r="948" ht="15.75" customHeight="1" s="86">
      <c r="T948" s="85" t="n"/>
      <c r="U948" s="85" t="n"/>
      <c r="V948" s="85" t="n"/>
      <c r="W948" s="85" t="n"/>
      <c r="X948" s="85" t="n"/>
      <c r="Y948" s="85" t="n"/>
      <c r="Z948" s="85" t="n"/>
    </row>
    <row r="949" ht="15.75" customHeight="1" s="86">
      <c r="T949" s="85" t="n"/>
      <c r="U949" s="85" t="n"/>
      <c r="V949" s="85" t="n"/>
      <c r="W949" s="85" t="n"/>
      <c r="X949" s="85" t="n"/>
      <c r="Y949" s="85" t="n"/>
      <c r="Z949" s="85" t="n"/>
    </row>
    <row r="950" ht="15.75" customHeight="1" s="86">
      <c r="T950" s="85" t="n"/>
      <c r="U950" s="85" t="n"/>
      <c r="V950" s="85" t="n"/>
      <c r="W950" s="85" t="n"/>
      <c r="X950" s="85" t="n"/>
      <c r="Y950" s="85" t="n"/>
      <c r="Z950" s="85" t="n"/>
    </row>
    <row r="951" ht="15.75" customHeight="1" s="86">
      <c r="T951" s="85" t="n"/>
      <c r="U951" s="85" t="n"/>
      <c r="V951" s="85" t="n"/>
      <c r="W951" s="85" t="n"/>
      <c r="X951" s="85" t="n"/>
      <c r="Y951" s="85" t="n"/>
      <c r="Z951" s="85" t="n"/>
    </row>
    <row r="952" ht="15.75" customHeight="1" s="86">
      <c r="T952" s="85" t="n"/>
      <c r="U952" s="85" t="n"/>
      <c r="V952" s="85" t="n"/>
      <c r="W952" s="85" t="n"/>
      <c r="X952" s="85" t="n"/>
      <c r="Y952" s="85" t="n"/>
      <c r="Z952" s="85" t="n"/>
    </row>
    <row r="953" ht="15.75" customHeight="1" s="86">
      <c r="T953" s="85" t="n"/>
      <c r="U953" s="85" t="n"/>
      <c r="V953" s="85" t="n"/>
      <c r="W953" s="85" t="n"/>
      <c r="X953" s="85" t="n"/>
      <c r="Y953" s="85" t="n"/>
      <c r="Z953" s="85" t="n"/>
    </row>
    <row r="954" ht="15.75" customHeight="1" s="86">
      <c r="T954" s="85" t="n"/>
      <c r="U954" s="85" t="n"/>
      <c r="V954" s="85" t="n"/>
      <c r="W954" s="85" t="n"/>
      <c r="X954" s="85" t="n"/>
      <c r="Y954" s="85" t="n"/>
      <c r="Z954" s="85" t="n"/>
    </row>
    <row r="955" ht="15.75" customHeight="1" s="86">
      <c r="T955" s="85" t="n"/>
      <c r="U955" s="85" t="n"/>
      <c r="V955" s="85" t="n"/>
      <c r="W955" s="85" t="n"/>
      <c r="X955" s="85" t="n"/>
      <c r="Y955" s="85" t="n"/>
      <c r="Z955" s="85" t="n"/>
    </row>
    <row r="956" ht="15.75" customHeight="1" s="86">
      <c r="T956" s="85" t="n"/>
      <c r="U956" s="85" t="n"/>
      <c r="V956" s="85" t="n"/>
      <c r="W956" s="85" t="n"/>
      <c r="X956" s="85" t="n"/>
      <c r="Y956" s="85" t="n"/>
      <c r="Z956" s="85" t="n"/>
    </row>
    <row r="957" ht="15.75" customHeight="1" s="86">
      <c r="T957" s="85" t="n"/>
      <c r="U957" s="85" t="n"/>
      <c r="V957" s="85" t="n"/>
      <c r="W957" s="85" t="n"/>
      <c r="X957" s="85" t="n"/>
      <c r="Y957" s="85" t="n"/>
      <c r="Z957" s="85" t="n"/>
    </row>
    <row r="958" ht="15.75" customHeight="1" s="86">
      <c r="T958" s="85" t="n"/>
      <c r="U958" s="85" t="n"/>
      <c r="V958" s="85" t="n"/>
      <c r="W958" s="85" t="n"/>
      <c r="X958" s="85" t="n"/>
      <c r="Y958" s="85" t="n"/>
      <c r="Z958" s="85" t="n"/>
    </row>
    <row r="959" ht="15.75" customHeight="1" s="86">
      <c r="T959" s="85" t="n"/>
      <c r="U959" s="85" t="n"/>
      <c r="V959" s="85" t="n"/>
      <c r="W959" s="85" t="n"/>
      <c r="X959" s="85" t="n"/>
      <c r="Y959" s="85" t="n"/>
      <c r="Z959" s="85" t="n"/>
    </row>
    <row r="960" ht="15.75" customHeight="1" s="86">
      <c r="T960" s="85" t="n"/>
      <c r="U960" s="85" t="n"/>
      <c r="V960" s="85" t="n"/>
      <c r="W960" s="85" t="n"/>
      <c r="X960" s="85" t="n"/>
      <c r="Y960" s="85" t="n"/>
      <c r="Z960" s="85" t="n"/>
    </row>
    <row r="961" ht="15.75" customHeight="1" s="86">
      <c r="T961" s="85" t="n"/>
      <c r="U961" s="85" t="n"/>
      <c r="V961" s="85" t="n"/>
      <c r="W961" s="85" t="n"/>
      <c r="X961" s="85" t="n"/>
      <c r="Y961" s="85" t="n"/>
      <c r="Z961" s="85" t="n"/>
    </row>
    <row r="962" ht="15.75" customHeight="1" s="86">
      <c r="T962" s="85" t="n"/>
      <c r="U962" s="85" t="n"/>
      <c r="V962" s="85" t="n"/>
      <c r="W962" s="85" t="n"/>
      <c r="X962" s="85" t="n"/>
      <c r="Y962" s="85" t="n"/>
      <c r="Z962" s="85" t="n"/>
    </row>
    <row r="963" ht="15.75" customHeight="1" s="86">
      <c r="T963" s="85" t="n"/>
      <c r="U963" s="85" t="n"/>
      <c r="V963" s="85" t="n"/>
      <c r="W963" s="85" t="n"/>
      <c r="X963" s="85" t="n"/>
      <c r="Y963" s="85" t="n"/>
      <c r="Z963" s="85" t="n"/>
    </row>
    <row r="964" ht="15.75" customHeight="1" s="86">
      <c r="T964" s="85" t="n"/>
      <c r="U964" s="85" t="n"/>
      <c r="V964" s="85" t="n"/>
      <c r="W964" s="85" t="n"/>
      <c r="X964" s="85" t="n"/>
      <c r="Y964" s="85" t="n"/>
      <c r="Z964" s="85" t="n"/>
    </row>
    <row r="965" ht="15.75" customHeight="1" s="86">
      <c r="T965" s="85" t="n"/>
      <c r="U965" s="85" t="n"/>
      <c r="V965" s="85" t="n"/>
      <c r="W965" s="85" t="n"/>
      <c r="X965" s="85" t="n"/>
      <c r="Y965" s="85" t="n"/>
      <c r="Z965" s="85" t="n"/>
    </row>
    <row r="966" ht="15.75" customHeight="1" s="86">
      <c r="T966" s="85" t="n"/>
      <c r="U966" s="85" t="n"/>
      <c r="V966" s="85" t="n"/>
      <c r="W966" s="85" t="n"/>
      <c r="X966" s="85" t="n"/>
      <c r="Y966" s="85" t="n"/>
      <c r="Z966" s="85" t="n"/>
    </row>
    <row r="967" ht="15.75" customHeight="1" s="86">
      <c r="T967" s="85" t="n"/>
      <c r="U967" s="85" t="n"/>
      <c r="V967" s="85" t="n"/>
      <c r="W967" s="85" t="n"/>
      <c r="X967" s="85" t="n"/>
      <c r="Y967" s="85" t="n"/>
      <c r="Z967" s="85" t="n"/>
    </row>
    <row r="968" ht="15.75" customHeight="1" s="86">
      <c r="T968" s="85" t="n"/>
      <c r="U968" s="85" t="n"/>
      <c r="V968" s="85" t="n"/>
      <c r="W968" s="85" t="n"/>
      <c r="X968" s="85" t="n"/>
      <c r="Y968" s="85" t="n"/>
      <c r="Z968" s="85" t="n"/>
    </row>
    <row r="969" ht="15.75" customHeight="1" s="86">
      <c r="T969" s="85" t="n"/>
      <c r="U969" s="85" t="n"/>
      <c r="V969" s="85" t="n"/>
      <c r="W969" s="85" t="n"/>
      <c r="X969" s="85" t="n"/>
      <c r="Y969" s="85" t="n"/>
      <c r="Z969" s="85" t="n"/>
    </row>
    <row r="970" ht="15.75" customHeight="1" s="86">
      <c r="T970" s="85" t="n"/>
      <c r="U970" s="85" t="n"/>
      <c r="V970" s="85" t="n"/>
      <c r="W970" s="85" t="n"/>
      <c r="X970" s="85" t="n"/>
      <c r="Y970" s="85" t="n"/>
      <c r="Z970" s="85" t="n"/>
    </row>
    <row r="971" ht="15.75" customHeight="1" s="86">
      <c r="T971" s="85" t="n"/>
      <c r="U971" s="85" t="n"/>
      <c r="V971" s="85" t="n"/>
      <c r="W971" s="85" t="n"/>
      <c r="X971" s="85" t="n"/>
      <c r="Y971" s="85" t="n"/>
      <c r="Z971" s="85" t="n"/>
    </row>
    <row r="972" ht="15.75" customHeight="1" s="86">
      <c r="T972" s="85" t="n"/>
      <c r="U972" s="85" t="n"/>
      <c r="V972" s="85" t="n"/>
      <c r="W972" s="85" t="n"/>
      <c r="X972" s="85" t="n"/>
      <c r="Y972" s="85" t="n"/>
      <c r="Z972" s="85" t="n"/>
    </row>
    <row r="973" ht="15.75" customHeight="1" s="86">
      <c r="T973" s="85" t="n"/>
      <c r="U973" s="85" t="n"/>
      <c r="V973" s="85" t="n"/>
      <c r="W973" s="85" t="n"/>
      <c r="X973" s="85" t="n"/>
      <c r="Y973" s="85" t="n"/>
      <c r="Z973" s="85" t="n"/>
    </row>
    <row r="974" ht="15.75" customHeight="1" s="86">
      <c r="T974" s="85" t="n"/>
      <c r="U974" s="85" t="n"/>
      <c r="V974" s="85" t="n"/>
      <c r="W974" s="85" t="n"/>
      <c r="X974" s="85" t="n"/>
      <c r="Y974" s="85" t="n"/>
      <c r="Z974" s="85" t="n"/>
    </row>
    <row r="975" ht="15.75" customHeight="1" s="86">
      <c r="T975" s="85" t="n"/>
      <c r="U975" s="85" t="n"/>
      <c r="V975" s="85" t="n"/>
      <c r="W975" s="85" t="n"/>
      <c r="X975" s="85" t="n"/>
      <c r="Y975" s="85" t="n"/>
      <c r="Z975" s="85" t="n"/>
    </row>
    <row r="976" ht="15.75" customHeight="1" s="86">
      <c r="T976" s="85" t="n"/>
      <c r="U976" s="85" t="n"/>
      <c r="V976" s="85" t="n"/>
      <c r="W976" s="85" t="n"/>
      <c r="X976" s="85" t="n"/>
      <c r="Y976" s="85" t="n"/>
      <c r="Z976" s="85" t="n"/>
    </row>
    <row r="977" ht="15.75" customHeight="1" s="86">
      <c r="T977" s="85" t="n"/>
      <c r="U977" s="85" t="n"/>
      <c r="V977" s="85" t="n"/>
      <c r="W977" s="85" t="n"/>
      <c r="X977" s="85" t="n"/>
      <c r="Y977" s="85" t="n"/>
      <c r="Z977" s="85" t="n"/>
    </row>
    <row r="978" ht="15.75" customHeight="1" s="86">
      <c r="T978" s="85" t="n"/>
      <c r="U978" s="85" t="n"/>
      <c r="V978" s="85" t="n"/>
      <c r="W978" s="85" t="n"/>
      <c r="X978" s="85" t="n"/>
      <c r="Y978" s="85" t="n"/>
      <c r="Z978" s="85" t="n"/>
    </row>
    <row r="979" ht="15.75" customHeight="1" s="86">
      <c r="T979" s="85" t="n"/>
      <c r="U979" s="85" t="n"/>
      <c r="V979" s="85" t="n"/>
      <c r="W979" s="85" t="n"/>
      <c r="X979" s="85" t="n"/>
      <c r="Y979" s="85" t="n"/>
      <c r="Z979" s="85" t="n"/>
    </row>
    <row r="980" ht="15.75" customHeight="1" s="86">
      <c r="T980" s="85" t="n"/>
      <c r="U980" s="85" t="n"/>
      <c r="V980" s="85" t="n"/>
      <c r="W980" s="85" t="n"/>
      <c r="X980" s="85" t="n"/>
      <c r="Y980" s="85" t="n"/>
      <c r="Z980" s="85" t="n"/>
    </row>
    <row r="981" ht="15.75" customHeight="1" s="86">
      <c r="T981" s="85" t="n"/>
      <c r="U981" s="85" t="n"/>
      <c r="V981" s="85" t="n"/>
      <c r="W981" s="85" t="n"/>
      <c r="X981" s="85" t="n"/>
      <c r="Y981" s="85" t="n"/>
      <c r="Z981" s="85" t="n"/>
    </row>
    <row r="982" ht="15.75" customHeight="1" s="86">
      <c r="T982" s="85" t="n"/>
      <c r="U982" s="85" t="n"/>
      <c r="V982" s="85" t="n"/>
      <c r="W982" s="85" t="n"/>
      <c r="X982" s="85" t="n"/>
      <c r="Y982" s="85" t="n"/>
      <c r="Z982" s="85" t="n"/>
    </row>
    <row r="983" ht="15.75" customHeight="1" s="86">
      <c r="T983" s="85" t="n"/>
      <c r="U983" s="85" t="n"/>
      <c r="V983" s="85" t="n"/>
      <c r="W983" s="85" t="n"/>
      <c r="X983" s="85" t="n"/>
      <c r="Y983" s="85" t="n"/>
      <c r="Z983" s="85" t="n"/>
    </row>
    <row r="984" ht="15.75" customHeight="1" s="86">
      <c r="T984" s="85" t="n"/>
      <c r="U984" s="85" t="n"/>
      <c r="V984" s="85" t="n"/>
      <c r="W984" s="85" t="n"/>
      <c r="X984" s="85" t="n"/>
      <c r="Y984" s="85" t="n"/>
      <c r="Z984" s="85" t="n"/>
    </row>
    <row r="985" ht="15.75" customHeight="1" s="86">
      <c r="T985" s="85" t="n"/>
      <c r="U985" s="85" t="n"/>
      <c r="V985" s="85" t="n"/>
      <c r="W985" s="85" t="n"/>
      <c r="X985" s="85" t="n"/>
      <c r="Y985" s="85" t="n"/>
      <c r="Z985" s="85" t="n"/>
    </row>
    <row r="986" ht="15.75" customHeight="1" s="86">
      <c r="T986" s="85" t="n"/>
      <c r="U986" s="85" t="n"/>
      <c r="V986" s="85" t="n"/>
      <c r="W986" s="85" t="n"/>
      <c r="X986" s="85" t="n"/>
      <c r="Y986" s="85" t="n"/>
      <c r="Z986" s="85" t="n"/>
    </row>
    <row r="987" ht="15.75" customHeight="1" s="86">
      <c r="T987" s="85" t="n"/>
      <c r="U987" s="85" t="n"/>
      <c r="V987" s="85" t="n"/>
      <c r="W987" s="85" t="n"/>
      <c r="X987" s="85" t="n"/>
      <c r="Y987" s="85" t="n"/>
      <c r="Z987" s="85" t="n"/>
    </row>
    <row r="988" ht="15.75" customHeight="1" s="86">
      <c r="T988" s="85" t="n"/>
      <c r="U988" s="85" t="n"/>
      <c r="V988" s="85" t="n"/>
      <c r="W988" s="85" t="n"/>
      <c r="X988" s="85" t="n"/>
      <c r="Y988" s="85" t="n"/>
      <c r="Z988" s="85" t="n"/>
    </row>
    <row r="989" ht="15.75" customHeight="1" s="86">
      <c r="T989" s="85" t="n"/>
      <c r="U989" s="85" t="n"/>
      <c r="V989" s="85" t="n"/>
      <c r="W989" s="85" t="n"/>
      <c r="X989" s="85" t="n"/>
      <c r="Y989" s="85" t="n"/>
      <c r="Z989" s="85" t="n"/>
    </row>
    <row r="990" ht="15.75" customHeight="1" s="86">
      <c r="T990" s="85" t="n"/>
      <c r="U990" s="85" t="n"/>
      <c r="V990" s="85" t="n"/>
      <c r="W990" s="85" t="n"/>
      <c r="X990" s="85" t="n"/>
      <c r="Y990" s="85" t="n"/>
      <c r="Z990" s="85" t="n"/>
    </row>
    <row r="991" ht="15.75" customHeight="1" s="86">
      <c r="T991" s="85" t="n"/>
      <c r="U991" s="85" t="n"/>
      <c r="V991" s="85" t="n"/>
      <c r="W991" s="85" t="n"/>
      <c r="X991" s="85" t="n"/>
      <c r="Y991" s="85" t="n"/>
      <c r="Z991" s="85" t="n"/>
    </row>
    <row r="992" ht="15.75" customHeight="1" s="86">
      <c r="T992" s="85" t="n"/>
      <c r="U992" s="85" t="n"/>
      <c r="V992" s="85" t="n"/>
      <c r="W992" s="85" t="n"/>
      <c r="X992" s="85" t="n"/>
      <c r="Y992" s="85" t="n"/>
      <c r="Z992" s="85" t="n"/>
    </row>
    <row r="993" ht="15.75" customHeight="1" s="86">
      <c r="T993" s="85" t="n"/>
      <c r="U993" s="85" t="n"/>
      <c r="V993" s="85" t="n"/>
      <c r="W993" s="85" t="n"/>
      <c r="X993" s="85" t="n"/>
      <c r="Y993" s="85" t="n"/>
      <c r="Z993" s="85" t="n"/>
    </row>
    <row r="994" ht="15.75" customHeight="1" s="86">
      <c r="T994" s="85" t="n"/>
      <c r="U994" s="85" t="n"/>
      <c r="V994" s="85" t="n"/>
      <c r="W994" s="85" t="n"/>
      <c r="X994" s="85" t="n"/>
      <c r="Y994" s="85" t="n"/>
      <c r="Z994" s="85" t="n"/>
    </row>
    <row r="995" ht="15.75" customHeight="1" s="86">
      <c r="T995" s="85" t="n"/>
      <c r="U995" s="85" t="n"/>
      <c r="V995" s="85" t="n"/>
      <c r="W995" s="85" t="n"/>
      <c r="X995" s="85" t="n"/>
      <c r="Y995" s="85" t="n"/>
      <c r="Z995" s="85" t="n"/>
    </row>
    <row r="996" ht="15.75" customHeight="1" s="86">
      <c r="T996" s="85" t="n"/>
      <c r="U996" s="85" t="n"/>
      <c r="V996" s="85" t="n"/>
      <c r="W996" s="85" t="n"/>
      <c r="X996" s="85" t="n"/>
      <c r="Y996" s="85" t="n"/>
      <c r="Z996" s="85" t="n"/>
    </row>
    <row r="997" ht="15.75" customHeight="1" s="86">
      <c r="T997" s="85" t="n"/>
      <c r="U997" s="85" t="n"/>
      <c r="V997" s="85" t="n"/>
      <c r="W997" s="85" t="n"/>
      <c r="X997" s="85" t="n"/>
      <c r="Y997" s="85" t="n"/>
      <c r="Z997" s="85" t="n"/>
    </row>
    <row r="998" ht="15.75" customHeight="1" s="86">
      <c r="T998" s="85" t="n"/>
      <c r="U998" s="85" t="n"/>
      <c r="V998" s="85" t="n"/>
      <c r="W998" s="85" t="n"/>
      <c r="X998" s="85" t="n"/>
      <c r="Y998" s="85" t="n"/>
      <c r="Z998" s="85" t="n"/>
    </row>
    <row r="999" ht="15.75" customHeight="1" s="86">
      <c r="T999" s="85" t="n"/>
      <c r="U999" s="85" t="n"/>
      <c r="V999" s="85" t="n"/>
      <c r="W999" s="85" t="n"/>
      <c r="X999" s="85" t="n"/>
      <c r="Y999" s="85" t="n"/>
      <c r="Z999" s="85" t="n"/>
    </row>
    <row r="1000" ht="15.75" customHeight="1" s="86">
      <c r="T1000" s="85" t="n"/>
      <c r="U1000" s="85" t="n"/>
      <c r="V1000" s="85" t="n"/>
      <c r="W1000" s="85" t="n"/>
      <c r="X1000" s="85" t="n"/>
      <c r="Y1000" s="85" t="n"/>
      <c r="Z1000" s="8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1">
    <mergeCell ref="B10:D10"/>
    <mergeCell ref="D6:E6"/>
    <mergeCell ref="B6:C6"/>
    <mergeCell ref="A1:J1"/>
    <mergeCell ref="H6:I6"/>
    <mergeCell ref="B7:C7"/>
    <mergeCell ref="D7:E7"/>
    <mergeCell ref="H7:I7"/>
    <mergeCell ref="F6:G6"/>
    <mergeCell ref="A2:J2"/>
    <mergeCell ref="F7:G7"/>
  </mergeCells>
  <dataValidations count="1">
    <dataValidation sqref="D4" showDropDown="0" showInputMessage="0" showErrorMessage="0" allowBlank="1" type="list" errorStyle="stop" operator="between">
      <formula1>"1,2,3,4,5,6,7,8,9,10,11,12"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2" customWidth="1" style="85" min="1" max="1"/>
    <col width="13" customWidth="1" style="85" min="2" max="3"/>
    <col width="14" customWidth="1" style="85" min="4" max="5"/>
    <col width="10" customWidth="1" style="85" min="6" max="7"/>
    <col width="8.710000000000001" customWidth="1" style="85" min="8" max="19"/>
  </cols>
  <sheetData>
    <row r="1" ht="42" customHeight="1" s="86">
      <c r="A1" s="87" t="inlineStr">
        <is>
          <t>Bill Calendar</t>
        </is>
      </c>
      <c r="H1" s="88" t="n"/>
      <c r="I1" s="88" t="n"/>
      <c r="J1" s="88" t="n"/>
      <c r="K1" s="88" t="n"/>
      <c r="L1" s="88" t="n"/>
      <c r="M1" s="88" t="n"/>
      <c r="N1" s="88" t="n"/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  <c r="Z1" s="88" t="n"/>
    </row>
    <row r="2" ht="21.75" customHeight="1" s="86">
      <c r="A2" s="89" t="inlineStr">
        <is>
          <t>Set the frequency, see the true monthly and yearly cost, never miss a due day.</t>
        </is>
      </c>
      <c r="H2" s="88" t="n"/>
      <c r="I2" s="88" t="n"/>
      <c r="J2" s="88" t="n"/>
      <c r="K2" s="88" t="n"/>
      <c r="L2" s="88" t="n"/>
      <c r="M2" s="88" t="n"/>
      <c r="N2" s="88" t="n"/>
      <c r="O2" s="88" t="n"/>
      <c r="P2" s="88" t="n"/>
      <c r="Q2" s="88" t="n"/>
      <c r="R2" s="88" t="n"/>
      <c r="S2" s="88" t="n"/>
      <c r="T2" s="88" t="n"/>
      <c r="U2" s="88" t="n"/>
      <c r="V2" s="88" t="n"/>
      <c r="W2" s="88" t="n"/>
      <c r="X2" s="88" t="n"/>
      <c r="Y2" s="88" t="n"/>
      <c r="Z2" s="88" t="n"/>
    </row>
    <row r="3" ht="15" customHeight="1" s="86">
      <c r="A3" s="88" t="n"/>
      <c r="B3" s="88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</row>
    <row r="4" ht="15" customHeight="1" s="86">
      <c r="A4" s="106" t="inlineStr">
        <is>
          <t>Bill</t>
        </is>
      </c>
      <c r="B4" s="106" t="inlineStr">
        <is>
          <t>Amount</t>
        </is>
      </c>
      <c r="C4" s="106" t="inlineStr">
        <is>
          <t>Frequency</t>
        </is>
      </c>
      <c r="D4" s="106" t="inlineStr">
        <is>
          <t>Monthly cost</t>
        </is>
      </c>
      <c r="E4" s="106" t="inlineStr">
        <is>
          <t>Yearly cost</t>
        </is>
      </c>
      <c r="F4" s="106" t="inlineStr">
        <is>
          <t>Due day</t>
        </is>
      </c>
      <c r="G4" s="106" t="inlineStr">
        <is>
          <t>Paid?</t>
        </is>
      </c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</row>
    <row r="5" ht="15" customHeight="1" s="86">
      <c r="A5" s="102" t="inlineStr">
        <is>
          <t>Rent or Mortgage</t>
        </is>
      </c>
      <c r="B5" s="97">
        <v>2400</v>
      </c>
      <c r="C5" s="95" t="inlineStr">
        <is>
          <t>Monthly</t>
        </is>
      </c>
      <c r="D5" s="160">
        <f>IF(OR(B5="",C5=""),"",B5*IF(C5="Weekly",4.3333,IF(C5="Biweekly",2.1667,IF(C5="Monthly",1,IF(C5="Quarterly",1/3,IF(C5="Yearly",1/12,0))))))</f>
        <v/>
      </c>
      <c r="E5" s="160">
        <f>IF(D5="","",D5*12)</f>
        <v/>
      </c>
      <c r="F5" s="96">
        <v>1</v>
      </c>
      <c r="G5" s="95" t="inlineStr">
        <is>
          <t>Yes</t>
        </is>
      </c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</row>
    <row r="6" ht="15" customHeight="1" s="86">
      <c r="A6" s="102" t="inlineStr">
        <is>
          <t>Electricity</t>
        </is>
      </c>
      <c r="B6" s="97">
        <v>130</v>
      </c>
      <c r="C6" s="95" t="inlineStr">
        <is>
          <t>Monthly</t>
        </is>
      </c>
      <c r="D6" s="160">
        <f>IF(OR(B6="",C6=""),"",B6*IF(C6="Weekly",4.3333,IF(C6="Biweekly",2.1667,IF(C6="Monthly",1,IF(C6="Quarterly",1/3,IF(C6="Yearly",1/12,0))))))</f>
        <v/>
      </c>
      <c r="E6" s="160">
        <f>IF(D6="","",D6*12)</f>
        <v/>
      </c>
      <c r="F6" s="96">
        <v>8</v>
      </c>
      <c r="G6" s="95" t="inlineStr">
        <is>
          <t>Yes</t>
        </is>
      </c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</row>
    <row r="7" ht="15" customHeight="1" s="86">
      <c r="A7" s="102" t="inlineStr">
        <is>
          <t>Water</t>
        </is>
      </c>
      <c r="B7" s="97">
        <v>210</v>
      </c>
      <c r="C7" s="95" t="inlineStr">
        <is>
          <t>Quarterly</t>
        </is>
      </c>
      <c r="D7" s="160">
        <f>IF(OR(B7="",C7=""),"",B7*IF(C7="Weekly",4.3333,IF(C7="Biweekly",2.1667,IF(C7="Monthly",1,IF(C7="Quarterly",1/3,IF(C7="Yearly",1/12,0))))))</f>
        <v/>
      </c>
      <c r="E7" s="160">
        <f>IF(D7="","",D7*12)</f>
        <v/>
      </c>
      <c r="F7" s="96">
        <v>12</v>
      </c>
      <c r="G7" s="95" t="inlineStr">
        <is>
          <t>No</t>
        </is>
      </c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88" t="n"/>
      <c r="W7" s="88" t="n"/>
      <c r="X7" s="88" t="n"/>
      <c r="Y7" s="88" t="n"/>
      <c r="Z7" s="88" t="n"/>
    </row>
    <row r="8" ht="15" customHeight="1" s="86">
      <c r="A8" s="102" t="inlineStr">
        <is>
          <t>Internet</t>
        </is>
      </c>
      <c r="B8" s="97">
        <v>60</v>
      </c>
      <c r="C8" s="95" t="inlineStr">
        <is>
          <t>Monthly</t>
        </is>
      </c>
      <c r="D8" s="160">
        <f>IF(OR(B8="",C8=""),"",B8*IF(C8="Weekly",4.3333,IF(C8="Biweekly",2.1667,IF(C8="Monthly",1,IF(C8="Quarterly",1/3,IF(C8="Yearly",1/12,0))))))</f>
        <v/>
      </c>
      <c r="E8" s="160">
        <f>IF(D8="","",D8*12)</f>
        <v/>
      </c>
      <c r="F8" s="96">
        <v>15</v>
      </c>
      <c r="G8" s="95" t="inlineStr">
        <is>
          <t>Yes</t>
        </is>
      </c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8" t="n"/>
      <c r="U8" s="88" t="n"/>
      <c r="V8" s="88" t="n"/>
      <c r="W8" s="88" t="n"/>
      <c r="X8" s="88" t="n"/>
      <c r="Y8" s="88" t="n"/>
      <c r="Z8" s="88" t="n"/>
    </row>
    <row r="9" ht="15" customHeight="1" s="86">
      <c r="A9" s="102" t="inlineStr">
        <is>
          <t>Mobile phones</t>
        </is>
      </c>
      <c r="B9" s="97">
        <v>50</v>
      </c>
      <c r="C9" s="95" t="inlineStr">
        <is>
          <t>Monthly</t>
        </is>
      </c>
      <c r="D9" s="160">
        <f>IF(OR(B9="",C9=""),"",B9*IF(C9="Weekly",4.3333,IF(C9="Biweekly",2.1667,IF(C9="Monthly",1,IF(C9="Quarterly",1/3,IF(C9="Yearly",1/12,0))))))</f>
        <v/>
      </c>
      <c r="E9" s="160">
        <f>IF(D9="","",D9*12)</f>
        <v/>
      </c>
      <c r="F9" s="96">
        <v>15</v>
      </c>
      <c r="G9" s="95" t="inlineStr">
        <is>
          <t>Yes</t>
        </is>
      </c>
      <c r="H9" s="88" t="n"/>
      <c r="I9" s="88" t="n"/>
      <c r="J9" s="88" t="n"/>
      <c r="K9" s="88" t="n"/>
      <c r="L9" s="88" t="n"/>
      <c r="M9" s="88" t="n"/>
      <c r="N9" s="88" t="n"/>
      <c r="O9" s="88" t="n"/>
      <c r="P9" s="88" t="n"/>
      <c r="Q9" s="88" t="n"/>
      <c r="R9" s="88" t="n"/>
      <c r="S9" s="88" t="n"/>
      <c r="T9" s="88" t="n"/>
      <c r="U9" s="88" t="n"/>
      <c r="V9" s="88" t="n"/>
      <c r="W9" s="88" t="n"/>
      <c r="X9" s="88" t="n"/>
      <c r="Y9" s="88" t="n"/>
      <c r="Z9" s="88" t="n"/>
    </row>
    <row r="10" ht="15" customHeight="1" s="86">
      <c r="A10" s="102" t="inlineStr">
        <is>
          <t>Council tax</t>
        </is>
      </c>
      <c r="B10" s="97">
        <v>195</v>
      </c>
      <c r="C10" s="95" t="inlineStr">
        <is>
          <t>Monthly</t>
        </is>
      </c>
      <c r="D10" s="160">
        <f>IF(OR(B10="",C10=""),"",B10*IF(C10="Weekly",4.3333,IF(C10="Biweekly",2.1667,IF(C10="Monthly",1,IF(C10="Quarterly",1/3,IF(C10="Yearly",1/12,0))))))</f>
        <v/>
      </c>
      <c r="E10" s="160">
        <f>IF(D10="","",D10*12)</f>
        <v/>
      </c>
      <c r="F10" s="96">
        <v>20</v>
      </c>
      <c r="G10" s="95" t="inlineStr">
        <is>
          <t>Yes</t>
        </is>
      </c>
      <c r="H10" s="88" t="n"/>
      <c r="I10" s="88" t="n"/>
      <c r="J10" s="88" t="n"/>
      <c r="K10" s="88" t="n"/>
      <c r="L10" s="88" t="n"/>
      <c r="M10" s="88" t="n"/>
      <c r="N10" s="88" t="n"/>
      <c r="O10" s="88" t="n"/>
      <c r="P10" s="88" t="n"/>
      <c r="Q10" s="88" t="n"/>
      <c r="R10" s="88" t="n"/>
      <c r="S10" s="88" t="n"/>
      <c r="T10" s="88" t="n"/>
      <c r="U10" s="88" t="n"/>
      <c r="V10" s="88" t="n"/>
      <c r="W10" s="88" t="n"/>
      <c r="X10" s="88" t="n"/>
      <c r="Y10" s="88" t="n"/>
      <c r="Z10" s="88" t="n"/>
    </row>
    <row r="11" ht="15" customHeight="1" s="86">
      <c r="A11" s="102" t="inlineStr">
        <is>
          <t>Home insurance</t>
        </is>
      </c>
      <c r="B11" s="97">
        <v>240</v>
      </c>
      <c r="C11" s="95" t="inlineStr">
        <is>
          <t>Yearly</t>
        </is>
      </c>
      <c r="D11" s="160">
        <f>IF(OR(B11="",C11=""),"",B11*IF(C11="Weekly",4.3333,IF(C11="Biweekly",2.1667,IF(C11="Monthly",1,IF(C11="Quarterly",1/3,IF(C11="Yearly",1/12,0))))))</f>
        <v/>
      </c>
      <c r="E11" s="160">
        <f>IF(D11="","",D11*12)</f>
        <v/>
      </c>
      <c r="F11" s="96">
        <v>3</v>
      </c>
      <c r="G11" s="95" t="inlineStr">
        <is>
          <t>No</t>
        </is>
      </c>
      <c r="H11" s="88" t="n"/>
      <c r="I11" s="88" t="n"/>
      <c r="J11" s="88" t="n"/>
      <c r="K11" s="88" t="n"/>
      <c r="L11" s="88" t="n"/>
      <c r="M11" s="88" t="n"/>
      <c r="N11" s="88" t="n"/>
      <c r="O11" s="88" t="n"/>
      <c r="P11" s="88" t="n"/>
      <c r="Q11" s="88" t="n"/>
      <c r="R11" s="88" t="n"/>
      <c r="S11" s="88" t="n"/>
      <c r="T11" s="88" t="n"/>
      <c r="U11" s="88" t="n"/>
      <c r="V11" s="88" t="n"/>
      <c r="W11" s="88" t="n"/>
      <c r="X11" s="88" t="n"/>
      <c r="Y11" s="88" t="n"/>
      <c r="Z11" s="88" t="n"/>
    </row>
    <row r="12" ht="15" customHeight="1" s="86">
      <c r="A12" s="102" t="inlineStr">
        <is>
          <t>Car insurance</t>
        </is>
      </c>
      <c r="B12" s="97">
        <v>620</v>
      </c>
      <c r="C12" s="95" t="inlineStr">
        <is>
          <t>Yearly</t>
        </is>
      </c>
      <c r="D12" s="160">
        <f>IF(OR(B12="",C12=""),"",B12*IF(C12="Weekly",4.3333,IF(C12="Biweekly",2.1667,IF(C12="Monthly",1,IF(C12="Quarterly",1/3,IF(C12="Yearly",1/12,0))))))</f>
        <v/>
      </c>
      <c r="E12" s="160">
        <f>IF(D12="","",D12*12)</f>
        <v/>
      </c>
      <c r="F12" s="96">
        <v>9</v>
      </c>
      <c r="G12" s="95" t="inlineStr">
        <is>
          <t>No</t>
        </is>
      </c>
      <c r="H12" s="88" t="n"/>
      <c r="I12" s="88" t="n"/>
      <c r="J12" s="88" t="n"/>
      <c r="K12" s="88" t="n"/>
      <c r="L12" s="88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 t="n"/>
      <c r="Z12" s="88" t="n"/>
    </row>
    <row r="13" ht="15" customHeight="1" s="86">
      <c r="A13" s="102" t="inlineStr">
        <is>
          <t>Netflix</t>
        </is>
      </c>
      <c r="B13" s="97">
        <v>15.99</v>
      </c>
      <c r="C13" s="95" t="inlineStr">
        <is>
          <t>Monthly</t>
        </is>
      </c>
      <c r="D13" s="160">
        <f>IF(OR(B13="",C13=""),"",B13*IF(C13="Weekly",4.3333,IF(C13="Biweekly",2.1667,IF(C13="Monthly",1,IF(C13="Quarterly",1/3,IF(C13="Yearly",1/12,0))))))</f>
        <v/>
      </c>
      <c r="E13" s="160">
        <f>IF(D13="","",D13*12)</f>
        <v/>
      </c>
      <c r="F13" s="96">
        <v>18</v>
      </c>
      <c r="G13" s="95" t="inlineStr">
        <is>
          <t>Yes</t>
        </is>
      </c>
      <c r="H13" s="88" t="n"/>
      <c r="I13" s="88" t="n"/>
      <c r="J13" s="88" t="n"/>
      <c r="K13" s="88" t="n"/>
      <c r="L13" s="88" t="n"/>
      <c r="M13" s="88" t="n"/>
      <c r="N13" s="88" t="n"/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  <c r="Y13" s="88" t="n"/>
      <c r="Z13" s="88" t="n"/>
    </row>
    <row r="14" ht="15" customHeight="1" s="86">
      <c r="A14" s="102" t="inlineStr">
        <is>
          <t>Spotify</t>
        </is>
      </c>
      <c r="B14" s="97">
        <v>11.99</v>
      </c>
      <c r="C14" s="95" t="inlineStr">
        <is>
          <t>Monthly</t>
        </is>
      </c>
      <c r="D14" s="160">
        <f>IF(OR(B14="",C14=""),"",B14*IF(C14="Weekly",4.3333,IF(C14="Biweekly",2.1667,IF(C14="Monthly",1,IF(C14="Quarterly",1/3,IF(C14="Yearly",1/12,0))))))</f>
        <v/>
      </c>
      <c r="E14" s="160">
        <f>IF(D14="","",D14*12)</f>
        <v/>
      </c>
      <c r="F14" s="96">
        <v>22</v>
      </c>
      <c r="G14" s="95" t="inlineStr">
        <is>
          <t>Yes</t>
        </is>
      </c>
      <c r="H14" s="88" t="n"/>
      <c r="I14" s="88" t="n"/>
      <c r="J14" s="88" t="n"/>
      <c r="K14" s="88" t="n"/>
      <c r="L14" s="88" t="n"/>
      <c r="M14" s="88" t="n"/>
      <c r="N14" s="88" t="n"/>
      <c r="O14" s="88" t="n"/>
      <c r="P14" s="88" t="n"/>
      <c r="Q14" s="88" t="n"/>
      <c r="R14" s="88" t="n"/>
      <c r="S14" s="88" t="n"/>
      <c r="T14" s="88" t="n"/>
      <c r="U14" s="88" t="n"/>
      <c r="V14" s="88" t="n"/>
      <c r="W14" s="88" t="n"/>
      <c r="X14" s="88" t="n"/>
      <c r="Y14" s="88" t="n"/>
      <c r="Z14" s="88" t="n"/>
    </row>
    <row r="15" ht="15" customHeight="1" s="86">
      <c r="A15" s="102" t="inlineStr">
        <is>
          <t>Gym</t>
        </is>
      </c>
      <c r="B15" s="97">
        <v>39</v>
      </c>
      <c r="C15" s="95" t="inlineStr">
        <is>
          <t>Monthly</t>
        </is>
      </c>
      <c r="D15" s="160">
        <f>IF(OR(B15="",C15=""),"",B15*IF(C15="Weekly",4.3333,IF(C15="Biweekly",2.1667,IF(C15="Monthly",1,IF(C15="Quarterly",1/3,IF(C15="Yearly",1/12,0))))))</f>
        <v/>
      </c>
      <c r="E15" s="160">
        <f>IF(D15="","",D15*12)</f>
        <v/>
      </c>
      <c r="F15" s="96">
        <v>1</v>
      </c>
      <c r="G15" s="95" t="inlineStr">
        <is>
          <t>Yes</t>
        </is>
      </c>
      <c r="H15" s="88" t="n"/>
      <c r="I15" s="88" t="n"/>
      <c r="J15" s="88" t="n"/>
      <c r="K15" s="88" t="n"/>
      <c r="L15" s="88" t="n"/>
      <c r="M15" s="88" t="n"/>
      <c r="N15" s="88" t="n"/>
      <c r="O15" s="88" t="n"/>
      <c r="P15" s="88" t="n"/>
      <c r="Q15" s="88" t="n"/>
      <c r="R15" s="88" t="n"/>
      <c r="S15" s="88" t="n"/>
      <c r="T15" s="88" t="n"/>
      <c r="U15" s="88" t="n"/>
      <c r="V15" s="88" t="n"/>
      <c r="W15" s="88" t="n"/>
      <c r="X15" s="88" t="n"/>
      <c r="Y15" s="88" t="n"/>
      <c r="Z15" s="88" t="n"/>
    </row>
    <row r="16" ht="15" customHeight="1" s="86">
      <c r="A16" s="102" t="inlineStr">
        <is>
          <t>Childcare</t>
        </is>
      </c>
      <c r="B16" s="97">
        <v>480</v>
      </c>
      <c r="C16" s="95" t="inlineStr">
        <is>
          <t>Monthly</t>
        </is>
      </c>
      <c r="D16" s="160">
        <f>IF(OR(B16="",C16=""),"",B16*IF(C16="Weekly",4.3333,IF(C16="Biweekly",2.1667,IF(C16="Monthly",1,IF(C16="Quarterly",1/3,IF(C16="Yearly",1/12,0))))))</f>
        <v/>
      </c>
      <c r="E16" s="160">
        <f>IF(D16="","",D16*12)</f>
        <v/>
      </c>
      <c r="F16" s="96">
        <v>5</v>
      </c>
      <c r="G16" s="95" t="inlineStr">
        <is>
          <t>Yes</t>
        </is>
      </c>
      <c r="H16" s="88" t="n"/>
      <c r="I16" s="88" t="n"/>
      <c r="J16" s="88" t="n"/>
      <c r="K16" s="88" t="n"/>
      <c r="L16" s="88" t="n"/>
      <c r="M16" s="88" t="n"/>
      <c r="N16" s="88" t="n"/>
      <c r="O16" s="88" t="n"/>
      <c r="P16" s="88" t="n"/>
      <c r="Q16" s="88" t="n"/>
      <c r="R16" s="88" t="n"/>
      <c r="S16" s="88" t="n"/>
      <c r="T16" s="88" t="n"/>
      <c r="U16" s="88" t="n"/>
      <c r="V16" s="88" t="n"/>
      <c r="W16" s="88" t="n"/>
      <c r="X16" s="88" t="n"/>
      <c r="Y16" s="88" t="n"/>
      <c r="Z16" s="88" t="n"/>
    </row>
    <row r="17" ht="15" customHeight="1" s="86">
      <c r="A17" s="102" t="inlineStr">
        <is>
          <t>Car loan payment</t>
        </is>
      </c>
      <c r="B17" s="97">
        <v>420</v>
      </c>
      <c r="C17" s="95" t="inlineStr">
        <is>
          <t>Monthly</t>
        </is>
      </c>
      <c r="D17" s="160">
        <f>IF(OR(B17="",C17=""),"",B17*IF(C17="Weekly",4.3333,IF(C17="Biweekly",2.1667,IF(C17="Monthly",1,IF(C17="Quarterly",1/3,IF(C17="Yearly",1/12,0))))))</f>
        <v/>
      </c>
      <c r="E17" s="160">
        <f>IF(D17="","",D17*12)</f>
        <v/>
      </c>
      <c r="F17" s="96">
        <v>25</v>
      </c>
      <c r="G17" s="95" t="inlineStr">
        <is>
          <t>Yes</t>
        </is>
      </c>
      <c r="H17" s="88" t="n"/>
      <c r="I17" s="88" t="n"/>
      <c r="J17" s="88" t="n"/>
      <c r="K17" s="88" t="n"/>
      <c r="L17" s="88" t="n"/>
      <c r="M17" s="88" t="n"/>
      <c r="N17" s="88" t="n"/>
      <c r="O17" s="88" t="n"/>
      <c r="P17" s="88" t="n"/>
      <c r="Q17" s="88" t="n"/>
      <c r="R17" s="88" t="n"/>
      <c r="S17" s="88" t="n"/>
      <c r="T17" s="88" t="n"/>
      <c r="U17" s="88" t="n"/>
      <c r="V17" s="88" t="n"/>
      <c r="W17" s="88" t="n"/>
      <c r="X17" s="88" t="n"/>
      <c r="Y17" s="88" t="n"/>
      <c r="Z17" s="88" t="n"/>
    </row>
    <row r="18" ht="15" customHeight="1" s="86">
      <c r="A18" s="102" t="n"/>
      <c r="B18" s="97" t="n"/>
      <c r="C18" s="95" t="n"/>
      <c r="D18" s="160">
        <f>IF(OR(B18="",C18=""),"",B18*IF(C18="Weekly",4.3333,IF(C18="Biweekly",2.1667,IF(C18="Monthly",1,IF(C18="Quarterly",1/3,IF(C18="Yearly",1/12,0))))))</f>
        <v/>
      </c>
      <c r="E18" s="160">
        <f>IF(D18="","",D18*12)</f>
        <v/>
      </c>
      <c r="F18" s="96" t="n"/>
      <c r="G18" s="95" t="n"/>
      <c r="H18" s="88" t="n"/>
      <c r="I18" s="88" t="n"/>
      <c r="J18" s="88" t="n"/>
      <c r="K18" s="88" t="n"/>
      <c r="L18" s="88" t="n"/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  <c r="Y18" s="88" t="n"/>
      <c r="Z18" s="88" t="n"/>
    </row>
    <row r="19" ht="15" customHeight="1" s="86">
      <c r="A19" s="161" t="inlineStr">
        <is>
          <t>TOTAL</t>
        </is>
      </c>
      <c r="B19" s="88" t="n"/>
      <c r="C19" s="88" t="n"/>
      <c r="D19" s="162">
        <f>SUM(D5:D18)</f>
        <v/>
      </c>
      <c r="E19" s="162">
        <f>SUM(E5:E18)</f>
        <v/>
      </c>
      <c r="F19" s="88" t="n"/>
      <c r="G19" s="88" t="n"/>
      <c r="H19" s="88" t="n"/>
      <c r="I19" s="88" t="n"/>
      <c r="J19" s="88" t="n"/>
      <c r="K19" s="88" t="n"/>
      <c r="L19" s="88" t="n"/>
      <c r="M19" s="88" t="n"/>
      <c r="N19" s="88" t="n"/>
      <c r="O19" s="88" t="n"/>
      <c r="P19" s="88" t="n"/>
      <c r="Q19" s="88" t="n"/>
      <c r="R19" s="88" t="n"/>
      <c r="S19" s="88" t="n"/>
      <c r="T19" s="88" t="n"/>
      <c r="U19" s="88" t="n"/>
      <c r="V19" s="88" t="n"/>
      <c r="W19" s="88" t="n"/>
      <c r="X19" s="88" t="n"/>
      <c r="Y19" s="88" t="n"/>
      <c r="Z19" s="88" t="n"/>
    </row>
    <row r="20" ht="15" customHeight="1" s="86">
      <c r="A20" s="88" t="n"/>
      <c r="B20" s="88" t="n"/>
      <c r="C20" s="88" t="n"/>
      <c r="D20" s="88" t="n"/>
      <c r="E20" s="88" t="n"/>
      <c r="F20" s="88" t="n"/>
      <c r="G20" s="88" t="n"/>
      <c r="H20" s="88" t="n"/>
      <c r="I20" s="88" t="n"/>
      <c r="J20" s="88" t="n"/>
      <c r="K20" s="88" t="n"/>
      <c r="L20" s="88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  <c r="Z20" s="88" t="n"/>
    </row>
    <row r="21" ht="15" customHeight="1" s="86">
      <c r="A21" s="88" t="n"/>
      <c r="B21" s="88" t="n"/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</row>
    <row r="22" ht="15" customHeight="1" s="86">
      <c r="A22" s="88" t="n"/>
      <c r="B22" s="88" t="n"/>
      <c r="C22" s="88" t="n"/>
      <c r="D22" s="88" t="n"/>
      <c r="E22" s="88" t="n"/>
      <c r="F22" s="88" t="n"/>
      <c r="G22" s="88" t="n"/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</row>
    <row r="23" ht="15" customHeight="1" s="86">
      <c r="A23" s="88" t="n"/>
      <c r="B23" s="88" t="n"/>
      <c r="C23" s="88" t="n"/>
      <c r="D23" s="88" t="n"/>
      <c r="E23" s="88" t="n"/>
      <c r="F23" s="88" t="n"/>
      <c r="G23" s="88" t="n"/>
      <c r="H23" s="88" t="n"/>
      <c r="I23" s="88" t="n"/>
      <c r="J23" s="88" t="n"/>
      <c r="K23" s="88" t="n"/>
      <c r="L23" s="88" t="n"/>
      <c r="M23" s="88" t="n"/>
      <c r="N23" s="88" t="n"/>
      <c r="O23" s="88" t="n"/>
      <c r="P23" s="88" t="n"/>
      <c r="Q23" s="88" t="n"/>
      <c r="R23" s="88" t="n"/>
      <c r="S23" s="88" t="n"/>
      <c r="T23" s="88" t="n"/>
      <c r="U23" s="88" t="n"/>
      <c r="V23" s="88" t="n"/>
      <c r="W23" s="88" t="n"/>
      <c r="X23" s="88" t="n"/>
      <c r="Y23" s="88" t="n"/>
      <c r="Z23" s="88" t="n"/>
    </row>
    <row r="24" ht="15" customHeight="1" s="86">
      <c r="A24" s="88" t="n"/>
      <c r="B24" s="88" t="n"/>
      <c r="C24" s="88" t="n"/>
      <c r="D24" s="88" t="n"/>
      <c r="E24" s="88" t="n"/>
      <c r="F24" s="88" t="n"/>
      <c r="G24" s="88" t="n"/>
      <c r="H24" s="88" t="n"/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8" t="n"/>
      <c r="W24" s="88" t="n"/>
      <c r="X24" s="88" t="n"/>
      <c r="Y24" s="88" t="n"/>
      <c r="Z24" s="88" t="n"/>
    </row>
    <row r="25" ht="15" customHeight="1" s="86">
      <c r="A25" s="88" t="n"/>
      <c r="B25" s="88" t="n"/>
      <c r="C25" s="88" t="n"/>
      <c r="D25" s="88" t="n"/>
      <c r="E25" s="88" t="n"/>
      <c r="F25" s="88" t="n"/>
      <c r="G25" s="88" t="n"/>
      <c r="H25" s="88" t="n"/>
      <c r="I25" s="88" t="n"/>
      <c r="J25" s="88" t="n"/>
      <c r="K25" s="88" t="n"/>
      <c r="L25" s="88" t="n"/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8" t="n"/>
      <c r="W25" s="88" t="n"/>
      <c r="X25" s="88" t="n"/>
      <c r="Y25" s="88" t="n"/>
      <c r="Z25" s="88" t="n"/>
    </row>
    <row r="26" ht="15" customHeight="1" s="86">
      <c r="A26" s="88" t="n"/>
      <c r="B26" s="88" t="n"/>
      <c r="C26" s="88" t="n"/>
      <c r="D26" s="88" t="n"/>
      <c r="E26" s="88" t="n"/>
      <c r="F26" s="88" t="n"/>
      <c r="G26" s="88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8" t="n"/>
      <c r="W26" s="88" t="n"/>
      <c r="X26" s="88" t="n"/>
      <c r="Y26" s="88" t="n"/>
      <c r="Z26" s="88" t="n"/>
    </row>
    <row r="27" ht="15" customHeight="1" s="86">
      <c r="A27" s="88" t="n"/>
      <c r="B27" s="88" t="n"/>
      <c r="C27" s="88" t="n"/>
      <c r="D27" s="88" t="n"/>
      <c r="E27" s="88" t="n"/>
      <c r="F27" s="88" t="n"/>
      <c r="G27" s="88" t="n"/>
      <c r="H27" s="88" t="n"/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8" t="n"/>
      <c r="W27" s="88" t="n"/>
      <c r="X27" s="88" t="n"/>
      <c r="Y27" s="88" t="n"/>
      <c r="Z27" s="88" t="n"/>
    </row>
    <row r="28" ht="15" customHeight="1" s="86">
      <c r="A28" s="88" t="n"/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  <c r="Z28" s="88" t="n"/>
    </row>
    <row r="29" ht="15" customHeight="1" s="86">
      <c r="A29" s="88" t="n"/>
      <c r="B29" s="88" t="n"/>
      <c r="C29" s="88" t="n"/>
      <c r="D29" s="88" t="n"/>
      <c r="E29" s="88" t="n"/>
      <c r="F29" s="88" t="n"/>
      <c r="G29" s="88" t="n"/>
      <c r="H29" s="88" t="n"/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8" t="n"/>
      <c r="Z29" s="88" t="n"/>
    </row>
    <row r="30" ht="15" customHeight="1" s="86">
      <c r="A30" s="88" t="n"/>
      <c r="B30" s="88" t="n"/>
      <c r="C30" s="88" t="n"/>
      <c r="D30" s="88" t="n"/>
      <c r="E30" s="88" t="n"/>
      <c r="F30" s="88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  <c r="Y30" s="88" t="n"/>
      <c r="Z30" s="88" t="n"/>
    </row>
    <row r="31" ht="15" customHeight="1" s="86">
      <c r="A31" s="88" t="n"/>
      <c r="B31" s="88" t="n"/>
      <c r="C31" s="88" t="n"/>
      <c r="D31" s="88" t="n"/>
      <c r="E31" s="88" t="n"/>
      <c r="F31" s="88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  <c r="Y31" s="88" t="n"/>
      <c r="Z31" s="88" t="n"/>
    </row>
    <row r="32" ht="15" customHeight="1" s="86">
      <c r="A32" s="88" t="n"/>
      <c r="B32" s="88" t="n"/>
      <c r="C32" s="88" t="n"/>
      <c r="D32" s="88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8" t="n"/>
      <c r="W32" s="88" t="n"/>
      <c r="X32" s="88" t="n"/>
      <c r="Y32" s="88" t="n"/>
      <c r="Z32" s="88" t="n"/>
    </row>
    <row r="33" ht="15" customHeight="1" s="86">
      <c r="A33" s="88" t="n"/>
      <c r="B33" s="88" t="n"/>
      <c r="C33" s="88" t="n"/>
      <c r="D33" s="88" t="n"/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8" t="n"/>
      <c r="W33" s="88" t="n"/>
      <c r="X33" s="88" t="n"/>
      <c r="Y33" s="88" t="n"/>
      <c r="Z33" s="88" t="n"/>
    </row>
    <row r="34" ht="15" customHeight="1" s="86">
      <c r="A34" s="88" t="n"/>
      <c r="B34" s="88" t="n"/>
      <c r="C34" s="88" t="n"/>
      <c r="D34" s="88" t="n"/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8" t="n"/>
      <c r="W34" s="88" t="n"/>
      <c r="X34" s="88" t="n"/>
      <c r="Y34" s="88" t="n"/>
      <c r="Z34" s="88" t="n"/>
    </row>
    <row r="35" ht="15" customHeight="1" s="86">
      <c r="A35" s="88" t="n"/>
      <c r="B35" s="88" t="n"/>
      <c r="C35" s="88" t="n"/>
      <c r="D35" s="88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8" t="n"/>
      <c r="X35" s="88" t="n"/>
      <c r="Y35" s="88" t="n"/>
      <c r="Z35" s="88" t="n"/>
    </row>
    <row r="36" ht="15" customHeight="1" s="86">
      <c r="A36" s="88" t="n"/>
      <c r="B36" s="88" t="n"/>
      <c r="C36" s="88" t="n"/>
      <c r="D36" s="88" t="n"/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  <c r="Y36" s="88" t="n"/>
      <c r="Z36" s="88" t="n"/>
    </row>
    <row r="37" ht="15" customHeight="1" s="86">
      <c r="A37" s="88" t="n"/>
      <c r="B37" s="88" t="n"/>
      <c r="C37" s="88" t="n"/>
      <c r="D37" s="88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8" t="n"/>
      <c r="X37" s="88" t="n"/>
      <c r="Y37" s="88" t="n"/>
      <c r="Z37" s="88" t="n"/>
    </row>
    <row r="38" ht="15" customHeight="1" s="86">
      <c r="A38" s="88" t="n"/>
      <c r="B38" s="88" t="n"/>
      <c r="C38" s="88" t="n"/>
      <c r="D38" s="88" t="n"/>
      <c r="E38" s="88" t="n"/>
      <c r="F38" s="88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8" t="n"/>
      <c r="W38" s="88" t="n"/>
      <c r="X38" s="88" t="n"/>
      <c r="Y38" s="88" t="n"/>
      <c r="Z38" s="88" t="n"/>
    </row>
    <row r="39" ht="15" customHeight="1" s="86">
      <c r="A39" s="88" t="n"/>
      <c r="B39" s="88" t="n"/>
      <c r="C39" s="88" t="n"/>
      <c r="D39" s="88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8" t="n"/>
      <c r="X39" s="88" t="n"/>
      <c r="Y39" s="88" t="n"/>
      <c r="Z39" s="88" t="n"/>
    </row>
    <row r="40" ht="15" customHeight="1" s="86">
      <c r="A40" s="88" t="n"/>
      <c r="B40" s="88" t="n"/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8" t="n"/>
      <c r="X40" s="88" t="n"/>
      <c r="Y40" s="88" t="n"/>
      <c r="Z40" s="88" t="n"/>
    </row>
    <row r="41" ht="15" customHeight="1" s="86">
      <c r="A41" s="88" t="n"/>
      <c r="B41" s="88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8" t="n"/>
      <c r="X41" s="88" t="n"/>
      <c r="Y41" s="88" t="n"/>
      <c r="Z41" s="88" t="n"/>
    </row>
    <row r="42" ht="15" customHeight="1" s="86">
      <c r="A42" s="88" t="n"/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8" t="n"/>
      <c r="X42" s="88" t="n"/>
      <c r="Y42" s="88" t="n"/>
      <c r="Z42" s="88" t="n"/>
    </row>
    <row r="43" ht="15" customHeight="1" s="86">
      <c r="A43" s="88" t="n"/>
      <c r="B43" s="88" t="n"/>
      <c r="C43" s="88" t="n"/>
      <c r="D43" s="88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8" t="n"/>
      <c r="W43" s="88" t="n"/>
      <c r="X43" s="88" t="n"/>
      <c r="Y43" s="88" t="n"/>
      <c r="Z43" s="88" t="n"/>
    </row>
    <row r="44" ht="15" customHeight="1" s="86">
      <c r="A44" s="88" t="n"/>
      <c r="B44" s="88" t="n"/>
      <c r="C44" s="88" t="n"/>
      <c r="D44" s="88" t="n"/>
      <c r="E44" s="88" t="n"/>
      <c r="F44" s="88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8" t="n"/>
      <c r="W44" s="88" t="n"/>
      <c r="X44" s="88" t="n"/>
      <c r="Y44" s="88" t="n"/>
      <c r="Z44" s="88" t="n"/>
    </row>
    <row r="45" ht="15" customHeight="1" s="86">
      <c r="A45" s="88" t="n"/>
      <c r="B45" s="88" t="n"/>
      <c r="C45" s="88" t="n"/>
      <c r="D45" s="88" t="n"/>
      <c r="E45" s="88" t="n"/>
      <c r="F45" s="88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8" t="n"/>
      <c r="W45" s="88" t="n"/>
      <c r="X45" s="88" t="n"/>
      <c r="Y45" s="88" t="n"/>
      <c r="Z45" s="88" t="n"/>
    </row>
    <row r="46" ht="15" customHeight="1" s="86">
      <c r="A46" s="88" t="n"/>
      <c r="B46" s="88" t="n"/>
      <c r="C46" s="88" t="n"/>
      <c r="D46" s="88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8" t="n"/>
      <c r="W46" s="88" t="n"/>
      <c r="X46" s="88" t="n"/>
      <c r="Y46" s="88" t="n"/>
      <c r="Z46" s="88" t="n"/>
    </row>
    <row r="47" ht="15" customHeight="1" s="86">
      <c r="A47" s="88" t="n"/>
      <c r="B47" s="88" t="n"/>
      <c r="C47" s="88" t="n"/>
      <c r="D47" s="88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8" t="n"/>
      <c r="X47" s="88" t="n"/>
      <c r="Y47" s="88" t="n"/>
      <c r="Z47" s="88" t="n"/>
    </row>
    <row r="48" ht="15" customHeight="1" s="86">
      <c r="A48" s="88" t="n"/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</row>
    <row r="49" ht="15" customHeight="1" s="86">
      <c r="A49" s="88" t="n"/>
      <c r="B49" s="88" t="n"/>
      <c r="C49" s="88" t="n"/>
      <c r="D49" s="88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8" t="n"/>
      <c r="X49" s="88" t="n"/>
      <c r="Y49" s="88" t="n"/>
      <c r="Z49" s="88" t="n"/>
    </row>
    <row r="50" ht="15" customHeight="1" s="86">
      <c r="A50" s="88" t="n"/>
      <c r="B50" s="88" t="n"/>
      <c r="C50" s="88" t="n"/>
      <c r="D50" s="88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8" t="n"/>
      <c r="X50" s="88" t="n"/>
      <c r="Y50" s="88" t="n"/>
      <c r="Z50" s="88" t="n"/>
    </row>
    <row r="51" ht="15" customHeight="1" s="86">
      <c r="A51" s="88" t="n"/>
      <c r="B51" s="88" t="n"/>
      <c r="C51" s="88" t="n"/>
      <c r="D51" s="88" t="n"/>
      <c r="E51" s="88" t="n"/>
      <c r="F51" s="88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8" t="n"/>
      <c r="X51" s="88" t="n"/>
      <c r="Y51" s="88" t="n"/>
      <c r="Z51" s="88" t="n"/>
    </row>
    <row r="52" ht="15" customHeight="1" s="86">
      <c r="A52" s="88" t="n"/>
      <c r="B52" s="88" t="n"/>
      <c r="C52" s="88" t="n"/>
      <c r="D52" s="88" t="n"/>
      <c r="E52" s="88" t="n"/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8" t="n"/>
      <c r="X52" s="88" t="n"/>
      <c r="Y52" s="88" t="n"/>
      <c r="Z52" s="88" t="n"/>
    </row>
    <row r="53" ht="15" customHeight="1" s="86">
      <c r="A53" s="88" t="n"/>
      <c r="B53" s="88" t="n"/>
      <c r="C53" s="88" t="n"/>
      <c r="D53" s="88" t="n"/>
      <c r="E53" s="88" t="n"/>
      <c r="F53" s="88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8" t="n"/>
      <c r="W53" s="88" t="n"/>
      <c r="X53" s="88" t="n"/>
      <c r="Y53" s="88" t="n"/>
      <c r="Z53" s="88" t="n"/>
    </row>
    <row r="54" ht="15" customHeight="1" s="86">
      <c r="A54" s="88" t="n"/>
      <c r="B54" s="88" t="n"/>
      <c r="C54" s="88" t="n"/>
      <c r="D54" s="88" t="n"/>
      <c r="E54" s="88" t="n"/>
      <c r="F54" s="88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8" t="n"/>
      <c r="W54" s="88" t="n"/>
      <c r="X54" s="88" t="n"/>
      <c r="Y54" s="88" t="n"/>
      <c r="Z54" s="88" t="n"/>
    </row>
    <row r="55" ht="15" customHeight="1" s="86">
      <c r="A55" s="88" t="n"/>
      <c r="B55" s="88" t="n"/>
      <c r="C55" s="88" t="n"/>
      <c r="D55" s="88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8" t="n"/>
      <c r="Y55" s="88" t="n"/>
      <c r="Z55" s="88" t="n"/>
    </row>
    <row r="56" ht="15" customHeight="1" s="86">
      <c r="A56" s="88" t="n"/>
      <c r="B56" s="88" t="n"/>
      <c r="C56" s="88" t="n"/>
      <c r="D56" s="88" t="n"/>
      <c r="E56" s="88" t="n"/>
      <c r="F56" s="88" t="n"/>
      <c r="G56" s="88" t="n"/>
      <c r="H56" s="88" t="n"/>
      <c r="I56" s="88" t="n"/>
      <c r="J56" s="88" t="n"/>
      <c r="K56" s="88" t="n"/>
      <c r="L56" s="88" t="n"/>
      <c r="M56" s="88" t="n"/>
      <c r="N56" s="88" t="n"/>
      <c r="O56" s="88" t="n"/>
      <c r="P56" s="88" t="n"/>
      <c r="Q56" s="88" t="n"/>
      <c r="R56" s="88" t="n"/>
      <c r="S56" s="88" t="n"/>
      <c r="T56" s="88" t="n"/>
      <c r="U56" s="88" t="n"/>
      <c r="V56" s="88" t="n"/>
      <c r="W56" s="88" t="n"/>
      <c r="X56" s="88" t="n"/>
      <c r="Y56" s="88" t="n"/>
      <c r="Z56" s="88" t="n"/>
    </row>
    <row r="57" ht="15" customHeight="1" s="86">
      <c r="A57" s="88" t="n"/>
      <c r="B57" s="88" t="n"/>
      <c r="C57" s="88" t="n"/>
      <c r="D57" s="88" t="n"/>
      <c r="E57" s="88" t="n"/>
      <c r="F57" s="88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88" t="n"/>
      <c r="Q57" s="88" t="n"/>
      <c r="R57" s="88" t="n"/>
      <c r="S57" s="88" t="n"/>
      <c r="T57" s="88" t="n"/>
      <c r="U57" s="88" t="n"/>
      <c r="V57" s="88" t="n"/>
      <c r="W57" s="88" t="n"/>
      <c r="X57" s="88" t="n"/>
      <c r="Y57" s="88" t="n"/>
      <c r="Z57" s="88" t="n"/>
    </row>
    <row r="58" ht="15" customHeight="1" s="86">
      <c r="A58" s="88" t="n"/>
      <c r="B58" s="88" t="n"/>
      <c r="C58" s="88" t="n"/>
      <c r="D58" s="88" t="n"/>
      <c r="E58" s="88" t="n"/>
      <c r="F58" s="88" t="n"/>
      <c r="G58" s="88" t="n"/>
      <c r="H58" s="88" t="n"/>
      <c r="I58" s="88" t="n"/>
      <c r="J58" s="88" t="n"/>
      <c r="K58" s="88" t="n"/>
      <c r="L58" s="88" t="n"/>
      <c r="M58" s="88" t="n"/>
      <c r="N58" s="88" t="n"/>
      <c r="O58" s="88" t="n"/>
      <c r="P58" s="88" t="n"/>
      <c r="Q58" s="88" t="n"/>
      <c r="R58" s="88" t="n"/>
      <c r="S58" s="88" t="n"/>
      <c r="T58" s="88" t="n"/>
      <c r="U58" s="88" t="n"/>
      <c r="V58" s="88" t="n"/>
      <c r="W58" s="88" t="n"/>
      <c r="X58" s="88" t="n"/>
      <c r="Y58" s="88" t="n"/>
      <c r="Z58" s="88" t="n"/>
    </row>
    <row r="59" ht="15" customHeight="1" s="86">
      <c r="A59" s="88" t="n"/>
      <c r="B59" s="88" t="n"/>
      <c r="C59" s="88" t="n"/>
      <c r="D59" s="88" t="n"/>
      <c r="E59" s="88" t="n"/>
      <c r="F59" s="88" t="n"/>
      <c r="G59" s="88" t="n"/>
      <c r="H59" s="88" t="n"/>
      <c r="I59" s="88" t="n"/>
      <c r="J59" s="88" t="n"/>
      <c r="K59" s="88" t="n"/>
      <c r="L59" s="88" t="n"/>
      <c r="M59" s="88" t="n"/>
      <c r="N59" s="88" t="n"/>
      <c r="O59" s="88" t="n"/>
      <c r="P59" s="88" t="n"/>
      <c r="Q59" s="88" t="n"/>
      <c r="R59" s="88" t="n"/>
      <c r="S59" s="88" t="n"/>
      <c r="T59" s="88" t="n"/>
      <c r="U59" s="88" t="n"/>
      <c r="V59" s="88" t="n"/>
      <c r="W59" s="88" t="n"/>
      <c r="X59" s="88" t="n"/>
      <c r="Y59" s="88" t="n"/>
      <c r="Z59" s="88" t="n"/>
    </row>
    <row r="60" ht="15" customHeight="1" s="86">
      <c r="A60" s="88" t="n"/>
      <c r="B60" s="88" t="n"/>
      <c r="C60" s="88" t="n"/>
      <c r="D60" s="88" t="n"/>
      <c r="E60" s="88" t="n"/>
      <c r="F60" s="88" t="n"/>
      <c r="G60" s="88" t="n"/>
      <c r="H60" s="88" t="n"/>
      <c r="I60" s="88" t="n"/>
      <c r="J60" s="88" t="n"/>
      <c r="K60" s="88" t="n"/>
      <c r="L60" s="88" t="n"/>
      <c r="M60" s="88" t="n"/>
      <c r="N60" s="88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  <c r="Y60" s="88" t="n"/>
      <c r="Z60" s="88" t="n"/>
    </row>
    <row r="61" ht="15" customHeight="1" s="86">
      <c r="A61" s="88" t="n"/>
      <c r="B61" s="88" t="n"/>
      <c r="C61" s="88" t="n"/>
      <c r="D61" s="88" t="n"/>
      <c r="E61" s="88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8" t="n"/>
      <c r="Y61" s="88" t="n"/>
      <c r="Z61" s="88" t="n"/>
    </row>
    <row r="62" ht="15" customHeight="1" s="86">
      <c r="A62" s="88" t="n"/>
      <c r="B62" s="88" t="n"/>
      <c r="C62" s="88" t="n"/>
      <c r="D62" s="88" t="n"/>
      <c r="E62" s="88" t="n"/>
      <c r="F62" s="88" t="n"/>
      <c r="G62" s="88" t="n"/>
      <c r="H62" s="88" t="n"/>
      <c r="I62" s="88" t="n"/>
      <c r="J62" s="88" t="n"/>
      <c r="K62" s="88" t="n"/>
      <c r="L62" s="88" t="n"/>
      <c r="M62" s="88" t="n"/>
      <c r="N62" s="88" t="n"/>
      <c r="O62" s="88" t="n"/>
      <c r="P62" s="88" t="n"/>
      <c r="Q62" s="88" t="n"/>
      <c r="R62" s="88" t="n"/>
      <c r="S62" s="88" t="n"/>
      <c r="T62" s="88" t="n"/>
      <c r="U62" s="88" t="n"/>
      <c r="V62" s="88" t="n"/>
      <c r="W62" s="88" t="n"/>
      <c r="X62" s="88" t="n"/>
      <c r="Y62" s="88" t="n"/>
      <c r="Z62" s="88" t="n"/>
    </row>
    <row r="63" ht="15" customHeight="1" s="86">
      <c r="A63" s="88" t="n"/>
      <c r="B63" s="88" t="n"/>
      <c r="C63" s="88" t="n"/>
      <c r="D63" s="88" t="n"/>
      <c r="E63" s="88" t="n"/>
      <c r="F63" s="88" t="n"/>
      <c r="G63" s="88" t="n"/>
      <c r="H63" s="88" t="n"/>
      <c r="I63" s="88" t="n"/>
      <c r="J63" s="88" t="n"/>
      <c r="K63" s="88" t="n"/>
      <c r="L63" s="88" t="n"/>
      <c r="M63" s="88" t="n"/>
      <c r="N63" s="88" t="n"/>
      <c r="O63" s="88" t="n"/>
      <c r="P63" s="88" t="n"/>
      <c r="Q63" s="88" t="n"/>
      <c r="R63" s="88" t="n"/>
      <c r="S63" s="88" t="n"/>
      <c r="T63" s="88" t="n"/>
      <c r="U63" s="88" t="n"/>
      <c r="V63" s="88" t="n"/>
      <c r="W63" s="88" t="n"/>
      <c r="X63" s="88" t="n"/>
      <c r="Y63" s="88" t="n"/>
      <c r="Z63" s="88" t="n"/>
    </row>
    <row r="64" ht="15.75" customHeight="1" s="86">
      <c r="T64" s="85" t="n"/>
      <c r="U64" s="85" t="n"/>
      <c r="V64" s="85" t="n"/>
      <c r="W64" s="85" t="n"/>
      <c r="X64" s="85" t="n"/>
      <c r="Y64" s="85" t="n"/>
      <c r="Z64" s="85" t="n"/>
    </row>
    <row r="65" ht="15.75" customHeight="1" s="86">
      <c r="T65" s="85" t="n"/>
      <c r="U65" s="85" t="n"/>
      <c r="V65" s="85" t="n"/>
      <c r="W65" s="85" t="n"/>
      <c r="X65" s="85" t="n"/>
      <c r="Y65" s="85" t="n"/>
      <c r="Z65" s="85" t="n"/>
    </row>
    <row r="66" ht="15.75" customHeight="1" s="86">
      <c r="T66" s="85" t="n"/>
      <c r="U66" s="85" t="n"/>
      <c r="V66" s="85" t="n"/>
      <c r="W66" s="85" t="n"/>
      <c r="X66" s="85" t="n"/>
      <c r="Y66" s="85" t="n"/>
      <c r="Z66" s="85" t="n"/>
    </row>
    <row r="67" ht="15.75" customHeight="1" s="86">
      <c r="T67" s="85" t="n"/>
      <c r="U67" s="85" t="n"/>
      <c r="V67" s="85" t="n"/>
      <c r="W67" s="85" t="n"/>
      <c r="X67" s="85" t="n"/>
      <c r="Y67" s="85" t="n"/>
      <c r="Z67" s="85" t="n"/>
    </row>
    <row r="68" ht="15.75" customHeight="1" s="86">
      <c r="T68" s="85" t="n"/>
      <c r="U68" s="85" t="n"/>
      <c r="V68" s="85" t="n"/>
      <c r="W68" s="85" t="n"/>
      <c r="X68" s="85" t="n"/>
      <c r="Y68" s="85" t="n"/>
      <c r="Z68" s="85" t="n"/>
    </row>
    <row r="69" ht="15.75" customHeight="1" s="86">
      <c r="T69" s="85" t="n"/>
      <c r="U69" s="85" t="n"/>
      <c r="V69" s="85" t="n"/>
      <c r="W69" s="85" t="n"/>
      <c r="X69" s="85" t="n"/>
      <c r="Y69" s="85" t="n"/>
      <c r="Z69" s="85" t="n"/>
    </row>
    <row r="70" ht="15.75" customHeight="1" s="86">
      <c r="T70" s="85" t="n"/>
      <c r="U70" s="85" t="n"/>
      <c r="V70" s="85" t="n"/>
      <c r="W70" s="85" t="n"/>
      <c r="X70" s="85" t="n"/>
      <c r="Y70" s="85" t="n"/>
      <c r="Z70" s="85" t="n"/>
    </row>
    <row r="71" ht="15.75" customHeight="1" s="86">
      <c r="T71" s="85" t="n"/>
      <c r="U71" s="85" t="n"/>
      <c r="V71" s="85" t="n"/>
      <c r="W71" s="85" t="n"/>
      <c r="X71" s="85" t="n"/>
      <c r="Y71" s="85" t="n"/>
      <c r="Z71" s="85" t="n"/>
    </row>
    <row r="72" ht="15.75" customHeight="1" s="86">
      <c r="T72" s="85" t="n"/>
      <c r="U72" s="85" t="n"/>
      <c r="V72" s="85" t="n"/>
      <c r="W72" s="85" t="n"/>
      <c r="X72" s="85" t="n"/>
      <c r="Y72" s="85" t="n"/>
      <c r="Z72" s="85" t="n"/>
    </row>
    <row r="73" ht="15.75" customHeight="1" s="86">
      <c r="T73" s="85" t="n"/>
      <c r="U73" s="85" t="n"/>
      <c r="V73" s="85" t="n"/>
      <c r="W73" s="85" t="n"/>
      <c r="X73" s="85" t="n"/>
      <c r="Y73" s="85" t="n"/>
      <c r="Z73" s="85" t="n"/>
    </row>
    <row r="74" ht="15.75" customHeight="1" s="86">
      <c r="T74" s="85" t="n"/>
      <c r="U74" s="85" t="n"/>
      <c r="V74" s="85" t="n"/>
      <c r="W74" s="85" t="n"/>
      <c r="X74" s="85" t="n"/>
      <c r="Y74" s="85" t="n"/>
      <c r="Z74" s="85" t="n"/>
    </row>
    <row r="75" ht="15.75" customHeight="1" s="86">
      <c r="T75" s="85" t="n"/>
      <c r="U75" s="85" t="n"/>
      <c r="V75" s="85" t="n"/>
      <c r="W75" s="85" t="n"/>
      <c r="X75" s="85" t="n"/>
      <c r="Y75" s="85" t="n"/>
      <c r="Z75" s="85" t="n"/>
    </row>
    <row r="76" ht="15.75" customHeight="1" s="86">
      <c r="T76" s="85" t="n"/>
      <c r="U76" s="85" t="n"/>
      <c r="V76" s="85" t="n"/>
      <c r="W76" s="85" t="n"/>
      <c r="X76" s="85" t="n"/>
      <c r="Y76" s="85" t="n"/>
      <c r="Z76" s="85" t="n"/>
    </row>
    <row r="77" ht="15.75" customHeight="1" s="86">
      <c r="T77" s="85" t="n"/>
      <c r="U77" s="85" t="n"/>
      <c r="V77" s="85" t="n"/>
      <c r="W77" s="85" t="n"/>
      <c r="X77" s="85" t="n"/>
      <c r="Y77" s="85" t="n"/>
      <c r="Z77" s="85" t="n"/>
    </row>
    <row r="78" ht="15.75" customHeight="1" s="86">
      <c r="T78" s="85" t="n"/>
      <c r="U78" s="85" t="n"/>
      <c r="V78" s="85" t="n"/>
      <c r="W78" s="85" t="n"/>
      <c r="X78" s="85" t="n"/>
      <c r="Y78" s="85" t="n"/>
      <c r="Z78" s="85" t="n"/>
    </row>
    <row r="79" ht="15.75" customHeight="1" s="86">
      <c r="T79" s="85" t="n"/>
      <c r="U79" s="85" t="n"/>
      <c r="V79" s="85" t="n"/>
      <c r="W79" s="85" t="n"/>
      <c r="X79" s="85" t="n"/>
      <c r="Y79" s="85" t="n"/>
      <c r="Z79" s="85" t="n"/>
    </row>
    <row r="80" ht="15.75" customHeight="1" s="86">
      <c r="T80" s="85" t="n"/>
      <c r="U80" s="85" t="n"/>
      <c r="V80" s="85" t="n"/>
      <c r="W80" s="85" t="n"/>
      <c r="X80" s="85" t="n"/>
      <c r="Y80" s="85" t="n"/>
      <c r="Z80" s="85" t="n"/>
    </row>
    <row r="81" ht="15.75" customHeight="1" s="86">
      <c r="T81" s="85" t="n"/>
      <c r="U81" s="85" t="n"/>
      <c r="V81" s="85" t="n"/>
      <c r="W81" s="85" t="n"/>
      <c r="X81" s="85" t="n"/>
      <c r="Y81" s="85" t="n"/>
      <c r="Z81" s="85" t="n"/>
    </row>
    <row r="82" ht="15.75" customHeight="1" s="86">
      <c r="T82" s="85" t="n"/>
      <c r="U82" s="85" t="n"/>
      <c r="V82" s="85" t="n"/>
      <c r="W82" s="85" t="n"/>
      <c r="X82" s="85" t="n"/>
      <c r="Y82" s="85" t="n"/>
      <c r="Z82" s="85" t="n"/>
    </row>
    <row r="83" ht="15.75" customHeight="1" s="86">
      <c r="T83" s="85" t="n"/>
      <c r="U83" s="85" t="n"/>
      <c r="V83" s="85" t="n"/>
      <c r="W83" s="85" t="n"/>
      <c r="X83" s="85" t="n"/>
      <c r="Y83" s="85" t="n"/>
      <c r="Z83" s="85" t="n"/>
    </row>
    <row r="84" ht="15.75" customHeight="1" s="86">
      <c r="T84" s="85" t="n"/>
      <c r="U84" s="85" t="n"/>
      <c r="V84" s="85" t="n"/>
      <c r="W84" s="85" t="n"/>
      <c r="X84" s="85" t="n"/>
      <c r="Y84" s="85" t="n"/>
      <c r="Z84" s="85" t="n"/>
    </row>
    <row r="85" ht="15.75" customHeight="1" s="86">
      <c r="T85" s="85" t="n"/>
      <c r="U85" s="85" t="n"/>
      <c r="V85" s="85" t="n"/>
      <c r="W85" s="85" t="n"/>
      <c r="X85" s="85" t="n"/>
      <c r="Y85" s="85" t="n"/>
      <c r="Z85" s="85" t="n"/>
    </row>
    <row r="86" ht="15.75" customHeight="1" s="86">
      <c r="T86" s="85" t="n"/>
      <c r="U86" s="85" t="n"/>
      <c r="V86" s="85" t="n"/>
      <c r="W86" s="85" t="n"/>
      <c r="X86" s="85" t="n"/>
      <c r="Y86" s="85" t="n"/>
      <c r="Z86" s="85" t="n"/>
    </row>
    <row r="87" ht="15.75" customHeight="1" s="86">
      <c r="T87" s="85" t="n"/>
      <c r="U87" s="85" t="n"/>
      <c r="V87" s="85" t="n"/>
      <c r="W87" s="85" t="n"/>
      <c r="X87" s="85" t="n"/>
      <c r="Y87" s="85" t="n"/>
      <c r="Z87" s="85" t="n"/>
    </row>
    <row r="88" ht="15.75" customHeight="1" s="86">
      <c r="T88" s="85" t="n"/>
      <c r="U88" s="85" t="n"/>
      <c r="V88" s="85" t="n"/>
      <c r="W88" s="85" t="n"/>
      <c r="X88" s="85" t="n"/>
      <c r="Y88" s="85" t="n"/>
      <c r="Z88" s="85" t="n"/>
    </row>
    <row r="89" ht="15.75" customHeight="1" s="86">
      <c r="T89" s="85" t="n"/>
      <c r="U89" s="85" t="n"/>
      <c r="V89" s="85" t="n"/>
      <c r="W89" s="85" t="n"/>
      <c r="X89" s="85" t="n"/>
      <c r="Y89" s="85" t="n"/>
      <c r="Z89" s="85" t="n"/>
    </row>
    <row r="90" ht="15.75" customHeight="1" s="86">
      <c r="T90" s="85" t="n"/>
      <c r="U90" s="85" t="n"/>
      <c r="V90" s="85" t="n"/>
      <c r="W90" s="85" t="n"/>
      <c r="X90" s="85" t="n"/>
      <c r="Y90" s="85" t="n"/>
      <c r="Z90" s="85" t="n"/>
    </row>
    <row r="91" ht="15.75" customHeight="1" s="86">
      <c r="T91" s="85" t="n"/>
      <c r="U91" s="85" t="n"/>
      <c r="V91" s="85" t="n"/>
      <c r="W91" s="85" t="n"/>
      <c r="X91" s="85" t="n"/>
      <c r="Y91" s="85" t="n"/>
      <c r="Z91" s="85" t="n"/>
    </row>
    <row r="92" ht="15.75" customHeight="1" s="86">
      <c r="T92" s="85" t="n"/>
      <c r="U92" s="85" t="n"/>
      <c r="V92" s="85" t="n"/>
      <c r="W92" s="85" t="n"/>
      <c r="X92" s="85" t="n"/>
      <c r="Y92" s="85" t="n"/>
      <c r="Z92" s="85" t="n"/>
    </row>
    <row r="93" ht="15.75" customHeight="1" s="86">
      <c r="T93" s="85" t="n"/>
      <c r="U93" s="85" t="n"/>
      <c r="V93" s="85" t="n"/>
      <c r="W93" s="85" t="n"/>
      <c r="X93" s="85" t="n"/>
      <c r="Y93" s="85" t="n"/>
      <c r="Z93" s="85" t="n"/>
    </row>
    <row r="94" ht="15.75" customHeight="1" s="86">
      <c r="T94" s="85" t="n"/>
      <c r="U94" s="85" t="n"/>
      <c r="V94" s="85" t="n"/>
      <c r="W94" s="85" t="n"/>
      <c r="X94" s="85" t="n"/>
      <c r="Y94" s="85" t="n"/>
      <c r="Z94" s="85" t="n"/>
    </row>
    <row r="95" ht="15.75" customHeight="1" s="86">
      <c r="T95" s="85" t="n"/>
      <c r="U95" s="85" t="n"/>
      <c r="V95" s="85" t="n"/>
      <c r="W95" s="85" t="n"/>
      <c r="X95" s="85" t="n"/>
      <c r="Y95" s="85" t="n"/>
      <c r="Z95" s="85" t="n"/>
    </row>
    <row r="96" ht="15.75" customHeight="1" s="86">
      <c r="T96" s="85" t="n"/>
      <c r="U96" s="85" t="n"/>
      <c r="V96" s="85" t="n"/>
      <c r="W96" s="85" t="n"/>
      <c r="X96" s="85" t="n"/>
      <c r="Y96" s="85" t="n"/>
      <c r="Z96" s="85" t="n"/>
    </row>
    <row r="97" ht="15.75" customHeight="1" s="86">
      <c r="T97" s="85" t="n"/>
      <c r="U97" s="85" t="n"/>
      <c r="V97" s="85" t="n"/>
      <c r="W97" s="85" t="n"/>
      <c r="X97" s="85" t="n"/>
      <c r="Y97" s="85" t="n"/>
      <c r="Z97" s="85" t="n"/>
    </row>
    <row r="98" ht="15.75" customHeight="1" s="86">
      <c r="T98" s="85" t="n"/>
      <c r="U98" s="85" t="n"/>
      <c r="V98" s="85" t="n"/>
      <c r="W98" s="85" t="n"/>
      <c r="X98" s="85" t="n"/>
      <c r="Y98" s="85" t="n"/>
      <c r="Z98" s="85" t="n"/>
    </row>
    <row r="99" ht="15.75" customHeight="1" s="86">
      <c r="T99" s="85" t="n"/>
      <c r="U99" s="85" t="n"/>
      <c r="V99" s="85" t="n"/>
      <c r="W99" s="85" t="n"/>
      <c r="X99" s="85" t="n"/>
      <c r="Y99" s="85" t="n"/>
      <c r="Z99" s="85" t="n"/>
    </row>
    <row r="100" ht="15.75" customHeight="1" s="86">
      <c r="T100" s="85" t="n"/>
      <c r="U100" s="85" t="n"/>
      <c r="V100" s="85" t="n"/>
      <c r="W100" s="85" t="n"/>
      <c r="X100" s="85" t="n"/>
      <c r="Y100" s="85" t="n"/>
      <c r="Z100" s="85" t="n"/>
    </row>
    <row r="101" ht="15.75" customHeight="1" s="86">
      <c r="T101" s="85" t="n"/>
      <c r="U101" s="85" t="n"/>
      <c r="V101" s="85" t="n"/>
      <c r="W101" s="85" t="n"/>
      <c r="X101" s="85" t="n"/>
      <c r="Y101" s="85" t="n"/>
      <c r="Z101" s="85" t="n"/>
    </row>
    <row r="102" ht="15.75" customHeight="1" s="86">
      <c r="T102" s="85" t="n"/>
      <c r="U102" s="85" t="n"/>
      <c r="V102" s="85" t="n"/>
      <c r="W102" s="85" t="n"/>
      <c r="X102" s="85" t="n"/>
      <c r="Y102" s="85" t="n"/>
      <c r="Z102" s="85" t="n"/>
    </row>
    <row r="103" ht="15.75" customHeight="1" s="86">
      <c r="T103" s="85" t="n"/>
      <c r="U103" s="85" t="n"/>
      <c r="V103" s="85" t="n"/>
      <c r="W103" s="85" t="n"/>
      <c r="X103" s="85" t="n"/>
      <c r="Y103" s="85" t="n"/>
      <c r="Z103" s="85" t="n"/>
    </row>
    <row r="104" ht="15.75" customHeight="1" s="86">
      <c r="T104" s="85" t="n"/>
      <c r="U104" s="85" t="n"/>
      <c r="V104" s="85" t="n"/>
      <c r="W104" s="85" t="n"/>
      <c r="X104" s="85" t="n"/>
      <c r="Y104" s="85" t="n"/>
      <c r="Z104" s="85" t="n"/>
    </row>
    <row r="105" ht="15.75" customHeight="1" s="86">
      <c r="T105" s="85" t="n"/>
      <c r="U105" s="85" t="n"/>
      <c r="V105" s="85" t="n"/>
      <c r="W105" s="85" t="n"/>
      <c r="X105" s="85" t="n"/>
      <c r="Y105" s="85" t="n"/>
      <c r="Z105" s="85" t="n"/>
    </row>
    <row r="106" ht="15.75" customHeight="1" s="86">
      <c r="T106" s="85" t="n"/>
      <c r="U106" s="85" t="n"/>
      <c r="V106" s="85" t="n"/>
      <c r="W106" s="85" t="n"/>
      <c r="X106" s="85" t="n"/>
      <c r="Y106" s="85" t="n"/>
      <c r="Z106" s="85" t="n"/>
    </row>
    <row r="107" ht="15.75" customHeight="1" s="86">
      <c r="T107" s="85" t="n"/>
      <c r="U107" s="85" t="n"/>
      <c r="V107" s="85" t="n"/>
      <c r="W107" s="85" t="n"/>
      <c r="X107" s="85" t="n"/>
      <c r="Y107" s="85" t="n"/>
      <c r="Z107" s="85" t="n"/>
    </row>
    <row r="108" ht="15.75" customHeight="1" s="86">
      <c r="T108" s="85" t="n"/>
      <c r="U108" s="85" t="n"/>
      <c r="V108" s="85" t="n"/>
      <c r="W108" s="85" t="n"/>
      <c r="X108" s="85" t="n"/>
      <c r="Y108" s="85" t="n"/>
      <c r="Z108" s="85" t="n"/>
    </row>
    <row r="109" ht="15.75" customHeight="1" s="86">
      <c r="T109" s="85" t="n"/>
      <c r="U109" s="85" t="n"/>
      <c r="V109" s="85" t="n"/>
      <c r="W109" s="85" t="n"/>
      <c r="X109" s="85" t="n"/>
      <c r="Y109" s="85" t="n"/>
      <c r="Z109" s="85" t="n"/>
    </row>
    <row r="110" ht="15.75" customHeight="1" s="86">
      <c r="T110" s="85" t="n"/>
      <c r="U110" s="85" t="n"/>
      <c r="V110" s="85" t="n"/>
      <c r="W110" s="85" t="n"/>
      <c r="X110" s="85" t="n"/>
      <c r="Y110" s="85" t="n"/>
      <c r="Z110" s="85" t="n"/>
    </row>
    <row r="111" ht="15.75" customHeight="1" s="86">
      <c r="T111" s="85" t="n"/>
      <c r="U111" s="85" t="n"/>
      <c r="V111" s="85" t="n"/>
      <c r="W111" s="85" t="n"/>
      <c r="X111" s="85" t="n"/>
      <c r="Y111" s="85" t="n"/>
      <c r="Z111" s="85" t="n"/>
    </row>
    <row r="112" ht="15.75" customHeight="1" s="86">
      <c r="T112" s="85" t="n"/>
      <c r="U112" s="85" t="n"/>
      <c r="V112" s="85" t="n"/>
      <c r="W112" s="85" t="n"/>
      <c r="X112" s="85" t="n"/>
      <c r="Y112" s="85" t="n"/>
      <c r="Z112" s="85" t="n"/>
    </row>
    <row r="113" ht="15.75" customHeight="1" s="86">
      <c r="T113" s="85" t="n"/>
      <c r="U113" s="85" t="n"/>
      <c r="V113" s="85" t="n"/>
      <c r="W113" s="85" t="n"/>
      <c r="X113" s="85" t="n"/>
      <c r="Y113" s="85" t="n"/>
      <c r="Z113" s="85" t="n"/>
    </row>
    <row r="114" ht="15.75" customHeight="1" s="86">
      <c r="T114" s="85" t="n"/>
      <c r="U114" s="85" t="n"/>
      <c r="V114" s="85" t="n"/>
      <c r="W114" s="85" t="n"/>
      <c r="X114" s="85" t="n"/>
      <c r="Y114" s="85" t="n"/>
      <c r="Z114" s="85" t="n"/>
    </row>
    <row r="115" ht="15.75" customHeight="1" s="86">
      <c r="T115" s="85" t="n"/>
      <c r="U115" s="85" t="n"/>
      <c r="V115" s="85" t="n"/>
      <c r="W115" s="85" t="n"/>
      <c r="X115" s="85" t="n"/>
      <c r="Y115" s="85" t="n"/>
      <c r="Z115" s="85" t="n"/>
    </row>
    <row r="116" ht="15.75" customHeight="1" s="86">
      <c r="T116" s="85" t="n"/>
      <c r="U116" s="85" t="n"/>
      <c r="V116" s="85" t="n"/>
      <c r="W116" s="85" t="n"/>
      <c r="X116" s="85" t="n"/>
      <c r="Y116" s="85" t="n"/>
      <c r="Z116" s="85" t="n"/>
    </row>
    <row r="117" ht="15.75" customHeight="1" s="86">
      <c r="T117" s="85" t="n"/>
      <c r="U117" s="85" t="n"/>
      <c r="V117" s="85" t="n"/>
      <c r="W117" s="85" t="n"/>
      <c r="X117" s="85" t="n"/>
      <c r="Y117" s="85" t="n"/>
      <c r="Z117" s="85" t="n"/>
    </row>
    <row r="118" ht="15.75" customHeight="1" s="86">
      <c r="T118" s="85" t="n"/>
      <c r="U118" s="85" t="n"/>
      <c r="V118" s="85" t="n"/>
      <c r="W118" s="85" t="n"/>
      <c r="X118" s="85" t="n"/>
      <c r="Y118" s="85" t="n"/>
      <c r="Z118" s="85" t="n"/>
    </row>
    <row r="119" ht="15.75" customHeight="1" s="86">
      <c r="T119" s="85" t="n"/>
      <c r="U119" s="85" t="n"/>
      <c r="V119" s="85" t="n"/>
      <c r="W119" s="85" t="n"/>
      <c r="X119" s="85" t="n"/>
      <c r="Y119" s="85" t="n"/>
      <c r="Z119" s="85" t="n"/>
    </row>
    <row r="120" ht="15.75" customHeight="1" s="86">
      <c r="T120" s="85" t="n"/>
      <c r="U120" s="85" t="n"/>
      <c r="V120" s="85" t="n"/>
      <c r="W120" s="85" t="n"/>
      <c r="X120" s="85" t="n"/>
      <c r="Y120" s="85" t="n"/>
      <c r="Z120" s="85" t="n"/>
    </row>
    <row r="121" ht="15.75" customHeight="1" s="86">
      <c r="T121" s="85" t="n"/>
      <c r="U121" s="85" t="n"/>
      <c r="V121" s="85" t="n"/>
      <c r="W121" s="85" t="n"/>
      <c r="X121" s="85" t="n"/>
      <c r="Y121" s="85" t="n"/>
      <c r="Z121" s="85" t="n"/>
    </row>
    <row r="122" ht="15.75" customHeight="1" s="86">
      <c r="T122" s="85" t="n"/>
      <c r="U122" s="85" t="n"/>
      <c r="V122" s="85" t="n"/>
      <c r="W122" s="85" t="n"/>
      <c r="X122" s="85" t="n"/>
      <c r="Y122" s="85" t="n"/>
      <c r="Z122" s="85" t="n"/>
    </row>
    <row r="123" ht="15.75" customHeight="1" s="86">
      <c r="T123" s="85" t="n"/>
      <c r="U123" s="85" t="n"/>
      <c r="V123" s="85" t="n"/>
      <c r="W123" s="85" t="n"/>
      <c r="X123" s="85" t="n"/>
      <c r="Y123" s="85" t="n"/>
      <c r="Z123" s="85" t="n"/>
    </row>
    <row r="124" ht="15.75" customHeight="1" s="86">
      <c r="T124" s="85" t="n"/>
      <c r="U124" s="85" t="n"/>
      <c r="V124" s="85" t="n"/>
      <c r="W124" s="85" t="n"/>
      <c r="X124" s="85" t="n"/>
      <c r="Y124" s="85" t="n"/>
      <c r="Z124" s="85" t="n"/>
    </row>
    <row r="125" ht="15.75" customHeight="1" s="86">
      <c r="T125" s="85" t="n"/>
      <c r="U125" s="85" t="n"/>
      <c r="V125" s="85" t="n"/>
      <c r="W125" s="85" t="n"/>
      <c r="X125" s="85" t="n"/>
      <c r="Y125" s="85" t="n"/>
      <c r="Z125" s="85" t="n"/>
    </row>
    <row r="126" ht="15.75" customHeight="1" s="86">
      <c r="T126" s="85" t="n"/>
      <c r="U126" s="85" t="n"/>
      <c r="V126" s="85" t="n"/>
      <c r="W126" s="85" t="n"/>
      <c r="X126" s="85" t="n"/>
      <c r="Y126" s="85" t="n"/>
      <c r="Z126" s="85" t="n"/>
    </row>
    <row r="127" ht="15.75" customHeight="1" s="86">
      <c r="T127" s="85" t="n"/>
      <c r="U127" s="85" t="n"/>
      <c r="V127" s="85" t="n"/>
      <c r="W127" s="85" t="n"/>
      <c r="X127" s="85" t="n"/>
      <c r="Y127" s="85" t="n"/>
      <c r="Z127" s="85" t="n"/>
    </row>
    <row r="128" ht="15.75" customHeight="1" s="86">
      <c r="T128" s="85" t="n"/>
      <c r="U128" s="85" t="n"/>
      <c r="V128" s="85" t="n"/>
      <c r="W128" s="85" t="n"/>
      <c r="X128" s="85" t="n"/>
      <c r="Y128" s="85" t="n"/>
      <c r="Z128" s="85" t="n"/>
    </row>
    <row r="129" ht="15.75" customHeight="1" s="86">
      <c r="T129" s="85" t="n"/>
      <c r="U129" s="85" t="n"/>
      <c r="V129" s="85" t="n"/>
      <c r="W129" s="85" t="n"/>
      <c r="X129" s="85" t="n"/>
      <c r="Y129" s="85" t="n"/>
      <c r="Z129" s="85" t="n"/>
    </row>
    <row r="130" ht="15.75" customHeight="1" s="86">
      <c r="T130" s="85" t="n"/>
      <c r="U130" s="85" t="n"/>
      <c r="V130" s="85" t="n"/>
      <c r="W130" s="85" t="n"/>
      <c r="X130" s="85" t="n"/>
      <c r="Y130" s="85" t="n"/>
      <c r="Z130" s="85" t="n"/>
    </row>
    <row r="131" ht="15.75" customHeight="1" s="86">
      <c r="T131" s="85" t="n"/>
      <c r="U131" s="85" t="n"/>
      <c r="V131" s="85" t="n"/>
      <c r="W131" s="85" t="n"/>
      <c r="X131" s="85" t="n"/>
      <c r="Y131" s="85" t="n"/>
      <c r="Z131" s="85" t="n"/>
    </row>
    <row r="132" ht="15.75" customHeight="1" s="86">
      <c r="T132" s="85" t="n"/>
      <c r="U132" s="85" t="n"/>
      <c r="V132" s="85" t="n"/>
      <c r="W132" s="85" t="n"/>
      <c r="X132" s="85" t="n"/>
      <c r="Y132" s="85" t="n"/>
      <c r="Z132" s="85" t="n"/>
    </row>
    <row r="133" ht="15.75" customHeight="1" s="86">
      <c r="T133" s="85" t="n"/>
      <c r="U133" s="85" t="n"/>
      <c r="V133" s="85" t="n"/>
      <c r="W133" s="85" t="n"/>
      <c r="X133" s="85" t="n"/>
      <c r="Y133" s="85" t="n"/>
      <c r="Z133" s="85" t="n"/>
    </row>
    <row r="134" ht="15.75" customHeight="1" s="86">
      <c r="T134" s="85" t="n"/>
      <c r="U134" s="85" t="n"/>
      <c r="V134" s="85" t="n"/>
      <c r="W134" s="85" t="n"/>
      <c r="X134" s="85" t="n"/>
      <c r="Y134" s="85" t="n"/>
      <c r="Z134" s="85" t="n"/>
    </row>
    <row r="135" ht="15.75" customHeight="1" s="86">
      <c r="T135" s="85" t="n"/>
      <c r="U135" s="85" t="n"/>
      <c r="V135" s="85" t="n"/>
      <c r="W135" s="85" t="n"/>
      <c r="X135" s="85" t="n"/>
      <c r="Y135" s="85" t="n"/>
      <c r="Z135" s="85" t="n"/>
    </row>
    <row r="136" ht="15.75" customHeight="1" s="86">
      <c r="T136" s="85" t="n"/>
      <c r="U136" s="85" t="n"/>
      <c r="V136" s="85" t="n"/>
      <c r="W136" s="85" t="n"/>
      <c r="X136" s="85" t="n"/>
      <c r="Y136" s="85" t="n"/>
      <c r="Z136" s="85" t="n"/>
    </row>
    <row r="137" ht="15.75" customHeight="1" s="86">
      <c r="T137" s="85" t="n"/>
      <c r="U137" s="85" t="n"/>
      <c r="V137" s="85" t="n"/>
      <c r="W137" s="85" t="n"/>
      <c r="X137" s="85" t="n"/>
      <c r="Y137" s="85" t="n"/>
      <c r="Z137" s="85" t="n"/>
    </row>
    <row r="138" ht="15.75" customHeight="1" s="86">
      <c r="T138" s="85" t="n"/>
      <c r="U138" s="85" t="n"/>
      <c r="V138" s="85" t="n"/>
      <c r="W138" s="85" t="n"/>
      <c r="X138" s="85" t="n"/>
      <c r="Y138" s="85" t="n"/>
      <c r="Z138" s="85" t="n"/>
    </row>
    <row r="139" ht="15.75" customHeight="1" s="86">
      <c r="T139" s="85" t="n"/>
      <c r="U139" s="85" t="n"/>
      <c r="V139" s="85" t="n"/>
      <c r="W139" s="85" t="n"/>
      <c r="X139" s="85" t="n"/>
      <c r="Y139" s="85" t="n"/>
      <c r="Z139" s="85" t="n"/>
    </row>
    <row r="140" ht="15.75" customHeight="1" s="86">
      <c r="T140" s="85" t="n"/>
      <c r="U140" s="85" t="n"/>
      <c r="V140" s="85" t="n"/>
      <c r="W140" s="85" t="n"/>
      <c r="X140" s="85" t="n"/>
      <c r="Y140" s="85" t="n"/>
      <c r="Z140" s="85" t="n"/>
    </row>
    <row r="141" ht="15.75" customHeight="1" s="86">
      <c r="T141" s="85" t="n"/>
      <c r="U141" s="85" t="n"/>
      <c r="V141" s="85" t="n"/>
      <c r="W141" s="85" t="n"/>
      <c r="X141" s="85" t="n"/>
      <c r="Y141" s="85" t="n"/>
      <c r="Z141" s="85" t="n"/>
    </row>
    <row r="142" ht="15.75" customHeight="1" s="86">
      <c r="T142" s="85" t="n"/>
      <c r="U142" s="85" t="n"/>
      <c r="V142" s="85" t="n"/>
      <c r="W142" s="85" t="n"/>
      <c r="X142" s="85" t="n"/>
      <c r="Y142" s="85" t="n"/>
      <c r="Z142" s="85" t="n"/>
    </row>
    <row r="143" ht="15.75" customHeight="1" s="86">
      <c r="T143" s="85" t="n"/>
      <c r="U143" s="85" t="n"/>
      <c r="V143" s="85" t="n"/>
      <c r="W143" s="85" t="n"/>
      <c r="X143" s="85" t="n"/>
      <c r="Y143" s="85" t="n"/>
      <c r="Z143" s="85" t="n"/>
    </row>
    <row r="144" ht="15.75" customHeight="1" s="86">
      <c r="T144" s="85" t="n"/>
      <c r="U144" s="85" t="n"/>
      <c r="V144" s="85" t="n"/>
      <c r="W144" s="85" t="n"/>
      <c r="X144" s="85" t="n"/>
      <c r="Y144" s="85" t="n"/>
      <c r="Z144" s="85" t="n"/>
    </row>
    <row r="145" ht="15.75" customHeight="1" s="86">
      <c r="T145" s="85" t="n"/>
      <c r="U145" s="85" t="n"/>
      <c r="V145" s="85" t="n"/>
      <c r="W145" s="85" t="n"/>
      <c r="X145" s="85" t="n"/>
      <c r="Y145" s="85" t="n"/>
      <c r="Z145" s="85" t="n"/>
    </row>
    <row r="146" ht="15.75" customHeight="1" s="86">
      <c r="T146" s="85" t="n"/>
      <c r="U146" s="85" t="n"/>
      <c r="V146" s="85" t="n"/>
      <c r="W146" s="85" t="n"/>
      <c r="X146" s="85" t="n"/>
      <c r="Y146" s="85" t="n"/>
      <c r="Z146" s="85" t="n"/>
    </row>
    <row r="147" ht="15.75" customHeight="1" s="86">
      <c r="T147" s="85" t="n"/>
      <c r="U147" s="85" t="n"/>
      <c r="V147" s="85" t="n"/>
      <c r="W147" s="85" t="n"/>
      <c r="X147" s="85" t="n"/>
      <c r="Y147" s="85" t="n"/>
      <c r="Z147" s="85" t="n"/>
    </row>
    <row r="148" ht="15.75" customHeight="1" s="86">
      <c r="T148" s="85" t="n"/>
      <c r="U148" s="85" t="n"/>
      <c r="V148" s="85" t="n"/>
      <c r="W148" s="85" t="n"/>
      <c r="X148" s="85" t="n"/>
      <c r="Y148" s="85" t="n"/>
      <c r="Z148" s="85" t="n"/>
    </row>
    <row r="149" ht="15.75" customHeight="1" s="86">
      <c r="T149" s="85" t="n"/>
      <c r="U149" s="85" t="n"/>
      <c r="V149" s="85" t="n"/>
      <c r="W149" s="85" t="n"/>
      <c r="X149" s="85" t="n"/>
      <c r="Y149" s="85" t="n"/>
      <c r="Z149" s="85" t="n"/>
    </row>
    <row r="150" ht="15.75" customHeight="1" s="86">
      <c r="T150" s="85" t="n"/>
      <c r="U150" s="85" t="n"/>
      <c r="V150" s="85" t="n"/>
      <c r="W150" s="85" t="n"/>
      <c r="X150" s="85" t="n"/>
      <c r="Y150" s="85" t="n"/>
      <c r="Z150" s="85" t="n"/>
    </row>
    <row r="151" ht="15.75" customHeight="1" s="86">
      <c r="T151" s="85" t="n"/>
      <c r="U151" s="85" t="n"/>
      <c r="V151" s="85" t="n"/>
      <c r="W151" s="85" t="n"/>
      <c r="X151" s="85" t="n"/>
      <c r="Y151" s="85" t="n"/>
      <c r="Z151" s="85" t="n"/>
    </row>
    <row r="152" ht="15.75" customHeight="1" s="86">
      <c r="T152" s="85" t="n"/>
      <c r="U152" s="85" t="n"/>
      <c r="V152" s="85" t="n"/>
      <c r="W152" s="85" t="n"/>
      <c r="X152" s="85" t="n"/>
      <c r="Y152" s="85" t="n"/>
      <c r="Z152" s="85" t="n"/>
    </row>
    <row r="153" ht="15.75" customHeight="1" s="86">
      <c r="T153" s="85" t="n"/>
      <c r="U153" s="85" t="n"/>
      <c r="V153" s="85" t="n"/>
      <c r="W153" s="85" t="n"/>
      <c r="X153" s="85" t="n"/>
      <c r="Y153" s="85" t="n"/>
      <c r="Z153" s="85" t="n"/>
    </row>
    <row r="154" ht="15.75" customHeight="1" s="86">
      <c r="T154" s="85" t="n"/>
      <c r="U154" s="85" t="n"/>
      <c r="V154" s="85" t="n"/>
      <c r="W154" s="85" t="n"/>
      <c r="X154" s="85" t="n"/>
      <c r="Y154" s="85" t="n"/>
      <c r="Z154" s="85" t="n"/>
    </row>
    <row r="155" ht="15.75" customHeight="1" s="86">
      <c r="T155" s="85" t="n"/>
      <c r="U155" s="85" t="n"/>
      <c r="V155" s="85" t="n"/>
      <c r="W155" s="85" t="n"/>
      <c r="X155" s="85" t="n"/>
      <c r="Y155" s="85" t="n"/>
      <c r="Z155" s="85" t="n"/>
    </row>
    <row r="156" ht="15.75" customHeight="1" s="86">
      <c r="T156" s="85" t="n"/>
      <c r="U156" s="85" t="n"/>
      <c r="V156" s="85" t="n"/>
      <c r="W156" s="85" t="n"/>
      <c r="X156" s="85" t="n"/>
      <c r="Y156" s="85" t="n"/>
      <c r="Z156" s="85" t="n"/>
    </row>
    <row r="157" ht="15.75" customHeight="1" s="86">
      <c r="T157" s="85" t="n"/>
      <c r="U157" s="85" t="n"/>
      <c r="V157" s="85" t="n"/>
      <c r="W157" s="85" t="n"/>
      <c r="X157" s="85" t="n"/>
      <c r="Y157" s="85" t="n"/>
      <c r="Z157" s="85" t="n"/>
    </row>
    <row r="158" ht="15.75" customHeight="1" s="86">
      <c r="T158" s="85" t="n"/>
      <c r="U158" s="85" t="n"/>
      <c r="V158" s="85" t="n"/>
      <c r="W158" s="85" t="n"/>
      <c r="X158" s="85" t="n"/>
      <c r="Y158" s="85" t="n"/>
      <c r="Z158" s="85" t="n"/>
    </row>
    <row r="159" ht="15.75" customHeight="1" s="86">
      <c r="T159" s="85" t="n"/>
      <c r="U159" s="85" t="n"/>
      <c r="V159" s="85" t="n"/>
      <c r="W159" s="85" t="n"/>
      <c r="X159" s="85" t="n"/>
      <c r="Y159" s="85" t="n"/>
      <c r="Z159" s="85" t="n"/>
    </row>
    <row r="160" ht="15.75" customHeight="1" s="86">
      <c r="T160" s="85" t="n"/>
      <c r="U160" s="85" t="n"/>
      <c r="V160" s="85" t="n"/>
      <c r="W160" s="85" t="n"/>
      <c r="X160" s="85" t="n"/>
      <c r="Y160" s="85" t="n"/>
      <c r="Z160" s="85" t="n"/>
    </row>
    <row r="161" ht="15.75" customHeight="1" s="86">
      <c r="T161" s="85" t="n"/>
      <c r="U161" s="85" t="n"/>
      <c r="V161" s="85" t="n"/>
      <c r="W161" s="85" t="n"/>
      <c r="X161" s="85" t="n"/>
      <c r="Y161" s="85" t="n"/>
      <c r="Z161" s="85" t="n"/>
    </row>
    <row r="162" ht="15.75" customHeight="1" s="86">
      <c r="T162" s="85" t="n"/>
      <c r="U162" s="85" t="n"/>
      <c r="V162" s="85" t="n"/>
      <c r="W162" s="85" t="n"/>
      <c r="X162" s="85" t="n"/>
      <c r="Y162" s="85" t="n"/>
      <c r="Z162" s="85" t="n"/>
    </row>
    <row r="163" ht="15.75" customHeight="1" s="86">
      <c r="T163" s="85" t="n"/>
      <c r="U163" s="85" t="n"/>
      <c r="V163" s="85" t="n"/>
      <c r="W163" s="85" t="n"/>
      <c r="X163" s="85" t="n"/>
      <c r="Y163" s="85" t="n"/>
      <c r="Z163" s="85" t="n"/>
    </row>
    <row r="164" ht="15.75" customHeight="1" s="86">
      <c r="T164" s="85" t="n"/>
      <c r="U164" s="85" t="n"/>
      <c r="V164" s="85" t="n"/>
      <c r="W164" s="85" t="n"/>
      <c r="X164" s="85" t="n"/>
      <c r="Y164" s="85" t="n"/>
      <c r="Z164" s="85" t="n"/>
    </row>
    <row r="165" ht="15.75" customHeight="1" s="86">
      <c r="T165" s="85" t="n"/>
      <c r="U165" s="85" t="n"/>
      <c r="V165" s="85" t="n"/>
      <c r="W165" s="85" t="n"/>
      <c r="X165" s="85" t="n"/>
      <c r="Y165" s="85" t="n"/>
      <c r="Z165" s="85" t="n"/>
    </row>
    <row r="166" ht="15.75" customHeight="1" s="86">
      <c r="T166" s="85" t="n"/>
      <c r="U166" s="85" t="n"/>
      <c r="V166" s="85" t="n"/>
      <c r="W166" s="85" t="n"/>
      <c r="X166" s="85" t="n"/>
      <c r="Y166" s="85" t="n"/>
      <c r="Z166" s="85" t="n"/>
    </row>
    <row r="167" ht="15.75" customHeight="1" s="86">
      <c r="T167" s="85" t="n"/>
      <c r="U167" s="85" t="n"/>
      <c r="V167" s="85" t="n"/>
      <c r="W167" s="85" t="n"/>
      <c r="X167" s="85" t="n"/>
      <c r="Y167" s="85" t="n"/>
      <c r="Z167" s="85" t="n"/>
    </row>
    <row r="168" ht="15.75" customHeight="1" s="86">
      <c r="T168" s="85" t="n"/>
      <c r="U168" s="85" t="n"/>
      <c r="V168" s="85" t="n"/>
      <c r="W168" s="85" t="n"/>
      <c r="X168" s="85" t="n"/>
      <c r="Y168" s="85" t="n"/>
      <c r="Z168" s="85" t="n"/>
    </row>
    <row r="169" ht="15.75" customHeight="1" s="86">
      <c r="T169" s="85" t="n"/>
      <c r="U169" s="85" t="n"/>
      <c r="V169" s="85" t="n"/>
      <c r="W169" s="85" t="n"/>
      <c r="X169" s="85" t="n"/>
      <c r="Y169" s="85" t="n"/>
      <c r="Z169" s="85" t="n"/>
    </row>
    <row r="170" ht="15.75" customHeight="1" s="86">
      <c r="T170" s="85" t="n"/>
      <c r="U170" s="85" t="n"/>
      <c r="V170" s="85" t="n"/>
      <c r="W170" s="85" t="n"/>
      <c r="X170" s="85" t="n"/>
      <c r="Y170" s="85" t="n"/>
      <c r="Z170" s="85" t="n"/>
    </row>
    <row r="171" ht="15.75" customHeight="1" s="86">
      <c r="T171" s="85" t="n"/>
      <c r="U171" s="85" t="n"/>
      <c r="V171" s="85" t="n"/>
      <c r="W171" s="85" t="n"/>
      <c r="X171" s="85" t="n"/>
      <c r="Y171" s="85" t="n"/>
      <c r="Z171" s="85" t="n"/>
    </row>
    <row r="172" ht="15.75" customHeight="1" s="86">
      <c r="T172" s="85" t="n"/>
      <c r="U172" s="85" t="n"/>
      <c r="V172" s="85" t="n"/>
      <c r="W172" s="85" t="n"/>
      <c r="X172" s="85" t="n"/>
      <c r="Y172" s="85" t="n"/>
      <c r="Z172" s="85" t="n"/>
    </row>
    <row r="173" ht="15.75" customHeight="1" s="86">
      <c r="T173" s="85" t="n"/>
      <c r="U173" s="85" t="n"/>
      <c r="V173" s="85" t="n"/>
      <c r="W173" s="85" t="n"/>
      <c r="X173" s="85" t="n"/>
      <c r="Y173" s="85" t="n"/>
      <c r="Z173" s="85" t="n"/>
    </row>
    <row r="174" ht="15.75" customHeight="1" s="86">
      <c r="T174" s="85" t="n"/>
      <c r="U174" s="85" t="n"/>
      <c r="V174" s="85" t="n"/>
      <c r="W174" s="85" t="n"/>
      <c r="X174" s="85" t="n"/>
      <c r="Y174" s="85" t="n"/>
      <c r="Z174" s="85" t="n"/>
    </row>
    <row r="175" ht="15.75" customHeight="1" s="86">
      <c r="T175" s="85" t="n"/>
      <c r="U175" s="85" t="n"/>
      <c r="V175" s="85" t="n"/>
      <c r="W175" s="85" t="n"/>
      <c r="X175" s="85" t="n"/>
      <c r="Y175" s="85" t="n"/>
      <c r="Z175" s="85" t="n"/>
    </row>
    <row r="176" ht="15.75" customHeight="1" s="86">
      <c r="T176" s="85" t="n"/>
      <c r="U176" s="85" t="n"/>
      <c r="V176" s="85" t="n"/>
      <c r="W176" s="85" t="n"/>
      <c r="X176" s="85" t="n"/>
      <c r="Y176" s="85" t="n"/>
      <c r="Z176" s="85" t="n"/>
    </row>
    <row r="177" ht="15.75" customHeight="1" s="86">
      <c r="T177" s="85" t="n"/>
      <c r="U177" s="85" t="n"/>
      <c r="V177" s="85" t="n"/>
      <c r="W177" s="85" t="n"/>
      <c r="X177" s="85" t="n"/>
      <c r="Y177" s="85" t="n"/>
      <c r="Z177" s="85" t="n"/>
    </row>
    <row r="178" ht="15.75" customHeight="1" s="86">
      <c r="T178" s="85" t="n"/>
      <c r="U178" s="85" t="n"/>
      <c r="V178" s="85" t="n"/>
      <c r="W178" s="85" t="n"/>
      <c r="X178" s="85" t="n"/>
      <c r="Y178" s="85" t="n"/>
      <c r="Z178" s="85" t="n"/>
    </row>
    <row r="179" ht="15.75" customHeight="1" s="86">
      <c r="T179" s="85" t="n"/>
      <c r="U179" s="85" t="n"/>
      <c r="V179" s="85" t="n"/>
      <c r="W179" s="85" t="n"/>
      <c r="X179" s="85" t="n"/>
      <c r="Y179" s="85" t="n"/>
      <c r="Z179" s="85" t="n"/>
    </row>
    <row r="180" ht="15.75" customHeight="1" s="86">
      <c r="T180" s="85" t="n"/>
      <c r="U180" s="85" t="n"/>
      <c r="V180" s="85" t="n"/>
      <c r="W180" s="85" t="n"/>
      <c r="X180" s="85" t="n"/>
      <c r="Y180" s="85" t="n"/>
      <c r="Z180" s="85" t="n"/>
    </row>
    <row r="181" ht="15.75" customHeight="1" s="86">
      <c r="T181" s="85" t="n"/>
      <c r="U181" s="85" t="n"/>
      <c r="V181" s="85" t="n"/>
      <c r="W181" s="85" t="n"/>
      <c r="X181" s="85" t="n"/>
      <c r="Y181" s="85" t="n"/>
      <c r="Z181" s="85" t="n"/>
    </row>
    <row r="182" ht="15.75" customHeight="1" s="86">
      <c r="T182" s="85" t="n"/>
      <c r="U182" s="85" t="n"/>
      <c r="V182" s="85" t="n"/>
      <c r="W182" s="85" t="n"/>
      <c r="X182" s="85" t="n"/>
      <c r="Y182" s="85" t="n"/>
      <c r="Z182" s="85" t="n"/>
    </row>
    <row r="183" ht="15.75" customHeight="1" s="86">
      <c r="T183" s="85" t="n"/>
      <c r="U183" s="85" t="n"/>
      <c r="V183" s="85" t="n"/>
      <c r="W183" s="85" t="n"/>
      <c r="X183" s="85" t="n"/>
      <c r="Y183" s="85" t="n"/>
      <c r="Z183" s="85" t="n"/>
    </row>
    <row r="184" ht="15.75" customHeight="1" s="86">
      <c r="T184" s="85" t="n"/>
      <c r="U184" s="85" t="n"/>
      <c r="V184" s="85" t="n"/>
      <c r="W184" s="85" t="n"/>
      <c r="X184" s="85" t="n"/>
      <c r="Y184" s="85" t="n"/>
      <c r="Z184" s="85" t="n"/>
    </row>
    <row r="185" ht="15.75" customHeight="1" s="86">
      <c r="T185" s="85" t="n"/>
      <c r="U185" s="85" t="n"/>
      <c r="V185" s="85" t="n"/>
      <c r="W185" s="85" t="n"/>
      <c r="X185" s="85" t="n"/>
      <c r="Y185" s="85" t="n"/>
      <c r="Z185" s="85" t="n"/>
    </row>
    <row r="186" ht="15.75" customHeight="1" s="86">
      <c r="T186" s="85" t="n"/>
      <c r="U186" s="85" t="n"/>
      <c r="V186" s="85" t="n"/>
      <c r="W186" s="85" t="n"/>
      <c r="X186" s="85" t="n"/>
      <c r="Y186" s="85" t="n"/>
      <c r="Z186" s="85" t="n"/>
    </row>
    <row r="187" ht="15.75" customHeight="1" s="86">
      <c r="T187" s="85" t="n"/>
      <c r="U187" s="85" t="n"/>
      <c r="V187" s="85" t="n"/>
      <c r="W187" s="85" t="n"/>
      <c r="X187" s="85" t="n"/>
      <c r="Y187" s="85" t="n"/>
      <c r="Z187" s="85" t="n"/>
    </row>
    <row r="188" ht="15.75" customHeight="1" s="86">
      <c r="T188" s="85" t="n"/>
      <c r="U188" s="85" t="n"/>
      <c r="V188" s="85" t="n"/>
      <c r="W188" s="85" t="n"/>
      <c r="X188" s="85" t="n"/>
      <c r="Y188" s="85" t="n"/>
      <c r="Z188" s="85" t="n"/>
    </row>
    <row r="189" ht="15.75" customHeight="1" s="86">
      <c r="T189" s="85" t="n"/>
      <c r="U189" s="85" t="n"/>
      <c r="V189" s="85" t="n"/>
      <c r="W189" s="85" t="n"/>
      <c r="X189" s="85" t="n"/>
      <c r="Y189" s="85" t="n"/>
      <c r="Z189" s="85" t="n"/>
    </row>
    <row r="190" ht="15.75" customHeight="1" s="86">
      <c r="T190" s="85" t="n"/>
      <c r="U190" s="85" t="n"/>
      <c r="V190" s="85" t="n"/>
      <c r="W190" s="85" t="n"/>
      <c r="X190" s="85" t="n"/>
      <c r="Y190" s="85" t="n"/>
      <c r="Z190" s="85" t="n"/>
    </row>
    <row r="191" ht="15.75" customHeight="1" s="86">
      <c r="T191" s="85" t="n"/>
      <c r="U191" s="85" t="n"/>
      <c r="V191" s="85" t="n"/>
      <c r="W191" s="85" t="n"/>
      <c r="X191" s="85" t="n"/>
      <c r="Y191" s="85" t="n"/>
      <c r="Z191" s="85" t="n"/>
    </row>
    <row r="192" ht="15.75" customHeight="1" s="86">
      <c r="T192" s="85" t="n"/>
      <c r="U192" s="85" t="n"/>
      <c r="V192" s="85" t="n"/>
      <c r="W192" s="85" t="n"/>
      <c r="X192" s="85" t="n"/>
      <c r="Y192" s="85" t="n"/>
      <c r="Z192" s="85" t="n"/>
    </row>
    <row r="193" ht="15.75" customHeight="1" s="86">
      <c r="T193" s="85" t="n"/>
      <c r="U193" s="85" t="n"/>
      <c r="V193" s="85" t="n"/>
      <c r="W193" s="85" t="n"/>
      <c r="X193" s="85" t="n"/>
      <c r="Y193" s="85" t="n"/>
      <c r="Z193" s="85" t="n"/>
    </row>
    <row r="194" ht="15.75" customHeight="1" s="86">
      <c r="T194" s="85" t="n"/>
      <c r="U194" s="85" t="n"/>
      <c r="V194" s="85" t="n"/>
      <c r="W194" s="85" t="n"/>
      <c r="X194" s="85" t="n"/>
      <c r="Y194" s="85" t="n"/>
      <c r="Z194" s="85" t="n"/>
    </row>
    <row r="195" ht="15.75" customHeight="1" s="86">
      <c r="T195" s="85" t="n"/>
      <c r="U195" s="85" t="n"/>
      <c r="V195" s="85" t="n"/>
      <c r="W195" s="85" t="n"/>
      <c r="X195" s="85" t="n"/>
      <c r="Y195" s="85" t="n"/>
      <c r="Z195" s="85" t="n"/>
    </row>
    <row r="196" ht="15.75" customHeight="1" s="86">
      <c r="T196" s="85" t="n"/>
      <c r="U196" s="85" t="n"/>
      <c r="V196" s="85" t="n"/>
      <c r="W196" s="85" t="n"/>
      <c r="X196" s="85" t="n"/>
      <c r="Y196" s="85" t="n"/>
      <c r="Z196" s="85" t="n"/>
    </row>
    <row r="197" ht="15.75" customHeight="1" s="86">
      <c r="T197" s="85" t="n"/>
      <c r="U197" s="85" t="n"/>
      <c r="V197" s="85" t="n"/>
      <c r="W197" s="85" t="n"/>
      <c r="X197" s="85" t="n"/>
      <c r="Y197" s="85" t="n"/>
      <c r="Z197" s="85" t="n"/>
    </row>
    <row r="198" ht="15.75" customHeight="1" s="86">
      <c r="T198" s="85" t="n"/>
      <c r="U198" s="85" t="n"/>
      <c r="V198" s="85" t="n"/>
      <c r="W198" s="85" t="n"/>
      <c r="X198" s="85" t="n"/>
      <c r="Y198" s="85" t="n"/>
      <c r="Z198" s="85" t="n"/>
    </row>
    <row r="199" ht="15.75" customHeight="1" s="86">
      <c r="T199" s="85" t="n"/>
      <c r="U199" s="85" t="n"/>
      <c r="V199" s="85" t="n"/>
      <c r="W199" s="85" t="n"/>
      <c r="X199" s="85" t="n"/>
      <c r="Y199" s="85" t="n"/>
      <c r="Z199" s="85" t="n"/>
    </row>
    <row r="200" ht="15.75" customHeight="1" s="86">
      <c r="T200" s="85" t="n"/>
      <c r="U200" s="85" t="n"/>
      <c r="V200" s="85" t="n"/>
      <c r="W200" s="85" t="n"/>
      <c r="X200" s="85" t="n"/>
      <c r="Y200" s="85" t="n"/>
      <c r="Z200" s="85" t="n"/>
    </row>
    <row r="201" ht="15.75" customHeight="1" s="86">
      <c r="T201" s="85" t="n"/>
      <c r="U201" s="85" t="n"/>
      <c r="V201" s="85" t="n"/>
      <c r="W201" s="85" t="n"/>
      <c r="X201" s="85" t="n"/>
      <c r="Y201" s="85" t="n"/>
      <c r="Z201" s="85" t="n"/>
    </row>
    <row r="202" ht="15.75" customHeight="1" s="86">
      <c r="T202" s="85" t="n"/>
      <c r="U202" s="85" t="n"/>
      <c r="V202" s="85" t="n"/>
      <c r="W202" s="85" t="n"/>
      <c r="X202" s="85" t="n"/>
      <c r="Y202" s="85" t="n"/>
      <c r="Z202" s="85" t="n"/>
    </row>
    <row r="203" ht="15.75" customHeight="1" s="86">
      <c r="T203" s="85" t="n"/>
      <c r="U203" s="85" t="n"/>
      <c r="V203" s="85" t="n"/>
      <c r="W203" s="85" t="n"/>
      <c r="X203" s="85" t="n"/>
      <c r="Y203" s="85" t="n"/>
      <c r="Z203" s="85" t="n"/>
    </row>
    <row r="204" ht="15.75" customHeight="1" s="86">
      <c r="T204" s="85" t="n"/>
      <c r="U204" s="85" t="n"/>
      <c r="V204" s="85" t="n"/>
      <c r="W204" s="85" t="n"/>
      <c r="X204" s="85" t="n"/>
      <c r="Y204" s="85" t="n"/>
      <c r="Z204" s="85" t="n"/>
    </row>
    <row r="205" ht="15.75" customHeight="1" s="86">
      <c r="T205" s="85" t="n"/>
      <c r="U205" s="85" t="n"/>
      <c r="V205" s="85" t="n"/>
      <c r="W205" s="85" t="n"/>
      <c r="X205" s="85" t="n"/>
      <c r="Y205" s="85" t="n"/>
      <c r="Z205" s="85" t="n"/>
    </row>
    <row r="206" ht="15.75" customHeight="1" s="86">
      <c r="T206" s="85" t="n"/>
      <c r="U206" s="85" t="n"/>
      <c r="V206" s="85" t="n"/>
      <c r="W206" s="85" t="n"/>
      <c r="X206" s="85" t="n"/>
      <c r="Y206" s="85" t="n"/>
      <c r="Z206" s="85" t="n"/>
    </row>
    <row r="207" ht="15.75" customHeight="1" s="86">
      <c r="T207" s="85" t="n"/>
      <c r="U207" s="85" t="n"/>
      <c r="V207" s="85" t="n"/>
      <c r="W207" s="85" t="n"/>
      <c r="X207" s="85" t="n"/>
      <c r="Y207" s="85" t="n"/>
      <c r="Z207" s="85" t="n"/>
    </row>
    <row r="208" ht="15.75" customHeight="1" s="86">
      <c r="T208" s="85" t="n"/>
      <c r="U208" s="85" t="n"/>
      <c r="V208" s="85" t="n"/>
      <c r="W208" s="85" t="n"/>
      <c r="X208" s="85" t="n"/>
      <c r="Y208" s="85" t="n"/>
      <c r="Z208" s="85" t="n"/>
    </row>
    <row r="209" ht="15.75" customHeight="1" s="86">
      <c r="T209" s="85" t="n"/>
      <c r="U209" s="85" t="n"/>
      <c r="V209" s="85" t="n"/>
      <c r="W209" s="85" t="n"/>
      <c r="X209" s="85" t="n"/>
      <c r="Y209" s="85" t="n"/>
      <c r="Z209" s="85" t="n"/>
    </row>
    <row r="210" ht="15.75" customHeight="1" s="86">
      <c r="T210" s="85" t="n"/>
      <c r="U210" s="85" t="n"/>
      <c r="V210" s="85" t="n"/>
      <c r="W210" s="85" t="n"/>
      <c r="X210" s="85" t="n"/>
      <c r="Y210" s="85" t="n"/>
      <c r="Z210" s="85" t="n"/>
    </row>
    <row r="211" ht="15.75" customHeight="1" s="86">
      <c r="T211" s="85" t="n"/>
      <c r="U211" s="85" t="n"/>
      <c r="V211" s="85" t="n"/>
      <c r="W211" s="85" t="n"/>
      <c r="X211" s="85" t="n"/>
      <c r="Y211" s="85" t="n"/>
      <c r="Z211" s="85" t="n"/>
    </row>
    <row r="212" ht="15.75" customHeight="1" s="86">
      <c r="T212" s="85" t="n"/>
      <c r="U212" s="85" t="n"/>
      <c r="V212" s="85" t="n"/>
      <c r="W212" s="85" t="n"/>
      <c r="X212" s="85" t="n"/>
      <c r="Y212" s="85" t="n"/>
      <c r="Z212" s="85" t="n"/>
    </row>
    <row r="213" ht="15.75" customHeight="1" s="86">
      <c r="T213" s="85" t="n"/>
      <c r="U213" s="85" t="n"/>
      <c r="V213" s="85" t="n"/>
      <c r="W213" s="85" t="n"/>
      <c r="X213" s="85" t="n"/>
      <c r="Y213" s="85" t="n"/>
      <c r="Z213" s="85" t="n"/>
    </row>
    <row r="214" ht="15.75" customHeight="1" s="86">
      <c r="T214" s="85" t="n"/>
      <c r="U214" s="85" t="n"/>
      <c r="V214" s="85" t="n"/>
      <c r="W214" s="85" t="n"/>
      <c r="X214" s="85" t="n"/>
      <c r="Y214" s="85" t="n"/>
      <c r="Z214" s="85" t="n"/>
    </row>
    <row r="215" ht="15.75" customHeight="1" s="86">
      <c r="T215" s="85" t="n"/>
      <c r="U215" s="85" t="n"/>
      <c r="V215" s="85" t="n"/>
      <c r="W215" s="85" t="n"/>
      <c r="X215" s="85" t="n"/>
      <c r="Y215" s="85" t="n"/>
      <c r="Z215" s="85" t="n"/>
    </row>
    <row r="216" ht="15.75" customHeight="1" s="86">
      <c r="T216" s="85" t="n"/>
      <c r="U216" s="85" t="n"/>
      <c r="V216" s="85" t="n"/>
      <c r="W216" s="85" t="n"/>
      <c r="X216" s="85" t="n"/>
      <c r="Y216" s="85" t="n"/>
      <c r="Z216" s="85" t="n"/>
    </row>
    <row r="217" ht="15.75" customHeight="1" s="86">
      <c r="T217" s="85" t="n"/>
      <c r="U217" s="85" t="n"/>
      <c r="V217" s="85" t="n"/>
      <c r="W217" s="85" t="n"/>
      <c r="X217" s="85" t="n"/>
      <c r="Y217" s="85" t="n"/>
      <c r="Z217" s="85" t="n"/>
    </row>
    <row r="218" ht="15.75" customHeight="1" s="86">
      <c r="T218" s="85" t="n"/>
      <c r="U218" s="85" t="n"/>
      <c r="V218" s="85" t="n"/>
      <c r="W218" s="85" t="n"/>
      <c r="X218" s="85" t="n"/>
      <c r="Y218" s="85" t="n"/>
      <c r="Z218" s="85" t="n"/>
    </row>
    <row r="219" ht="15.75" customHeight="1" s="86">
      <c r="T219" s="85" t="n"/>
      <c r="U219" s="85" t="n"/>
      <c r="V219" s="85" t="n"/>
      <c r="W219" s="85" t="n"/>
      <c r="X219" s="85" t="n"/>
      <c r="Y219" s="85" t="n"/>
      <c r="Z219" s="85" t="n"/>
    </row>
    <row r="220" ht="15.75" customHeight="1" s="86">
      <c r="T220" s="85" t="n"/>
      <c r="U220" s="85" t="n"/>
      <c r="V220" s="85" t="n"/>
      <c r="W220" s="85" t="n"/>
      <c r="X220" s="85" t="n"/>
      <c r="Y220" s="85" t="n"/>
      <c r="Z220" s="85" t="n"/>
    </row>
    <row r="221" ht="15.75" customHeight="1" s="86">
      <c r="T221" s="85" t="n"/>
      <c r="U221" s="85" t="n"/>
      <c r="V221" s="85" t="n"/>
      <c r="W221" s="85" t="n"/>
      <c r="X221" s="85" t="n"/>
      <c r="Y221" s="85" t="n"/>
      <c r="Z221" s="85" t="n"/>
    </row>
    <row r="222" ht="15.75" customHeight="1" s="86">
      <c r="T222" s="85" t="n"/>
      <c r="U222" s="85" t="n"/>
      <c r="V222" s="85" t="n"/>
      <c r="W222" s="85" t="n"/>
      <c r="X222" s="85" t="n"/>
      <c r="Y222" s="85" t="n"/>
      <c r="Z222" s="85" t="n"/>
    </row>
    <row r="223" ht="15.75" customHeight="1" s="86">
      <c r="T223" s="85" t="n"/>
      <c r="U223" s="85" t="n"/>
      <c r="V223" s="85" t="n"/>
      <c r="W223" s="85" t="n"/>
      <c r="X223" s="85" t="n"/>
      <c r="Y223" s="85" t="n"/>
      <c r="Z223" s="85" t="n"/>
    </row>
    <row r="224" ht="15.75" customHeight="1" s="86">
      <c r="T224" s="85" t="n"/>
      <c r="U224" s="85" t="n"/>
      <c r="V224" s="85" t="n"/>
      <c r="W224" s="85" t="n"/>
      <c r="X224" s="85" t="n"/>
      <c r="Y224" s="85" t="n"/>
      <c r="Z224" s="85" t="n"/>
    </row>
    <row r="225" ht="15.75" customHeight="1" s="86">
      <c r="T225" s="85" t="n"/>
      <c r="U225" s="85" t="n"/>
      <c r="V225" s="85" t="n"/>
      <c r="W225" s="85" t="n"/>
      <c r="X225" s="85" t="n"/>
      <c r="Y225" s="85" t="n"/>
      <c r="Z225" s="85" t="n"/>
    </row>
    <row r="226" ht="15.75" customHeight="1" s="86">
      <c r="T226" s="85" t="n"/>
      <c r="U226" s="85" t="n"/>
      <c r="V226" s="85" t="n"/>
      <c r="W226" s="85" t="n"/>
      <c r="X226" s="85" t="n"/>
      <c r="Y226" s="85" t="n"/>
      <c r="Z226" s="85" t="n"/>
    </row>
    <row r="227" ht="15.75" customHeight="1" s="86">
      <c r="T227" s="85" t="n"/>
      <c r="U227" s="85" t="n"/>
      <c r="V227" s="85" t="n"/>
      <c r="W227" s="85" t="n"/>
      <c r="X227" s="85" t="n"/>
      <c r="Y227" s="85" t="n"/>
      <c r="Z227" s="85" t="n"/>
    </row>
    <row r="228" ht="15.75" customHeight="1" s="86">
      <c r="T228" s="85" t="n"/>
      <c r="U228" s="85" t="n"/>
      <c r="V228" s="85" t="n"/>
      <c r="W228" s="85" t="n"/>
      <c r="X228" s="85" t="n"/>
      <c r="Y228" s="85" t="n"/>
      <c r="Z228" s="85" t="n"/>
    </row>
    <row r="229" ht="15.75" customHeight="1" s="86">
      <c r="T229" s="85" t="n"/>
      <c r="U229" s="85" t="n"/>
      <c r="V229" s="85" t="n"/>
      <c r="W229" s="85" t="n"/>
      <c r="X229" s="85" t="n"/>
      <c r="Y229" s="85" t="n"/>
      <c r="Z229" s="85" t="n"/>
    </row>
    <row r="230" ht="15.75" customHeight="1" s="86">
      <c r="T230" s="85" t="n"/>
      <c r="U230" s="85" t="n"/>
      <c r="V230" s="85" t="n"/>
      <c r="W230" s="85" t="n"/>
      <c r="X230" s="85" t="n"/>
      <c r="Y230" s="85" t="n"/>
      <c r="Z230" s="85" t="n"/>
    </row>
    <row r="231" ht="15.75" customHeight="1" s="86">
      <c r="T231" s="85" t="n"/>
      <c r="U231" s="85" t="n"/>
      <c r="V231" s="85" t="n"/>
      <c r="W231" s="85" t="n"/>
      <c r="X231" s="85" t="n"/>
      <c r="Y231" s="85" t="n"/>
      <c r="Z231" s="85" t="n"/>
    </row>
    <row r="232" ht="15.75" customHeight="1" s="86">
      <c r="T232" s="85" t="n"/>
      <c r="U232" s="85" t="n"/>
      <c r="V232" s="85" t="n"/>
      <c r="W232" s="85" t="n"/>
      <c r="X232" s="85" t="n"/>
      <c r="Y232" s="85" t="n"/>
      <c r="Z232" s="85" t="n"/>
    </row>
    <row r="233" ht="15.75" customHeight="1" s="86">
      <c r="T233" s="85" t="n"/>
      <c r="U233" s="85" t="n"/>
      <c r="V233" s="85" t="n"/>
      <c r="W233" s="85" t="n"/>
      <c r="X233" s="85" t="n"/>
      <c r="Y233" s="85" t="n"/>
      <c r="Z233" s="85" t="n"/>
    </row>
    <row r="234" ht="15.75" customHeight="1" s="86">
      <c r="T234" s="85" t="n"/>
      <c r="U234" s="85" t="n"/>
      <c r="V234" s="85" t="n"/>
      <c r="W234" s="85" t="n"/>
      <c r="X234" s="85" t="n"/>
      <c r="Y234" s="85" t="n"/>
      <c r="Z234" s="85" t="n"/>
    </row>
    <row r="235" ht="15.75" customHeight="1" s="86">
      <c r="T235" s="85" t="n"/>
      <c r="U235" s="85" t="n"/>
      <c r="V235" s="85" t="n"/>
      <c r="W235" s="85" t="n"/>
      <c r="X235" s="85" t="n"/>
      <c r="Y235" s="85" t="n"/>
      <c r="Z235" s="85" t="n"/>
    </row>
    <row r="236" ht="15.75" customHeight="1" s="86">
      <c r="T236" s="85" t="n"/>
      <c r="U236" s="85" t="n"/>
      <c r="V236" s="85" t="n"/>
      <c r="W236" s="85" t="n"/>
      <c r="X236" s="85" t="n"/>
      <c r="Y236" s="85" t="n"/>
      <c r="Z236" s="85" t="n"/>
    </row>
    <row r="237" ht="15.75" customHeight="1" s="86">
      <c r="T237" s="85" t="n"/>
      <c r="U237" s="85" t="n"/>
      <c r="V237" s="85" t="n"/>
      <c r="W237" s="85" t="n"/>
      <c r="X237" s="85" t="n"/>
      <c r="Y237" s="85" t="n"/>
      <c r="Z237" s="85" t="n"/>
    </row>
    <row r="238" ht="15.75" customHeight="1" s="86">
      <c r="T238" s="85" t="n"/>
      <c r="U238" s="85" t="n"/>
      <c r="V238" s="85" t="n"/>
      <c r="W238" s="85" t="n"/>
      <c r="X238" s="85" t="n"/>
      <c r="Y238" s="85" t="n"/>
      <c r="Z238" s="85" t="n"/>
    </row>
    <row r="239" ht="15.75" customHeight="1" s="86">
      <c r="T239" s="85" t="n"/>
      <c r="U239" s="85" t="n"/>
      <c r="V239" s="85" t="n"/>
      <c r="W239" s="85" t="n"/>
      <c r="X239" s="85" t="n"/>
      <c r="Y239" s="85" t="n"/>
      <c r="Z239" s="85" t="n"/>
    </row>
    <row r="240" ht="15.75" customHeight="1" s="86">
      <c r="T240" s="85" t="n"/>
      <c r="U240" s="85" t="n"/>
      <c r="V240" s="85" t="n"/>
      <c r="W240" s="85" t="n"/>
      <c r="X240" s="85" t="n"/>
      <c r="Y240" s="85" t="n"/>
      <c r="Z240" s="85" t="n"/>
    </row>
    <row r="241" ht="15.75" customHeight="1" s="86">
      <c r="T241" s="85" t="n"/>
      <c r="U241" s="85" t="n"/>
      <c r="V241" s="85" t="n"/>
      <c r="W241" s="85" t="n"/>
      <c r="X241" s="85" t="n"/>
      <c r="Y241" s="85" t="n"/>
      <c r="Z241" s="85" t="n"/>
    </row>
    <row r="242" ht="15.75" customHeight="1" s="86">
      <c r="T242" s="85" t="n"/>
      <c r="U242" s="85" t="n"/>
      <c r="V242" s="85" t="n"/>
      <c r="W242" s="85" t="n"/>
      <c r="X242" s="85" t="n"/>
      <c r="Y242" s="85" t="n"/>
      <c r="Z242" s="85" t="n"/>
    </row>
    <row r="243" ht="15.75" customHeight="1" s="86">
      <c r="T243" s="85" t="n"/>
      <c r="U243" s="85" t="n"/>
      <c r="V243" s="85" t="n"/>
      <c r="W243" s="85" t="n"/>
      <c r="X243" s="85" t="n"/>
      <c r="Y243" s="85" t="n"/>
      <c r="Z243" s="85" t="n"/>
    </row>
    <row r="244" ht="15.75" customHeight="1" s="86">
      <c r="T244" s="85" t="n"/>
      <c r="U244" s="85" t="n"/>
      <c r="V244" s="85" t="n"/>
      <c r="W244" s="85" t="n"/>
      <c r="X244" s="85" t="n"/>
      <c r="Y244" s="85" t="n"/>
      <c r="Z244" s="85" t="n"/>
    </row>
    <row r="245" ht="15.75" customHeight="1" s="86">
      <c r="T245" s="85" t="n"/>
      <c r="U245" s="85" t="n"/>
      <c r="V245" s="85" t="n"/>
      <c r="W245" s="85" t="n"/>
      <c r="X245" s="85" t="n"/>
      <c r="Y245" s="85" t="n"/>
      <c r="Z245" s="85" t="n"/>
    </row>
    <row r="246" ht="15.75" customHeight="1" s="86">
      <c r="T246" s="85" t="n"/>
      <c r="U246" s="85" t="n"/>
      <c r="V246" s="85" t="n"/>
      <c r="W246" s="85" t="n"/>
      <c r="X246" s="85" t="n"/>
      <c r="Y246" s="85" t="n"/>
      <c r="Z246" s="85" t="n"/>
    </row>
    <row r="247" ht="15.75" customHeight="1" s="86">
      <c r="T247" s="85" t="n"/>
      <c r="U247" s="85" t="n"/>
      <c r="V247" s="85" t="n"/>
      <c r="W247" s="85" t="n"/>
      <c r="X247" s="85" t="n"/>
      <c r="Y247" s="85" t="n"/>
      <c r="Z247" s="85" t="n"/>
    </row>
    <row r="248" ht="15.75" customHeight="1" s="86">
      <c r="T248" s="85" t="n"/>
      <c r="U248" s="85" t="n"/>
      <c r="V248" s="85" t="n"/>
      <c r="W248" s="85" t="n"/>
      <c r="X248" s="85" t="n"/>
      <c r="Y248" s="85" t="n"/>
      <c r="Z248" s="85" t="n"/>
    </row>
    <row r="249" ht="15.75" customHeight="1" s="86">
      <c r="T249" s="85" t="n"/>
      <c r="U249" s="85" t="n"/>
      <c r="V249" s="85" t="n"/>
      <c r="W249" s="85" t="n"/>
      <c r="X249" s="85" t="n"/>
      <c r="Y249" s="85" t="n"/>
      <c r="Z249" s="85" t="n"/>
    </row>
    <row r="250" ht="15.75" customHeight="1" s="86">
      <c r="T250" s="85" t="n"/>
      <c r="U250" s="85" t="n"/>
      <c r="V250" s="85" t="n"/>
      <c r="W250" s="85" t="n"/>
      <c r="X250" s="85" t="n"/>
      <c r="Y250" s="85" t="n"/>
      <c r="Z250" s="85" t="n"/>
    </row>
    <row r="251" ht="15.75" customHeight="1" s="86">
      <c r="T251" s="85" t="n"/>
      <c r="U251" s="85" t="n"/>
      <c r="V251" s="85" t="n"/>
      <c r="W251" s="85" t="n"/>
      <c r="X251" s="85" t="n"/>
      <c r="Y251" s="85" t="n"/>
      <c r="Z251" s="85" t="n"/>
    </row>
    <row r="252" ht="15.75" customHeight="1" s="86">
      <c r="T252" s="85" t="n"/>
      <c r="U252" s="85" t="n"/>
      <c r="V252" s="85" t="n"/>
      <c r="W252" s="85" t="n"/>
      <c r="X252" s="85" t="n"/>
      <c r="Y252" s="85" t="n"/>
      <c r="Z252" s="85" t="n"/>
    </row>
    <row r="253" ht="15.75" customHeight="1" s="86">
      <c r="T253" s="85" t="n"/>
      <c r="U253" s="85" t="n"/>
      <c r="V253" s="85" t="n"/>
      <c r="W253" s="85" t="n"/>
      <c r="X253" s="85" t="n"/>
      <c r="Y253" s="85" t="n"/>
      <c r="Z253" s="85" t="n"/>
    </row>
    <row r="254" ht="15.75" customHeight="1" s="86">
      <c r="T254" s="85" t="n"/>
      <c r="U254" s="85" t="n"/>
      <c r="V254" s="85" t="n"/>
      <c r="W254" s="85" t="n"/>
      <c r="X254" s="85" t="n"/>
      <c r="Y254" s="85" t="n"/>
      <c r="Z254" s="85" t="n"/>
    </row>
    <row r="255" ht="15.75" customHeight="1" s="86">
      <c r="T255" s="85" t="n"/>
      <c r="U255" s="85" t="n"/>
      <c r="V255" s="85" t="n"/>
      <c r="W255" s="85" t="n"/>
      <c r="X255" s="85" t="n"/>
      <c r="Y255" s="85" t="n"/>
      <c r="Z255" s="85" t="n"/>
    </row>
    <row r="256" ht="15.75" customHeight="1" s="86">
      <c r="T256" s="85" t="n"/>
      <c r="U256" s="85" t="n"/>
      <c r="V256" s="85" t="n"/>
      <c r="W256" s="85" t="n"/>
      <c r="X256" s="85" t="n"/>
      <c r="Y256" s="85" t="n"/>
      <c r="Z256" s="85" t="n"/>
    </row>
    <row r="257" ht="15.75" customHeight="1" s="86">
      <c r="T257" s="85" t="n"/>
      <c r="U257" s="85" t="n"/>
      <c r="V257" s="85" t="n"/>
      <c r="W257" s="85" t="n"/>
      <c r="X257" s="85" t="n"/>
      <c r="Y257" s="85" t="n"/>
      <c r="Z257" s="85" t="n"/>
    </row>
    <row r="258" ht="15.75" customHeight="1" s="86">
      <c r="T258" s="85" t="n"/>
      <c r="U258" s="85" t="n"/>
      <c r="V258" s="85" t="n"/>
      <c r="W258" s="85" t="n"/>
      <c r="X258" s="85" t="n"/>
      <c r="Y258" s="85" t="n"/>
      <c r="Z258" s="85" t="n"/>
    </row>
    <row r="259" ht="15.75" customHeight="1" s="86">
      <c r="T259" s="85" t="n"/>
      <c r="U259" s="85" t="n"/>
      <c r="V259" s="85" t="n"/>
      <c r="W259" s="85" t="n"/>
      <c r="X259" s="85" t="n"/>
      <c r="Y259" s="85" t="n"/>
      <c r="Z259" s="85" t="n"/>
    </row>
    <row r="260" ht="15.75" customHeight="1" s="86">
      <c r="T260" s="85" t="n"/>
      <c r="U260" s="85" t="n"/>
      <c r="V260" s="85" t="n"/>
      <c r="W260" s="85" t="n"/>
      <c r="X260" s="85" t="n"/>
      <c r="Y260" s="85" t="n"/>
      <c r="Z260" s="85" t="n"/>
    </row>
    <row r="261" ht="15.75" customHeight="1" s="86">
      <c r="T261" s="85" t="n"/>
      <c r="U261" s="85" t="n"/>
      <c r="V261" s="85" t="n"/>
      <c r="W261" s="85" t="n"/>
      <c r="X261" s="85" t="n"/>
      <c r="Y261" s="85" t="n"/>
      <c r="Z261" s="85" t="n"/>
    </row>
    <row r="262" ht="15.75" customHeight="1" s="86">
      <c r="T262" s="85" t="n"/>
      <c r="U262" s="85" t="n"/>
      <c r="V262" s="85" t="n"/>
      <c r="W262" s="85" t="n"/>
      <c r="X262" s="85" t="n"/>
      <c r="Y262" s="85" t="n"/>
      <c r="Z262" s="85" t="n"/>
    </row>
    <row r="263" ht="15.75" customHeight="1" s="86">
      <c r="T263" s="85" t="n"/>
      <c r="U263" s="85" t="n"/>
      <c r="V263" s="85" t="n"/>
      <c r="W263" s="85" t="n"/>
      <c r="X263" s="85" t="n"/>
      <c r="Y263" s="85" t="n"/>
      <c r="Z263" s="85" t="n"/>
    </row>
    <row r="264" ht="15.75" customHeight="1" s="86">
      <c r="T264" s="85" t="n"/>
      <c r="U264" s="85" t="n"/>
      <c r="V264" s="85" t="n"/>
      <c r="W264" s="85" t="n"/>
      <c r="X264" s="85" t="n"/>
      <c r="Y264" s="85" t="n"/>
      <c r="Z264" s="85" t="n"/>
    </row>
    <row r="265" ht="15.75" customHeight="1" s="86">
      <c r="T265" s="85" t="n"/>
      <c r="U265" s="85" t="n"/>
      <c r="V265" s="85" t="n"/>
      <c r="W265" s="85" t="n"/>
      <c r="X265" s="85" t="n"/>
      <c r="Y265" s="85" t="n"/>
      <c r="Z265" s="85" t="n"/>
    </row>
    <row r="266" ht="15.75" customHeight="1" s="86">
      <c r="T266" s="85" t="n"/>
      <c r="U266" s="85" t="n"/>
      <c r="V266" s="85" t="n"/>
      <c r="W266" s="85" t="n"/>
      <c r="X266" s="85" t="n"/>
      <c r="Y266" s="85" t="n"/>
      <c r="Z266" s="85" t="n"/>
    </row>
    <row r="267" ht="15.75" customHeight="1" s="86">
      <c r="T267" s="85" t="n"/>
      <c r="U267" s="85" t="n"/>
      <c r="V267" s="85" t="n"/>
      <c r="W267" s="85" t="n"/>
      <c r="X267" s="85" t="n"/>
      <c r="Y267" s="85" t="n"/>
      <c r="Z267" s="85" t="n"/>
    </row>
    <row r="268" ht="15.75" customHeight="1" s="86">
      <c r="T268" s="85" t="n"/>
      <c r="U268" s="85" t="n"/>
      <c r="V268" s="85" t="n"/>
      <c r="W268" s="85" t="n"/>
      <c r="X268" s="85" t="n"/>
      <c r="Y268" s="85" t="n"/>
      <c r="Z268" s="85" t="n"/>
    </row>
    <row r="269" ht="15.75" customHeight="1" s="86">
      <c r="T269" s="85" t="n"/>
      <c r="U269" s="85" t="n"/>
      <c r="V269" s="85" t="n"/>
      <c r="W269" s="85" t="n"/>
      <c r="X269" s="85" t="n"/>
      <c r="Y269" s="85" t="n"/>
      <c r="Z269" s="85" t="n"/>
    </row>
    <row r="270" ht="15.75" customHeight="1" s="86">
      <c r="T270" s="85" t="n"/>
      <c r="U270" s="85" t="n"/>
      <c r="V270" s="85" t="n"/>
      <c r="W270" s="85" t="n"/>
      <c r="X270" s="85" t="n"/>
      <c r="Y270" s="85" t="n"/>
      <c r="Z270" s="85" t="n"/>
    </row>
    <row r="271" ht="15.75" customHeight="1" s="86">
      <c r="T271" s="85" t="n"/>
      <c r="U271" s="85" t="n"/>
      <c r="V271" s="85" t="n"/>
      <c r="W271" s="85" t="n"/>
      <c r="X271" s="85" t="n"/>
      <c r="Y271" s="85" t="n"/>
      <c r="Z271" s="85" t="n"/>
    </row>
    <row r="272" ht="15.75" customHeight="1" s="86">
      <c r="T272" s="85" t="n"/>
      <c r="U272" s="85" t="n"/>
      <c r="V272" s="85" t="n"/>
      <c r="W272" s="85" t="n"/>
      <c r="X272" s="85" t="n"/>
      <c r="Y272" s="85" t="n"/>
      <c r="Z272" s="85" t="n"/>
    </row>
    <row r="273" ht="15.75" customHeight="1" s="86">
      <c r="T273" s="85" t="n"/>
      <c r="U273" s="85" t="n"/>
      <c r="V273" s="85" t="n"/>
      <c r="W273" s="85" t="n"/>
      <c r="X273" s="85" t="n"/>
      <c r="Y273" s="85" t="n"/>
      <c r="Z273" s="85" t="n"/>
    </row>
    <row r="274" ht="15.75" customHeight="1" s="86">
      <c r="T274" s="85" t="n"/>
      <c r="U274" s="85" t="n"/>
      <c r="V274" s="85" t="n"/>
      <c r="W274" s="85" t="n"/>
      <c r="X274" s="85" t="n"/>
      <c r="Y274" s="85" t="n"/>
      <c r="Z274" s="85" t="n"/>
    </row>
    <row r="275" ht="15.75" customHeight="1" s="86">
      <c r="T275" s="85" t="n"/>
      <c r="U275" s="85" t="n"/>
      <c r="V275" s="85" t="n"/>
      <c r="W275" s="85" t="n"/>
      <c r="X275" s="85" t="n"/>
      <c r="Y275" s="85" t="n"/>
      <c r="Z275" s="85" t="n"/>
    </row>
    <row r="276" ht="15.75" customHeight="1" s="86">
      <c r="T276" s="85" t="n"/>
      <c r="U276" s="85" t="n"/>
      <c r="V276" s="85" t="n"/>
      <c r="W276" s="85" t="n"/>
      <c r="X276" s="85" t="n"/>
      <c r="Y276" s="85" t="n"/>
      <c r="Z276" s="85" t="n"/>
    </row>
    <row r="277" ht="15.75" customHeight="1" s="86">
      <c r="T277" s="85" t="n"/>
      <c r="U277" s="85" t="n"/>
      <c r="V277" s="85" t="n"/>
      <c r="W277" s="85" t="n"/>
      <c r="X277" s="85" t="n"/>
      <c r="Y277" s="85" t="n"/>
      <c r="Z277" s="85" t="n"/>
    </row>
    <row r="278" ht="15.75" customHeight="1" s="86">
      <c r="T278" s="85" t="n"/>
      <c r="U278" s="85" t="n"/>
      <c r="V278" s="85" t="n"/>
      <c r="W278" s="85" t="n"/>
      <c r="X278" s="85" t="n"/>
      <c r="Y278" s="85" t="n"/>
      <c r="Z278" s="85" t="n"/>
    </row>
    <row r="279" ht="15.75" customHeight="1" s="86">
      <c r="T279" s="85" t="n"/>
      <c r="U279" s="85" t="n"/>
      <c r="V279" s="85" t="n"/>
      <c r="W279" s="85" t="n"/>
      <c r="X279" s="85" t="n"/>
      <c r="Y279" s="85" t="n"/>
      <c r="Z279" s="85" t="n"/>
    </row>
    <row r="280" ht="15.75" customHeight="1" s="86">
      <c r="T280" s="85" t="n"/>
      <c r="U280" s="85" t="n"/>
      <c r="V280" s="85" t="n"/>
      <c r="W280" s="85" t="n"/>
      <c r="X280" s="85" t="n"/>
      <c r="Y280" s="85" t="n"/>
      <c r="Z280" s="85" t="n"/>
    </row>
    <row r="281" ht="15.75" customHeight="1" s="86">
      <c r="T281" s="85" t="n"/>
      <c r="U281" s="85" t="n"/>
      <c r="V281" s="85" t="n"/>
      <c r="W281" s="85" t="n"/>
      <c r="X281" s="85" t="n"/>
      <c r="Y281" s="85" t="n"/>
      <c r="Z281" s="85" t="n"/>
    </row>
    <row r="282" ht="15.75" customHeight="1" s="86">
      <c r="T282" s="85" t="n"/>
      <c r="U282" s="85" t="n"/>
      <c r="V282" s="85" t="n"/>
      <c r="W282" s="85" t="n"/>
      <c r="X282" s="85" t="n"/>
      <c r="Y282" s="85" t="n"/>
      <c r="Z282" s="85" t="n"/>
    </row>
    <row r="283" ht="15.75" customHeight="1" s="86">
      <c r="T283" s="85" t="n"/>
      <c r="U283" s="85" t="n"/>
      <c r="V283" s="85" t="n"/>
      <c r="W283" s="85" t="n"/>
      <c r="X283" s="85" t="n"/>
      <c r="Y283" s="85" t="n"/>
      <c r="Z283" s="85" t="n"/>
    </row>
    <row r="284" ht="15.75" customHeight="1" s="86">
      <c r="T284" s="85" t="n"/>
      <c r="U284" s="85" t="n"/>
      <c r="V284" s="85" t="n"/>
      <c r="W284" s="85" t="n"/>
      <c r="X284" s="85" t="n"/>
      <c r="Y284" s="85" t="n"/>
      <c r="Z284" s="85" t="n"/>
    </row>
    <row r="285" ht="15.75" customHeight="1" s="86">
      <c r="T285" s="85" t="n"/>
      <c r="U285" s="85" t="n"/>
      <c r="V285" s="85" t="n"/>
      <c r="W285" s="85" t="n"/>
      <c r="X285" s="85" t="n"/>
      <c r="Y285" s="85" t="n"/>
      <c r="Z285" s="85" t="n"/>
    </row>
    <row r="286" ht="15.75" customHeight="1" s="86">
      <c r="T286" s="85" t="n"/>
      <c r="U286" s="85" t="n"/>
      <c r="V286" s="85" t="n"/>
      <c r="W286" s="85" t="n"/>
      <c r="X286" s="85" t="n"/>
      <c r="Y286" s="85" t="n"/>
      <c r="Z286" s="85" t="n"/>
    </row>
    <row r="287" ht="15.75" customHeight="1" s="86">
      <c r="T287" s="85" t="n"/>
      <c r="U287" s="85" t="n"/>
      <c r="V287" s="85" t="n"/>
      <c r="W287" s="85" t="n"/>
      <c r="X287" s="85" t="n"/>
      <c r="Y287" s="85" t="n"/>
      <c r="Z287" s="85" t="n"/>
    </row>
    <row r="288" ht="15.75" customHeight="1" s="86">
      <c r="T288" s="85" t="n"/>
      <c r="U288" s="85" t="n"/>
      <c r="V288" s="85" t="n"/>
      <c r="W288" s="85" t="n"/>
      <c r="X288" s="85" t="n"/>
      <c r="Y288" s="85" t="n"/>
      <c r="Z288" s="85" t="n"/>
    </row>
    <row r="289" ht="15.75" customHeight="1" s="86">
      <c r="T289" s="85" t="n"/>
      <c r="U289" s="85" t="n"/>
      <c r="V289" s="85" t="n"/>
      <c r="W289" s="85" t="n"/>
      <c r="X289" s="85" t="n"/>
      <c r="Y289" s="85" t="n"/>
      <c r="Z289" s="85" t="n"/>
    </row>
    <row r="290" ht="15.75" customHeight="1" s="86">
      <c r="T290" s="85" t="n"/>
      <c r="U290" s="85" t="n"/>
      <c r="V290" s="85" t="n"/>
      <c r="W290" s="85" t="n"/>
      <c r="X290" s="85" t="n"/>
      <c r="Y290" s="85" t="n"/>
      <c r="Z290" s="85" t="n"/>
    </row>
    <row r="291" ht="15.75" customHeight="1" s="86">
      <c r="T291" s="85" t="n"/>
      <c r="U291" s="85" t="n"/>
      <c r="V291" s="85" t="n"/>
      <c r="W291" s="85" t="n"/>
      <c r="X291" s="85" t="n"/>
      <c r="Y291" s="85" t="n"/>
      <c r="Z291" s="85" t="n"/>
    </row>
    <row r="292" ht="15.75" customHeight="1" s="86">
      <c r="T292" s="85" t="n"/>
      <c r="U292" s="85" t="n"/>
      <c r="V292" s="85" t="n"/>
      <c r="W292" s="85" t="n"/>
      <c r="X292" s="85" t="n"/>
      <c r="Y292" s="85" t="n"/>
      <c r="Z292" s="85" t="n"/>
    </row>
    <row r="293" ht="15.75" customHeight="1" s="86">
      <c r="T293" s="85" t="n"/>
      <c r="U293" s="85" t="n"/>
      <c r="V293" s="85" t="n"/>
      <c r="W293" s="85" t="n"/>
      <c r="X293" s="85" t="n"/>
      <c r="Y293" s="85" t="n"/>
      <c r="Z293" s="85" t="n"/>
    </row>
    <row r="294" ht="15.75" customHeight="1" s="86">
      <c r="T294" s="85" t="n"/>
      <c r="U294" s="85" t="n"/>
      <c r="V294" s="85" t="n"/>
      <c r="W294" s="85" t="n"/>
      <c r="X294" s="85" t="n"/>
      <c r="Y294" s="85" t="n"/>
      <c r="Z294" s="85" t="n"/>
    </row>
    <row r="295" ht="15.75" customHeight="1" s="86">
      <c r="T295" s="85" t="n"/>
      <c r="U295" s="85" t="n"/>
      <c r="V295" s="85" t="n"/>
      <c r="W295" s="85" t="n"/>
      <c r="X295" s="85" t="n"/>
      <c r="Y295" s="85" t="n"/>
      <c r="Z295" s="85" t="n"/>
    </row>
    <row r="296" ht="15.75" customHeight="1" s="86">
      <c r="T296" s="85" t="n"/>
      <c r="U296" s="85" t="n"/>
      <c r="V296" s="85" t="n"/>
      <c r="W296" s="85" t="n"/>
      <c r="X296" s="85" t="n"/>
      <c r="Y296" s="85" t="n"/>
      <c r="Z296" s="85" t="n"/>
    </row>
    <row r="297" ht="15.75" customHeight="1" s="86">
      <c r="T297" s="85" t="n"/>
      <c r="U297" s="85" t="n"/>
      <c r="V297" s="85" t="n"/>
      <c r="W297" s="85" t="n"/>
      <c r="X297" s="85" t="n"/>
      <c r="Y297" s="85" t="n"/>
      <c r="Z297" s="85" t="n"/>
    </row>
    <row r="298" ht="15.75" customHeight="1" s="86">
      <c r="T298" s="85" t="n"/>
      <c r="U298" s="85" t="n"/>
      <c r="V298" s="85" t="n"/>
      <c r="W298" s="85" t="n"/>
      <c r="X298" s="85" t="n"/>
      <c r="Y298" s="85" t="n"/>
      <c r="Z298" s="85" t="n"/>
    </row>
    <row r="299" ht="15.75" customHeight="1" s="86">
      <c r="T299" s="85" t="n"/>
      <c r="U299" s="85" t="n"/>
      <c r="V299" s="85" t="n"/>
      <c r="W299" s="85" t="n"/>
      <c r="X299" s="85" t="n"/>
      <c r="Y299" s="85" t="n"/>
      <c r="Z299" s="85" t="n"/>
    </row>
    <row r="300" ht="15.75" customHeight="1" s="86">
      <c r="T300" s="85" t="n"/>
      <c r="U300" s="85" t="n"/>
      <c r="V300" s="85" t="n"/>
      <c r="W300" s="85" t="n"/>
      <c r="X300" s="85" t="n"/>
      <c r="Y300" s="85" t="n"/>
      <c r="Z300" s="85" t="n"/>
    </row>
    <row r="301" ht="15.75" customHeight="1" s="86">
      <c r="T301" s="85" t="n"/>
      <c r="U301" s="85" t="n"/>
      <c r="V301" s="85" t="n"/>
      <c r="W301" s="85" t="n"/>
      <c r="X301" s="85" t="n"/>
      <c r="Y301" s="85" t="n"/>
      <c r="Z301" s="85" t="n"/>
    </row>
    <row r="302" ht="15.75" customHeight="1" s="86">
      <c r="T302" s="85" t="n"/>
      <c r="U302" s="85" t="n"/>
      <c r="V302" s="85" t="n"/>
      <c r="W302" s="85" t="n"/>
      <c r="X302" s="85" t="n"/>
      <c r="Y302" s="85" t="n"/>
      <c r="Z302" s="85" t="n"/>
    </row>
    <row r="303" ht="15.75" customHeight="1" s="86">
      <c r="T303" s="85" t="n"/>
      <c r="U303" s="85" t="n"/>
      <c r="V303" s="85" t="n"/>
      <c r="W303" s="85" t="n"/>
      <c r="X303" s="85" t="n"/>
      <c r="Y303" s="85" t="n"/>
      <c r="Z303" s="85" t="n"/>
    </row>
    <row r="304" ht="15.75" customHeight="1" s="86">
      <c r="T304" s="85" t="n"/>
      <c r="U304" s="85" t="n"/>
      <c r="V304" s="85" t="n"/>
      <c r="W304" s="85" t="n"/>
      <c r="X304" s="85" t="n"/>
      <c r="Y304" s="85" t="n"/>
      <c r="Z304" s="85" t="n"/>
    </row>
    <row r="305" ht="15.75" customHeight="1" s="86">
      <c r="T305" s="85" t="n"/>
      <c r="U305" s="85" t="n"/>
      <c r="V305" s="85" t="n"/>
      <c r="W305" s="85" t="n"/>
      <c r="X305" s="85" t="n"/>
      <c r="Y305" s="85" t="n"/>
      <c r="Z305" s="85" t="n"/>
    </row>
    <row r="306" ht="15.75" customHeight="1" s="86">
      <c r="T306" s="85" t="n"/>
      <c r="U306" s="85" t="n"/>
      <c r="V306" s="85" t="n"/>
      <c r="W306" s="85" t="n"/>
      <c r="X306" s="85" t="n"/>
      <c r="Y306" s="85" t="n"/>
      <c r="Z306" s="85" t="n"/>
    </row>
    <row r="307" ht="15.75" customHeight="1" s="86">
      <c r="T307" s="85" t="n"/>
      <c r="U307" s="85" t="n"/>
      <c r="V307" s="85" t="n"/>
      <c r="W307" s="85" t="n"/>
      <c r="X307" s="85" t="n"/>
      <c r="Y307" s="85" t="n"/>
      <c r="Z307" s="85" t="n"/>
    </row>
    <row r="308" ht="15.75" customHeight="1" s="86">
      <c r="T308" s="85" t="n"/>
      <c r="U308" s="85" t="n"/>
      <c r="V308" s="85" t="n"/>
      <c r="W308" s="85" t="n"/>
      <c r="X308" s="85" t="n"/>
      <c r="Y308" s="85" t="n"/>
      <c r="Z308" s="85" t="n"/>
    </row>
    <row r="309" ht="15.75" customHeight="1" s="86">
      <c r="T309" s="85" t="n"/>
      <c r="U309" s="85" t="n"/>
      <c r="V309" s="85" t="n"/>
      <c r="W309" s="85" t="n"/>
      <c r="X309" s="85" t="n"/>
      <c r="Y309" s="85" t="n"/>
      <c r="Z309" s="85" t="n"/>
    </row>
    <row r="310" ht="15.75" customHeight="1" s="86">
      <c r="T310" s="85" t="n"/>
      <c r="U310" s="85" t="n"/>
      <c r="V310" s="85" t="n"/>
      <c r="W310" s="85" t="n"/>
      <c r="X310" s="85" t="n"/>
      <c r="Y310" s="85" t="n"/>
      <c r="Z310" s="85" t="n"/>
    </row>
    <row r="311" ht="15.75" customHeight="1" s="86">
      <c r="T311" s="85" t="n"/>
      <c r="U311" s="85" t="n"/>
      <c r="V311" s="85" t="n"/>
      <c r="W311" s="85" t="n"/>
      <c r="X311" s="85" t="n"/>
      <c r="Y311" s="85" t="n"/>
      <c r="Z311" s="85" t="n"/>
    </row>
    <row r="312" ht="15.75" customHeight="1" s="86">
      <c r="T312" s="85" t="n"/>
      <c r="U312" s="85" t="n"/>
      <c r="V312" s="85" t="n"/>
      <c r="W312" s="85" t="n"/>
      <c r="X312" s="85" t="n"/>
      <c r="Y312" s="85" t="n"/>
      <c r="Z312" s="85" t="n"/>
    </row>
    <row r="313" ht="15.75" customHeight="1" s="86">
      <c r="T313" s="85" t="n"/>
      <c r="U313" s="85" t="n"/>
      <c r="V313" s="85" t="n"/>
      <c r="W313" s="85" t="n"/>
      <c r="X313" s="85" t="n"/>
      <c r="Y313" s="85" t="n"/>
      <c r="Z313" s="85" t="n"/>
    </row>
    <row r="314" ht="15.75" customHeight="1" s="86">
      <c r="T314" s="85" t="n"/>
      <c r="U314" s="85" t="n"/>
      <c r="V314" s="85" t="n"/>
      <c r="W314" s="85" t="n"/>
      <c r="X314" s="85" t="n"/>
      <c r="Y314" s="85" t="n"/>
      <c r="Z314" s="85" t="n"/>
    </row>
    <row r="315" ht="15.75" customHeight="1" s="86">
      <c r="T315" s="85" t="n"/>
      <c r="U315" s="85" t="n"/>
      <c r="V315" s="85" t="n"/>
      <c r="W315" s="85" t="n"/>
      <c r="X315" s="85" t="n"/>
      <c r="Y315" s="85" t="n"/>
      <c r="Z315" s="85" t="n"/>
    </row>
    <row r="316" ht="15.75" customHeight="1" s="86">
      <c r="T316" s="85" t="n"/>
      <c r="U316" s="85" t="n"/>
      <c r="V316" s="85" t="n"/>
      <c r="W316" s="85" t="n"/>
      <c r="X316" s="85" t="n"/>
      <c r="Y316" s="85" t="n"/>
      <c r="Z316" s="85" t="n"/>
    </row>
    <row r="317" ht="15.75" customHeight="1" s="86">
      <c r="T317" s="85" t="n"/>
      <c r="U317" s="85" t="n"/>
      <c r="V317" s="85" t="n"/>
      <c r="W317" s="85" t="n"/>
      <c r="X317" s="85" t="n"/>
      <c r="Y317" s="85" t="n"/>
      <c r="Z317" s="85" t="n"/>
    </row>
    <row r="318" ht="15.75" customHeight="1" s="86">
      <c r="T318" s="85" t="n"/>
      <c r="U318" s="85" t="n"/>
      <c r="V318" s="85" t="n"/>
      <c r="W318" s="85" t="n"/>
      <c r="X318" s="85" t="n"/>
      <c r="Y318" s="85" t="n"/>
      <c r="Z318" s="85" t="n"/>
    </row>
    <row r="319" ht="15.75" customHeight="1" s="86">
      <c r="T319" s="85" t="n"/>
      <c r="U319" s="85" t="n"/>
      <c r="V319" s="85" t="n"/>
      <c r="W319" s="85" t="n"/>
      <c r="X319" s="85" t="n"/>
      <c r="Y319" s="85" t="n"/>
      <c r="Z319" s="85" t="n"/>
    </row>
    <row r="320" ht="15.75" customHeight="1" s="86">
      <c r="T320" s="85" t="n"/>
      <c r="U320" s="85" t="n"/>
      <c r="V320" s="85" t="n"/>
      <c r="W320" s="85" t="n"/>
      <c r="X320" s="85" t="n"/>
      <c r="Y320" s="85" t="n"/>
      <c r="Z320" s="85" t="n"/>
    </row>
    <row r="321" ht="15.75" customHeight="1" s="86">
      <c r="T321" s="85" t="n"/>
      <c r="U321" s="85" t="n"/>
      <c r="V321" s="85" t="n"/>
      <c r="W321" s="85" t="n"/>
      <c r="X321" s="85" t="n"/>
      <c r="Y321" s="85" t="n"/>
      <c r="Z321" s="85" t="n"/>
    </row>
    <row r="322" ht="15.75" customHeight="1" s="86">
      <c r="T322" s="85" t="n"/>
      <c r="U322" s="85" t="n"/>
      <c r="V322" s="85" t="n"/>
      <c r="W322" s="85" t="n"/>
      <c r="X322" s="85" t="n"/>
      <c r="Y322" s="85" t="n"/>
      <c r="Z322" s="85" t="n"/>
    </row>
    <row r="323" ht="15.75" customHeight="1" s="86">
      <c r="T323" s="85" t="n"/>
      <c r="U323" s="85" t="n"/>
      <c r="V323" s="85" t="n"/>
      <c r="W323" s="85" t="n"/>
      <c r="X323" s="85" t="n"/>
      <c r="Y323" s="85" t="n"/>
      <c r="Z323" s="85" t="n"/>
    </row>
    <row r="324" ht="15.75" customHeight="1" s="86">
      <c r="T324" s="85" t="n"/>
      <c r="U324" s="85" t="n"/>
      <c r="V324" s="85" t="n"/>
      <c r="W324" s="85" t="n"/>
      <c r="X324" s="85" t="n"/>
      <c r="Y324" s="85" t="n"/>
      <c r="Z324" s="85" t="n"/>
    </row>
    <row r="325" ht="15.75" customHeight="1" s="86">
      <c r="T325" s="85" t="n"/>
      <c r="U325" s="85" t="n"/>
      <c r="V325" s="85" t="n"/>
      <c r="W325" s="85" t="n"/>
      <c r="X325" s="85" t="n"/>
      <c r="Y325" s="85" t="n"/>
      <c r="Z325" s="85" t="n"/>
    </row>
    <row r="326" ht="15.75" customHeight="1" s="86">
      <c r="T326" s="85" t="n"/>
      <c r="U326" s="85" t="n"/>
      <c r="V326" s="85" t="n"/>
      <c r="W326" s="85" t="n"/>
      <c r="X326" s="85" t="n"/>
      <c r="Y326" s="85" t="n"/>
      <c r="Z326" s="85" t="n"/>
    </row>
    <row r="327" ht="15.75" customHeight="1" s="86">
      <c r="T327" s="85" t="n"/>
      <c r="U327" s="85" t="n"/>
      <c r="V327" s="85" t="n"/>
      <c r="W327" s="85" t="n"/>
      <c r="X327" s="85" t="n"/>
      <c r="Y327" s="85" t="n"/>
      <c r="Z327" s="85" t="n"/>
    </row>
    <row r="328" ht="15.75" customHeight="1" s="86">
      <c r="T328" s="85" t="n"/>
      <c r="U328" s="85" t="n"/>
      <c r="V328" s="85" t="n"/>
      <c r="W328" s="85" t="n"/>
      <c r="X328" s="85" t="n"/>
      <c r="Y328" s="85" t="n"/>
      <c r="Z328" s="85" t="n"/>
    </row>
    <row r="329" ht="15.75" customHeight="1" s="86">
      <c r="T329" s="85" t="n"/>
      <c r="U329" s="85" t="n"/>
      <c r="V329" s="85" t="n"/>
      <c r="W329" s="85" t="n"/>
      <c r="X329" s="85" t="n"/>
      <c r="Y329" s="85" t="n"/>
      <c r="Z329" s="85" t="n"/>
    </row>
    <row r="330" ht="15.75" customHeight="1" s="86">
      <c r="T330" s="85" t="n"/>
      <c r="U330" s="85" t="n"/>
      <c r="V330" s="85" t="n"/>
      <c r="W330" s="85" t="n"/>
      <c r="X330" s="85" t="n"/>
      <c r="Y330" s="85" t="n"/>
      <c r="Z330" s="85" t="n"/>
    </row>
    <row r="331" ht="15.75" customHeight="1" s="86">
      <c r="T331" s="85" t="n"/>
      <c r="U331" s="85" t="n"/>
      <c r="V331" s="85" t="n"/>
      <c r="W331" s="85" t="n"/>
      <c r="X331" s="85" t="n"/>
      <c r="Y331" s="85" t="n"/>
      <c r="Z331" s="85" t="n"/>
    </row>
    <row r="332" ht="15.75" customHeight="1" s="86">
      <c r="T332" s="85" t="n"/>
      <c r="U332" s="85" t="n"/>
      <c r="V332" s="85" t="n"/>
      <c r="W332" s="85" t="n"/>
      <c r="X332" s="85" t="n"/>
      <c r="Y332" s="85" t="n"/>
      <c r="Z332" s="85" t="n"/>
    </row>
    <row r="333" ht="15.75" customHeight="1" s="86">
      <c r="T333" s="85" t="n"/>
      <c r="U333" s="85" t="n"/>
      <c r="V333" s="85" t="n"/>
      <c r="W333" s="85" t="n"/>
      <c r="X333" s="85" t="n"/>
      <c r="Y333" s="85" t="n"/>
      <c r="Z333" s="85" t="n"/>
    </row>
    <row r="334" ht="15.75" customHeight="1" s="86">
      <c r="T334" s="85" t="n"/>
      <c r="U334" s="85" t="n"/>
      <c r="V334" s="85" t="n"/>
      <c r="W334" s="85" t="n"/>
      <c r="X334" s="85" t="n"/>
      <c r="Y334" s="85" t="n"/>
      <c r="Z334" s="85" t="n"/>
    </row>
    <row r="335" ht="15.75" customHeight="1" s="86">
      <c r="T335" s="85" t="n"/>
      <c r="U335" s="85" t="n"/>
      <c r="V335" s="85" t="n"/>
      <c r="W335" s="85" t="n"/>
      <c r="X335" s="85" t="n"/>
      <c r="Y335" s="85" t="n"/>
      <c r="Z335" s="85" t="n"/>
    </row>
    <row r="336" ht="15.75" customHeight="1" s="86">
      <c r="T336" s="85" t="n"/>
      <c r="U336" s="85" t="n"/>
      <c r="V336" s="85" t="n"/>
      <c r="W336" s="85" t="n"/>
      <c r="X336" s="85" t="n"/>
      <c r="Y336" s="85" t="n"/>
      <c r="Z336" s="85" t="n"/>
    </row>
    <row r="337" ht="15.75" customHeight="1" s="86">
      <c r="T337" s="85" t="n"/>
      <c r="U337" s="85" t="n"/>
      <c r="V337" s="85" t="n"/>
      <c r="W337" s="85" t="n"/>
      <c r="X337" s="85" t="n"/>
      <c r="Y337" s="85" t="n"/>
      <c r="Z337" s="85" t="n"/>
    </row>
    <row r="338" ht="15.75" customHeight="1" s="86">
      <c r="T338" s="85" t="n"/>
      <c r="U338" s="85" t="n"/>
      <c r="V338" s="85" t="n"/>
      <c r="W338" s="85" t="n"/>
      <c r="X338" s="85" t="n"/>
      <c r="Y338" s="85" t="n"/>
      <c r="Z338" s="85" t="n"/>
    </row>
    <row r="339" ht="15.75" customHeight="1" s="86">
      <c r="T339" s="85" t="n"/>
      <c r="U339" s="85" t="n"/>
      <c r="V339" s="85" t="n"/>
      <c r="W339" s="85" t="n"/>
      <c r="X339" s="85" t="n"/>
      <c r="Y339" s="85" t="n"/>
      <c r="Z339" s="85" t="n"/>
    </row>
    <row r="340" ht="15.75" customHeight="1" s="86">
      <c r="T340" s="85" t="n"/>
      <c r="U340" s="85" t="n"/>
      <c r="V340" s="85" t="n"/>
      <c r="W340" s="85" t="n"/>
      <c r="X340" s="85" t="n"/>
      <c r="Y340" s="85" t="n"/>
      <c r="Z340" s="85" t="n"/>
    </row>
    <row r="341" ht="15.75" customHeight="1" s="86">
      <c r="T341" s="85" t="n"/>
      <c r="U341" s="85" t="n"/>
      <c r="V341" s="85" t="n"/>
      <c r="W341" s="85" t="n"/>
      <c r="X341" s="85" t="n"/>
      <c r="Y341" s="85" t="n"/>
      <c r="Z341" s="85" t="n"/>
    </row>
    <row r="342" ht="15.75" customHeight="1" s="86">
      <c r="T342" s="85" t="n"/>
      <c r="U342" s="85" t="n"/>
      <c r="V342" s="85" t="n"/>
      <c r="W342" s="85" t="n"/>
      <c r="X342" s="85" t="n"/>
      <c r="Y342" s="85" t="n"/>
      <c r="Z342" s="85" t="n"/>
    </row>
    <row r="343" ht="15.75" customHeight="1" s="86">
      <c r="T343" s="85" t="n"/>
      <c r="U343" s="85" t="n"/>
      <c r="V343" s="85" t="n"/>
      <c r="W343" s="85" t="n"/>
      <c r="X343" s="85" t="n"/>
      <c r="Y343" s="85" t="n"/>
      <c r="Z343" s="85" t="n"/>
    </row>
    <row r="344" ht="15.75" customHeight="1" s="86">
      <c r="T344" s="85" t="n"/>
      <c r="U344" s="85" t="n"/>
      <c r="V344" s="85" t="n"/>
      <c r="W344" s="85" t="n"/>
      <c r="X344" s="85" t="n"/>
      <c r="Y344" s="85" t="n"/>
      <c r="Z344" s="85" t="n"/>
    </row>
    <row r="345" ht="15.75" customHeight="1" s="86">
      <c r="T345" s="85" t="n"/>
      <c r="U345" s="85" t="n"/>
      <c r="V345" s="85" t="n"/>
      <c r="W345" s="85" t="n"/>
      <c r="X345" s="85" t="n"/>
      <c r="Y345" s="85" t="n"/>
      <c r="Z345" s="85" t="n"/>
    </row>
    <row r="346" ht="15.75" customHeight="1" s="86">
      <c r="T346" s="85" t="n"/>
      <c r="U346" s="85" t="n"/>
      <c r="V346" s="85" t="n"/>
      <c r="W346" s="85" t="n"/>
      <c r="X346" s="85" t="n"/>
      <c r="Y346" s="85" t="n"/>
      <c r="Z346" s="85" t="n"/>
    </row>
    <row r="347" ht="15.75" customHeight="1" s="86">
      <c r="T347" s="85" t="n"/>
      <c r="U347" s="85" t="n"/>
      <c r="V347" s="85" t="n"/>
      <c r="W347" s="85" t="n"/>
      <c r="X347" s="85" t="n"/>
      <c r="Y347" s="85" t="n"/>
      <c r="Z347" s="85" t="n"/>
    </row>
    <row r="348" ht="15.75" customHeight="1" s="86">
      <c r="T348" s="85" t="n"/>
      <c r="U348" s="85" t="n"/>
      <c r="V348" s="85" t="n"/>
      <c r="W348" s="85" t="n"/>
      <c r="X348" s="85" t="n"/>
      <c r="Y348" s="85" t="n"/>
      <c r="Z348" s="85" t="n"/>
    </row>
    <row r="349" ht="15.75" customHeight="1" s="86">
      <c r="T349" s="85" t="n"/>
      <c r="U349" s="85" t="n"/>
      <c r="V349" s="85" t="n"/>
      <c r="W349" s="85" t="n"/>
      <c r="X349" s="85" t="n"/>
      <c r="Y349" s="85" t="n"/>
      <c r="Z349" s="85" t="n"/>
    </row>
    <row r="350" ht="15.75" customHeight="1" s="86">
      <c r="T350" s="85" t="n"/>
      <c r="U350" s="85" t="n"/>
      <c r="V350" s="85" t="n"/>
      <c r="W350" s="85" t="n"/>
      <c r="X350" s="85" t="n"/>
      <c r="Y350" s="85" t="n"/>
      <c r="Z350" s="85" t="n"/>
    </row>
    <row r="351" ht="15.75" customHeight="1" s="86">
      <c r="T351" s="85" t="n"/>
      <c r="U351" s="85" t="n"/>
      <c r="V351" s="85" t="n"/>
      <c r="W351" s="85" t="n"/>
      <c r="X351" s="85" t="n"/>
      <c r="Y351" s="85" t="n"/>
      <c r="Z351" s="85" t="n"/>
    </row>
    <row r="352" ht="15.75" customHeight="1" s="86">
      <c r="T352" s="85" t="n"/>
      <c r="U352" s="85" t="n"/>
      <c r="V352" s="85" t="n"/>
      <c r="W352" s="85" t="n"/>
      <c r="X352" s="85" t="n"/>
      <c r="Y352" s="85" t="n"/>
      <c r="Z352" s="85" t="n"/>
    </row>
    <row r="353" ht="15.75" customHeight="1" s="86">
      <c r="T353" s="85" t="n"/>
      <c r="U353" s="85" t="n"/>
      <c r="V353" s="85" t="n"/>
      <c r="W353" s="85" t="n"/>
      <c r="X353" s="85" t="n"/>
      <c r="Y353" s="85" t="n"/>
      <c r="Z353" s="85" t="n"/>
    </row>
    <row r="354" ht="15.75" customHeight="1" s="86">
      <c r="T354" s="85" t="n"/>
      <c r="U354" s="85" t="n"/>
      <c r="V354" s="85" t="n"/>
      <c r="W354" s="85" t="n"/>
      <c r="X354" s="85" t="n"/>
      <c r="Y354" s="85" t="n"/>
      <c r="Z354" s="85" t="n"/>
    </row>
    <row r="355" ht="15.75" customHeight="1" s="86">
      <c r="T355" s="85" t="n"/>
      <c r="U355" s="85" t="n"/>
      <c r="V355" s="85" t="n"/>
      <c r="W355" s="85" t="n"/>
      <c r="X355" s="85" t="n"/>
      <c r="Y355" s="85" t="n"/>
      <c r="Z355" s="85" t="n"/>
    </row>
    <row r="356" ht="15.75" customHeight="1" s="86">
      <c r="T356" s="85" t="n"/>
      <c r="U356" s="85" t="n"/>
      <c r="V356" s="85" t="n"/>
      <c r="W356" s="85" t="n"/>
      <c r="X356" s="85" t="n"/>
      <c r="Y356" s="85" t="n"/>
      <c r="Z356" s="85" t="n"/>
    </row>
    <row r="357" ht="15.75" customHeight="1" s="86">
      <c r="T357" s="85" t="n"/>
      <c r="U357" s="85" t="n"/>
      <c r="V357" s="85" t="n"/>
      <c r="W357" s="85" t="n"/>
      <c r="X357" s="85" t="n"/>
      <c r="Y357" s="85" t="n"/>
      <c r="Z357" s="85" t="n"/>
    </row>
    <row r="358" ht="15.75" customHeight="1" s="86">
      <c r="T358" s="85" t="n"/>
      <c r="U358" s="85" t="n"/>
      <c r="V358" s="85" t="n"/>
      <c r="W358" s="85" t="n"/>
      <c r="X358" s="85" t="n"/>
      <c r="Y358" s="85" t="n"/>
      <c r="Z358" s="85" t="n"/>
    </row>
    <row r="359" ht="15.75" customHeight="1" s="86">
      <c r="T359" s="85" t="n"/>
      <c r="U359" s="85" t="n"/>
      <c r="V359" s="85" t="n"/>
      <c r="W359" s="85" t="n"/>
      <c r="X359" s="85" t="n"/>
      <c r="Y359" s="85" t="n"/>
      <c r="Z359" s="85" t="n"/>
    </row>
    <row r="360" ht="15.75" customHeight="1" s="86">
      <c r="T360" s="85" t="n"/>
      <c r="U360" s="85" t="n"/>
      <c r="V360" s="85" t="n"/>
      <c r="W360" s="85" t="n"/>
      <c r="X360" s="85" t="n"/>
      <c r="Y360" s="85" t="n"/>
      <c r="Z360" s="85" t="n"/>
    </row>
    <row r="361" ht="15.75" customHeight="1" s="86">
      <c r="T361" s="85" t="n"/>
      <c r="U361" s="85" t="n"/>
      <c r="V361" s="85" t="n"/>
      <c r="W361" s="85" t="n"/>
      <c r="X361" s="85" t="n"/>
      <c r="Y361" s="85" t="n"/>
      <c r="Z361" s="85" t="n"/>
    </row>
    <row r="362" ht="15.75" customHeight="1" s="86">
      <c r="T362" s="85" t="n"/>
      <c r="U362" s="85" t="n"/>
      <c r="V362" s="85" t="n"/>
      <c r="W362" s="85" t="n"/>
      <c r="X362" s="85" t="n"/>
      <c r="Y362" s="85" t="n"/>
      <c r="Z362" s="85" t="n"/>
    </row>
    <row r="363" ht="15.75" customHeight="1" s="86">
      <c r="T363" s="85" t="n"/>
      <c r="U363" s="85" t="n"/>
      <c r="V363" s="85" t="n"/>
      <c r="W363" s="85" t="n"/>
      <c r="X363" s="85" t="n"/>
      <c r="Y363" s="85" t="n"/>
      <c r="Z363" s="85" t="n"/>
    </row>
    <row r="364" ht="15.75" customHeight="1" s="86">
      <c r="T364" s="85" t="n"/>
      <c r="U364" s="85" t="n"/>
      <c r="V364" s="85" t="n"/>
      <c r="W364" s="85" t="n"/>
      <c r="X364" s="85" t="n"/>
      <c r="Y364" s="85" t="n"/>
      <c r="Z364" s="85" t="n"/>
    </row>
    <row r="365" ht="15.75" customHeight="1" s="86">
      <c r="T365" s="85" t="n"/>
      <c r="U365" s="85" t="n"/>
      <c r="V365" s="85" t="n"/>
      <c r="W365" s="85" t="n"/>
      <c r="X365" s="85" t="n"/>
      <c r="Y365" s="85" t="n"/>
      <c r="Z365" s="85" t="n"/>
    </row>
    <row r="366" ht="15.75" customHeight="1" s="86">
      <c r="T366" s="85" t="n"/>
      <c r="U366" s="85" t="n"/>
      <c r="V366" s="85" t="n"/>
      <c r="W366" s="85" t="n"/>
      <c r="X366" s="85" t="n"/>
      <c r="Y366" s="85" t="n"/>
      <c r="Z366" s="85" t="n"/>
    </row>
    <row r="367" ht="15.75" customHeight="1" s="86">
      <c r="T367" s="85" t="n"/>
      <c r="U367" s="85" t="n"/>
      <c r="V367" s="85" t="n"/>
      <c r="W367" s="85" t="n"/>
      <c r="X367" s="85" t="n"/>
      <c r="Y367" s="85" t="n"/>
      <c r="Z367" s="85" t="n"/>
    </row>
    <row r="368" ht="15.75" customHeight="1" s="86">
      <c r="T368" s="85" t="n"/>
      <c r="U368" s="85" t="n"/>
      <c r="V368" s="85" t="n"/>
      <c r="W368" s="85" t="n"/>
      <c r="X368" s="85" t="n"/>
      <c r="Y368" s="85" t="n"/>
      <c r="Z368" s="85" t="n"/>
    </row>
    <row r="369" ht="15.75" customHeight="1" s="86">
      <c r="T369" s="85" t="n"/>
      <c r="U369" s="85" t="n"/>
      <c r="V369" s="85" t="n"/>
      <c r="W369" s="85" t="n"/>
      <c r="X369" s="85" t="n"/>
      <c r="Y369" s="85" t="n"/>
      <c r="Z369" s="85" t="n"/>
    </row>
    <row r="370" ht="15.75" customHeight="1" s="86">
      <c r="T370" s="85" t="n"/>
      <c r="U370" s="85" t="n"/>
      <c r="V370" s="85" t="n"/>
      <c r="W370" s="85" t="n"/>
      <c r="X370" s="85" t="n"/>
      <c r="Y370" s="85" t="n"/>
      <c r="Z370" s="85" t="n"/>
    </row>
    <row r="371" ht="15.75" customHeight="1" s="86">
      <c r="T371" s="85" t="n"/>
      <c r="U371" s="85" t="n"/>
      <c r="V371" s="85" t="n"/>
      <c r="W371" s="85" t="n"/>
      <c r="X371" s="85" t="n"/>
      <c r="Y371" s="85" t="n"/>
      <c r="Z371" s="85" t="n"/>
    </row>
    <row r="372" ht="15.75" customHeight="1" s="86">
      <c r="T372" s="85" t="n"/>
      <c r="U372" s="85" t="n"/>
      <c r="V372" s="85" t="n"/>
      <c r="W372" s="85" t="n"/>
      <c r="X372" s="85" t="n"/>
      <c r="Y372" s="85" t="n"/>
      <c r="Z372" s="85" t="n"/>
    </row>
    <row r="373" ht="15.75" customHeight="1" s="86">
      <c r="T373" s="85" t="n"/>
      <c r="U373" s="85" t="n"/>
      <c r="V373" s="85" t="n"/>
      <c r="W373" s="85" t="n"/>
      <c r="X373" s="85" t="n"/>
      <c r="Y373" s="85" t="n"/>
      <c r="Z373" s="85" t="n"/>
    </row>
    <row r="374" ht="15.75" customHeight="1" s="86">
      <c r="T374" s="85" t="n"/>
      <c r="U374" s="85" t="n"/>
      <c r="V374" s="85" t="n"/>
      <c r="W374" s="85" t="n"/>
      <c r="X374" s="85" t="n"/>
      <c r="Y374" s="85" t="n"/>
      <c r="Z374" s="85" t="n"/>
    </row>
    <row r="375" ht="15.75" customHeight="1" s="86">
      <c r="T375" s="85" t="n"/>
      <c r="U375" s="85" t="n"/>
      <c r="V375" s="85" t="n"/>
      <c r="W375" s="85" t="n"/>
      <c r="X375" s="85" t="n"/>
      <c r="Y375" s="85" t="n"/>
      <c r="Z375" s="85" t="n"/>
    </row>
    <row r="376" ht="15.75" customHeight="1" s="86">
      <c r="T376" s="85" t="n"/>
      <c r="U376" s="85" t="n"/>
      <c r="V376" s="85" t="n"/>
      <c r="W376" s="85" t="n"/>
      <c r="X376" s="85" t="n"/>
      <c r="Y376" s="85" t="n"/>
      <c r="Z376" s="85" t="n"/>
    </row>
    <row r="377" ht="15.75" customHeight="1" s="86">
      <c r="T377" s="85" t="n"/>
      <c r="U377" s="85" t="n"/>
      <c r="V377" s="85" t="n"/>
      <c r="W377" s="85" t="n"/>
      <c r="X377" s="85" t="n"/>
      <c r="Y377" s="85" t="n"/>
      <c r="Z377" s="85" t="n"/>
    </row>
    <row r="378" ht="15.75" customHeight="1" s="86">
      <c r="T378" s="85" t="n"/>
      <c r="U378" s="85" t="n"/>
      <c r="V378" s="85" t="n"/>
      <c r="W378" s="85" t="n"/>
      <c r="X378" s="85" t="n"/>
      <c r="Y378" s="85" t="n"/>
      <c r="Z378" s="85" t="n"/>
    </row>
    <row r="379" ht="15.75" customHeight="1" s="86">
      <c r="T379" s="85" t="n"/>
      <c r="U379" s="85" t="n"/>
      <c r="V379" s="85" t="n"/>
      <c r="W379" s="85" t="n"/>
      <c r="X379" s="85" t="n"/>
      <c r="Y379" s="85" t="n"/>
      <c r="Z379" s="85" t="n"/>
    </row>
    <row r="380" ht="15.75" customHeight="1" s="86">
      <c r="T380" s="85" t="n"/>
      <c r="U380" s="85" t="n"/>
      <c r="V380" s="85" t="n"/>
      <c r="W380" s="85" t="n"/>
      <c r="X380" s="85" t="n"/>
      <c r="Y380" s="85" t="n"/>
      <c r="Z380" s="85" t="n"/>
    </row>
    <row r="381" ht="15.75" customHeight="1" s="86">
      <c r="T381" s="85" t="n"/>
      <c r="U381" s="85" t="n"/>
      <c r="V381" s="85" t="n"/>
      <c r="W381" s="85" t="n"/>
      <c r="X381" s="85" t="n"/>
      <c r="Y381" s="85" t="n"/>
      <c r="Z381" s="85" t="n"/>
    </row>
    <row r="382" ht="15.75" customHeight="1" s="86">
      <c r="T382" s="85" t="n"/>
      <c r="U382" s="85" t="n"/>
      <c r="V382" s="85" t="n"/>
      <c r="W382" s="85" t="n"/>
      <c r="X382" s="85" t="n"/>
      <c r="Y382" s="85" t="n"/>
      <c r="Z382" s="85" t="n"/>
    </row>
    <row r="383" ht="15.75" customHeight="1" s="86">
      <c r="T383" s="85" t="n"/>
      <c r="U383" s="85" t="n"/>
      <c r="V383" s="85" t="n"/>
      <c r="W383" s="85" t="n"/>
      <c r="X383" s="85" t="n"/>
      <c r="Y383" s="85" t="n"/>
      <c r="Z383" s="85" t="n"/>
    </row>
    <row r="384" ht="15.75" customHeight="1" s="86">
      <c r="T384" s="85" t="n"/>
      <c r="U384" s="85" t="n"/>
      <c r="V384" s="85" t="n"/>
      <c r="W384" s="85" t="n"/>
      <c r="X384" s="85" t="n"/>
      <c r="Y384" s="85" t="n"/>
      <c r="Z384" s="85" t="n"/>
    </row>
    <row r="385" ht="15.75" customHeight="1" s="86">
      <c r="T385" s="85" t="n"/>
      <c r="U385" s="85" t="n"/>
      <c r="V385" s="85" t="n"/>
      <c r="W385" s="85" t="n"/>
      <c r="X385" s="85" t="n"/>
      <c r="Y385" s="85" t="n"/>
      <c r="Z385" s="85" t="n"/>
    </row>
    <row r="386" ht="15.75" customHeight="1" s="86">
      <c r="T386" s="85" t="n"/>
      <c r="U386" s="85" t="n"/>
      <c r="V386" s="85" t="n"/>
      <c r="W386" s="85" t="n"/>
      <c r="X386" s="85" t="n"/>
      <c r="Y386" s="85" t="n"/>
      <c r="Z386" s="85" t="n"/>
    </row>
    <row r="387" ht="15.75" customHeight="1" s="86">
      <c r="T387" s="85" t="n"/>
      <c r="U387" s="85" t="n"/>
      <c r="V387" s="85" t="n"/>
      <c r="W387" s="85" t="n"/>
      <c r="X387" s="85" t="n"/>
      <c r="Y387" s="85" t="n"/>
      <c r="Z387" s="85" t="n"/>
    </row>
    <row r="388" ht="15.75" customHeight="1" s="86">
      <c r="T388" s="85" t="n"/>
      <c r="U388" s="85" t="n"/>
      <c r="V388" s="85" t="n"/>
      <c r="W388" s="85" t="n"/>
      <c r="X388" s="85" t="n"/>
      <c r="Y388" s="85" t="n"/>
      <c r="Z388" s="85" t="n"/>
    </row>
    <row r="389" ht="15.75" customHeight="1" s="86">
      <c r="T389" s="85" t="n"/>
      <c r="U389" s="85" t="n"/>
      <c r="V389" s="85" t="n"/>
      <c r="W389" s="85" t="n"/>
      <c r="X389" s="85" t="n"/>
      <c r="Y389" s="85" t="n"/>
      <c r="Z389" s="85" t="n"/>
    </row>
    <row r="390" ht="15.75" customHeight="1" s="86">
      <c r="T390" s="85" t="n"/>
      <c r="U390" s="85" t="n"/>
      <c r="V390" s="85" t="n"/>
      <c r="W390" s="85" t="n"/>
      <c r="X390" s="85" t="n"/>
      <c r="Y390" s="85" t="n"/>
      <c r="Z390" s="85" t="n"/>
    </row>
    <row r="391" ht="15.75" customHeight="1" s="86">
      <c r="T391" s="85" t="n"/>
      <c r="U391" s="85" t="n"/>
      <c r="V391" s="85" t="n"/>
      <c r="W391" s="85" t="n"/>
      <c r="X391" s="85" t="n"/>
      <c r="Y391" s="85" t="n"/>
      <c r="Z391" s="85" t="n"/>
    </row>
    <row r="392" ht="15.75" customHeight="1" s="86">
      <c r="T392" s="85" t="n"/>
      <c r="U392" s="85" t="n"/>
      <c r="V392" s="85" t="n"/>
      <c r="W392" s="85" t="n"/>
      <c r="X392" s="85" t="n"/>
      <c r="Y392" s="85" t="n"/>
      <c r="Z392" s="85" t="n"/>
    </row>
    <row r="393" ht="15.75" customHeight="1" s="86">
      <c r="T393" s="85" t="n"/>
      <c r="U393" s="85" t="n"/>
      <c r="V393" s="85" t="n"/>
      <c r="W393" s="85" t="n"/>
      <c r="X393" s="85" t="n"/>
      <c r="Y393" s="85" t="n"/>
      <c r="Z393" s="85" t="n"/>
    </row>
    <row r="394" ht="15.75" customHeight="1" s="86">
      <c r="T394" s="85" t="n"/>
      <c r="U394" s="85" t="n"/>
      <c r="V394" s="85" t="n"/>
      <c r="W394" s="85" t="n"/>
      <c r="X394" s="85" t="n"/>
      <c r="Y394" s="85" t="n"/>
      <c r="Z394" s="85" t="n"/>
    </row>
    <row r="395" ht="15.75" customHeight="1" s="86">
      <c r="T395" s="85" t="n"/>
      <c r="U395" s="85" t="n"/>
      <c r="V395" s="85" t="n"/>
      <c r="W395" s="85" t="n"/>
      <c r="X395" s="85" t="n"/>
      <c r="Y395" s="85" t="n"/>
      <c r="Z395" s="85" t="n"/>
    </row>
    <row r="396" ht="15.75" customHeight="1" s="86">
      <c r="T396" s="85" t="n"/>
      <c r="U396" s="85" t="n"/>
      <c r="V396" s="85" t="n"/>
      <c r="W396" s="85" t="n"/>
      <c r="X396" s="85" t="n"/>
      <c r="Y396" s="85" t="n"/>
      <c r="Z396" s="85" t="n"/>
    </row>
    <row r="397" ht="15.75" customHeight="1" s="86">
      <c r="T397" s="85" t="n"/>
      <c r="U397" s="85" t="n"/>
      <c r="V397" s="85" t="n"/>
      <c r="W397" s="85" t="n"/>
      <c r="X397" s="85" t="n"/>
      <c r="Y397" s="85" t="n"/>
      <c r="Z397" s="85" t="n"/>
    </row>
    <row r="398" ht="15.75" customHeight="1" s="86">
      <c r="T398" s="85" t="n"/>
      <c r="U398" s="85" t="n"/>
      <c r="V398" s="85" t="n"/>
      <c r="W398" s="85" t="n"/>
      <c r="X398" s="85" t="n"/>
      <c r="Y398" s="85" t="n"/>
      <c r="Z398" s="85" t="n"/>
    </row>
    <row r="399" ht="15.75" customHeight="1" s="86">
      <c r="T399" s="85" t="n"/>
      <c r="U399" s="85" t="n"/>
      <c r="V399" s="85" t="n"/>
      <c r="W399" s="85" t="n"/>
      <c r="X399" s="85" t="n"/>
      <c r="Y399" s="85" t="n"/>
      <c r="Z399" s="85" t="n"/>
    </row>
    <row r="400" ht="15.75" customHeight="1" s="86">
      <c r="T400" s="85" t="n"/>
      <c r="U400" s="85" t="n"/>
      <c r="V400" s="85" t="n"/>
      <c r="W400" s="85" t="n"/>
      <c r="X400" s="85" t="n"/>
      <c r="Y400" s="85" t="n"/>
      <c r="Z400" s="85" t="n"/>
    </row>
    <row r="401" ht="15.75" customHeight="1" s="86">
      <c r="T401" s="85" t="n"/>
      <c r="U401" s="85" t="n"/>
      <c r="V401" s="85" t="n"/>
      <c r="W401" s="85" t="n"/>
      <c r="X401" s="85" t="n"/>
      <c r="Y401" s="85" t="n"/>
      <c r="Z401" s="85" t="n"/>
    </row>
    <row r="402" ht="15.75" customHeight="1" s="86">
      <c r="T402" s="85" t="n"/>
      <c r="U402" s="85" t="n"/>
      <c r="V402" s="85" t="n"/>
      <c r="W402" s="85" t="n"/>
      <c r="X402" s="85" t="n"/>
      <c r="Y402" s="85" t="n"/>
      <c r="Z402" s="85" t="n"/>
    </row>
    <row r="403" ht="15.75" customHeight="1" s="86">
      <c r="T403" s="85" t="n"/>
      <c r="U403" s="85" t="n"/>
      <c r="V403" s="85" t="n"/>
      <c r="W403" s="85" t="n"/>
      <c r="X403" s="85" t="n"/>
      <c r="Y403" s="85" t="n"/>
      <c r="Z403" s="85" t="n"/>
    </row>
    <row r="404" ht="15.75" customHeight="1" s="86">
      <c r="T404" s="85" t="n"/>
      <c r="U404" s="85" t="n"/>
      <c r="V404" s="85" t="n"/>
      <c r="W404" s="85" t="n"/>
      <c r="X404" s="85" t="n"/>
      <c r="Y404" s="85" t="n"/>
      <c r="Z404" s="85" t="n"/>
    </row>
    <row r="405" ht="15.75" customHeight="1" s="86">
      <c r="T405" s="85" t="n"/>
      <c r="U405" s="85" t="n"/>
      <c r="V405" s="85" t="n"/>
      <c r="W405" s="85" t="n"/>
      <c r="X405" s="85" t="n"/>
      <c r="Y405" s="85" t="n"/>
      <c r="Z405" s="85" t="n"/>
    </row>
    <row r="406" ht="15.75" customHeight="1" s="86">
      <c r="T406" s="85" t="n"/>
      <c r="U406" s="85" t="n"/>
      <c r="V406" s="85" t="n"/>
      <c r="W406" s="85" t="n"/>
      <c r="X406" s="85" t="n"/>
      <c r="Y406" s="85" t="n"/>
      <c r="Z406" s="85" t="n"/>
    </row>
    <row r="407" ht="15.75" customHeight="1" s="86">
      <c r="T407" s="85" t="n"/>
      <c r="U407" s="85" t="n"/>
      <c r="V407" s="85" t="n"/>
      <c r="W407" s="85" t="n"/>
      <c r="X407" s="85" t="n"/>
      <c r="Y407" s="85" t="n"/>
      <c r="Z407" s="85" t="n"/>
    </row>
    <row r="408" ht="15.75" customHeight="1" s="86">
      <c r="T408" s="85" t="n"/>
      <c r="U408" s="85" t="n"/>
      <c r="V408" s="85" t="n"/>
      <c r="W408" s="85" t="n"/>
      <c r="X408" s="85" t="n"/>
      <c r="Y408" s="85" t="n"/>
      <c r="Z408" s="85" t="n"/>
    </row>
    <row r="409" ht="15.75" customHeight="1" s="86">
      <c r="T409" s="85" t="n"/>
      <c r="U409" s="85" t="n"/>
      <c r="V409" s="85" t="n"/>
      <c r="W409" s="85" t="n"/>
      <c r="X409" s="85" t="n"/>
      <c r="Y409" s="85" t="n"/>
      <c r="Z409" s="85" t="n"/>
    </row>
    <row r="410" ht="15.75" customHeight="1" s="86">
      <c r="T410" s="85" t="n"/>
      <c r="U410" s="85" t="n"/>
      <c r="V410" s="85" t="n"/>
      <c r="W410" s="85" t="n"/>
      <c r="X410" s="85" t="n"/>
      <c r="Y410" s="85" t="n"/>
      <c r="Z410" s="85" t="n"/>
    </row>
    <row r="411" ht="15.75" customHeight="1" s="86">
      <c r="T411" s="85" t="n"/>
      <c r="U411" s="85" t="n"/>
      <c r="V411" s="85" t="n"/>
      <c r="W411" s="85" t="n"/>
      <c r="X411" s="85" t="n"/>
      <c r="Y411" s="85" t="n"/>
      <c r="Z411" s="85" t="n"/>
    </row>
    <row r="412" ht="15.75" customHeight="1" s="86">
      <c r="T412" s="85" t="n"/>
      <c r="U412" s="85" t="n"/>
      <c r="V412" s="85" t="n"/>
      <c r="W412" s="85" t="n"/>
      <c r="X412" s="85" t="n"/>
      <c r="Y412" s="85" t="n"/>
      <c r="Z412" s="85" t="n"/>
    </row>
    <row r="413" ht="15.75" customHeight="1" s="86">
      <c r="T413" s="85" t="n"/>
      <c r="U413" s="85" t="n"/>
      <c r="V413" s="85" t="n"/>
      <c r="W413" s="85" t="n"/>
      <c r="X413" s="85" t="n"/>
      <c r="Y413" s="85" t="n"/>
      <c r="Z413" s="85" t="n"/>
    </row>
    <row r="414" ht="15.75" customHeight="1" s="86">
      <c r="T414" s="85" t="n"/>
      <c r="U414" s="85" t="n"/>
      <c r="V414" s="85" t="n"/>
      <c r="W414" s="85" t="n"/>
      <c r="X414" s="85" t="n"/>
      <c r="Y414" s="85" t="n"/>
      <c r="Z414" s="85" t="n"/>
    </row>
    <row r="415" ht="15.75" customHeight="1" s="86">
      <c r="T415" s="85" t="n"/>
      <c r="U415" s="85" t="n"/>
      <c r="V415" s="85" t="n"/>
      <c r="W415" s="85" t="n"/>
      <c r="X415" s="85" t="n"/>
      <c r="Y415" s="85" t="n"/>
      <c r="Z415" s="85" t="n"/>
    </row>
    <row r="416" ht="15.75" customHeight="1" s="86">
      <c r="T416" s="85" t="n"/>
      <c r="U416" s="85" t="n"/>
      <c r="V416" s="85" t="n"/>
      <c r="W416" s="85" t="n"/>
      <c r="X416" s="85" t="n"/>
      <c r="Y416" s="85" t="n"/>
      <c r="Z416" s="85" t="n"/>
    </row>
    <row r="417" ht="15.75" customHeight="1" s="86">
      <c r="T417" s="85" t="n"/>
      <c r="U417" s="85" t="n"/>
      <c r="V417" s="85" t="n"/>
      <c r="W417" s="85" t="n"/>
      <c r="X417" s="85" t="n"/>
      <c r="Y417" s="85" t="n"/>
      <c r="Z417" s="85" t="n"/>
    </row>
    <row r="418" ht="15.75" customHeight="1" s="86">
      <c r="T418" s="85" t="n"/>
      <c r="U418" s="85" t="n"/>
      <c r="V418" s="85" t="n"/>
      <c r="W418" s="85" t="n"/>
      <c r="X418" s="85" t="n"/>
      <c r="Y418" s="85" t="n"/>
      <c r="Z418" s="85" t="n"/>
    </row>
    <row r="419" ht="15.75" customHeight="1" s="86">
      <c r="T419" s="85" t="n"/>
      <c r="U419" s="85" t="n"/>
      <c r="V419" s="85" t="n"/>
      <c r="W419" s="85" t="n"/>
      <c r="X419" s="85" t="n"/>
      <c r="Y419" s="85" t="n"/>
      <c r="Z419" s="85" t="n"/>
    </row>
    <row r="420" ht="15.75" customHeight="1" s="86">
      <c r="T420" s="85" t="n"/>
      <c r="U420" s="85" t="n"/>
      <c r="V420" s="85" t="n"/>
      <c r="W420" s="85" t="n"/>
      <c r="X420" s="85" t="n"/>
      <c r="Y420" s="85" t="n"/>
      <c r="Z420" s="85" t="n"/>
    </row>
    <row r="421" ht="15.75" customHeight="1" s="86">
      <c r="T421" s="85" t="n"/>
      <c r="U421" s="85" t="n"/>
      <c r="V421" s="85" t="n"/>
      <c r="W421" s="85" t="n"/>
      <c r="X421" s="85" t="n"/>
      <c r="Y421" s="85" t="n"/>
      <c r="Z421" s="85" t="n"/>
    </row>
    <row r="422" ht="15.75" customHeight="1" s="86">
      <c r="T422" s="85" t="n"/>
      <c r="U422" s="85" t="n"/>
      <c r="V422" s="85" t="n"/>
      <c r="W422" s="85" t="n"/>
      <c r="X422" s="85" t="n"/>
      <c r="Y422" s="85" t="n"/>
      <c r="Z422" s="85" t="n"/>
    </row>
    <row r="423" ht="15.75" customHeight="1" s="86">
      <c r="T423" s="85" t="n"/>
      <c r="U423" s="85" t="n"/>
      <c r="V423" s="85" t="n"/>
      <c r="W423" s="85" t="n"/>
      <c r="X423" s="85" t="n"/>
      <c r="Y423" s="85" t="n"/>
      <c r="Z423" s="85" t="n"/>
    </row>
    <row r="424" ht="15.75" customHeight="1" s="86">
      <c r="T424" s="85" t="n"/>
      <c r="U424" s="85" t="n"/>
      <c r="V424" s="85" t="n"/>
      <c r="W424" s="85" t="n"/>
      <c r="X424" s="85" t="n"/>
      <c r="Y424" s="85" t="n"/>
      <c r="Z424" s="85" t="n"/>
    </row>
    <row r="425" ht="15.75" customHeight="1" s="86">
      <c r="T425" s="85" t="n"/>
      <c r="U425" s="85" t="n"/>
      <c r="V425" s="85" t="n"/>
      <c r="W425" s="85" t="n"/>
      <c r="X425" s="85" t="n"/>
      <c r="Y425" s="85" t="n"/>
      <c r="Z425" s="85" t="n"/>
    </row>
    <row r="426" ht="15.75" customHeight="1" s="86">
      <c r="T426" s="85" t="n"/>
      <c r="U426" s="85" t="n"/>
      <c r="V426" s="85" t="n"/>
      <c r="W426" s="85" t="n"/>
      <c r="X426" s="85" t="n"/>
      <c r="Y426" s="85" t="n"/>
      <c r="Z426" s="85" t="n"/>
    </row>
    <row r="427" ht="15.75" customHeight="1" s="86">
      <c r="T427" s="85" t="n"/>
      <c r="U427" s="85" t="n"/>
      <c r="V427" s="85" t="n"/>
      <c r="W427" s="85" t="n"/>
      <c r="X427" s="85" t="n"/>
      <c r="Y427" s="85" t="n"/>
      <c r="Z427" s="85" t="n"/>
    </row>
    <row r="428" ht="15.75" customHeight="1" s="86">
      <c r="T428" s="85" t="n"/>
      <c r="U428" s="85" t="n"/>
      <c r="V428" s="85" t="n"/>
      <c r="W428" s="85" t="n"/>
      <c r="X428" s="85" t="n"/>
      <c r="Y428" s="85" t="n"/>
      <c r="Z428" s="85" t="n"/>
    </row>
    <row r="429" ht="15.75" customHeight="1" s="86">
      <c r="T429" s="85" t="n"/>
      <c r="U429" s="85" t="n"/>
      <c r="V429" s="85" t="n"/>
      <c r="W429" s="85" t="n"/>
      <c r="X429" s="85" t="n"/>
      <c r="Y429" s="85" t="n"/>
      <c r="Z429" s="85" t="n"/>
    </row>
    <row r="430" ht="15.75" customHeight="1" s="86">
      <c r="T430" s="85" t="n"/>
      <c r="U430" s="85" t="n"/>
      <c r="V430" s="85" t="n"/>
      <c r="W430" s="85" t="n"/>
      <c r="X430" s="85" t="n"/>
      <c r="Y430" s="85" t="n"/>
      <c r="Z430" s="85" t="n"/>
    </row>
    <row r="431" ht="15.75" customHeight="1" s="86">
      <c r="T431" s="85" t="n"/>
      <c r="U431" s="85" t="n"/>
      <c r="V431" s="85" t="n"/>
      <c r="W431" s="85" t="n"/>
      <c r="X431" s="85" t="n"/>
      <c r="Y431" s="85" t="n"/>
      <c r="Z431" s="85" t="n"/>
    </row>
    <row r="432" ht="15.75" customHeight="1" s="86">
      <c r="T432" s="85" t="n"/>
      <c r="U432" s="85" t="n"/>
      <c r="V432" s="85" t="n"/>
      <c r="W432" s="85" t="n"/>
      <c r="X432" s="85" t="n"/>
      <c r="Y432" s="85" t="n"/>
      <c r="Z432" s="85" t="n"/>
    </row>
    <row r="433" ht="15.75" customHeight="1" s="86">
      <c r="T433" s="85" t="n"/>
      <c r="U433" s="85" t="n"/>
      <c r="V433" s="85" t="n"/>
      <c r="W433" s="85" t="n"/>
      <c r="X433" s="85" t="n"/>
      <c r="Y433" s="85" t="n"/>
      <c r="Z433" s="85" t="n"/>
    </row>
    <row r="434" ht="15.75" customHeight="1" s="86">
      <c r="T434" s="85" t="n"/>
      <c r="U434" s="85" t="n"/>
      <c r="V434" s="85" t="n"/>
      <c r="W434" s="85" t="n"/>
      <c r="X434" s="85" t="n"/>
      <c r="Y434" s="85" t="n"/>
      <c r="Z434" s="85" t="n"/>
    </row>
    <row r="435" ht="15.75" customHeight="1" s="86">
      <c r="T435" s="85" t="n"/>
      <c r="U435" s="85" t="n"/>
      <c r="V435" s="85" t="n"/>
      <c r="W435" s="85" t="n"/>
      <c r="X435" s="85" t="n"/>
      <c r="Y435" s="85" t="n"/>
      <c r="Z435" s="85" t="n"/>
    </row>
    <row r="436" ht="15.75" customHeight="1" s="86">
      <c r="T436" s="85" t="n"/>
      <c r="U436" s="85" t="n"/>
      <c r="V436" s="85" t="n"/>
      <c r="W436" s="85" t="n"/>
      <c r="X436" s="85" t="n"/>
      <c r="Y436" s="85" t="n"/>
      <c r="Z436" s="85" t="n"/>
    </row>
    <row r="437" ht="15.75" customHeight="1" s="86">
      <c r="T437" s="85" t="n"/>
      <c r="U437" s="85" t="n"/>
      <c r="V437" s="85" t="n"/>
      <c r="W437" s="85" t="n"/>
      <c r="X437" s="85" t="n"/>
      <c r="Y437" s="85" t="n"/>
      <c r="Z437" s="85" t="n"/>
    </row>
    <row r="438" ht="15.75" customHeight="1" s="86">
      <c r="T438" s="85" t="n"/>
      <c r="U438" s="85" t="n"/>
      <c r="V438" s="85" t="n"/>
      <c r="W438" s="85" t="n"/>
      <c r="X438" s="85" t="n"/>
      <c r="Y438" s="85" t="n"/>
      <c r="Z438" s="85" t="n"/>
    </row>
    <row r="439" ht="15.75" customHeight="1" s="86">
      <c r="T439" s="85" t="n"/>
      <c r="U439" s="85" t="n"/>
      <c r="V439" s="85" t="n"/>
      <c r="W439" s="85" t="n"/>
      <c r="X439" s="85" t="n"/>
      <c r="Y439" s="85" t="n"/>
      <c r="Z439" s="85" t="n"/>
    </row>
    <row r="440" ht="15.75" customHeight="1" s="86">
      <c r="T440" s="85" t="n"/>
      <c r="U440" s="85" t="n"/>
      <c r="V440" s="85" t="n"/>
      <c r="W440" s="85" t="n"/>
      <c r="X440" s="85" t="n"/>
      <c r="Y440" s="85" t="n"/>
      <c r="Z440" s="85" t="n"/>
    </row>
    <row r="441" ht="15.75" customHeight="1" s="86">
      <c r="T441" s="85" t="n"/>
      <c r="U441" s="85" t="n"/>
      <c r="V441" s="85" t="n"/>
      <c r="W441" s="85" t="n"/>
      <c r="X441" s="85" t="n"/>
      <c r="Y441" s="85" t="n"/>
      <c r="Z441" s="85" t="n"/>
    </row>
    <row r="442" ht="15.75" customHeight="1" s="86">
      <c r="T442" s="85" t="n"/>
      <c r="U442" s="85" t="n"/>
      <c r="V442" s="85" t="n"/>
      <c r="W442" s="85" t="n"/>
      <c r="X442" s="85" t="n"/>
      <c r="Y442" s="85" t="n"/>
      <c r="Z442" s="85" t="n"/>
    </row>
    <row r="443" ht="15.75" customHeight="1" s="86">
      <c r="T443" s="85" t="n"/>
      <c r="U443" s="85" t="n"/>
      <c r="V443" s="85" t="n"/>
      <c r="W443" s="85" t="n"/>
      <c r="X443" s="85" t="n"/>
      <c r="Y443" s="85" t="n"/>
      <c r="Z443" s="85" t="n"/>
    </row>
    <row r="444" ht="15.75" customHeight="1" s="86">
      <c r="T444" s="85" t="n"/>
      <c r="U444" s="85" t="n"/>
      <c r="V444" s="85" t="n"/>
      <c r="W444" s="85" t="n"/>
      <c r="X444" s="85" t="n"/>
      <c r="Y444" s="85" t="n"/>
      <c r="Z444" s="85" t="n"/>
    </row>
    <row r="445" ht="15.75" customHeight="1" s="86">
      <c r="T445" s="85" t="n"/>
      <c r="U445" s="85" t="n"/>
      <c r="V445" s="85" t="n"/>
      <c r="W445" s="85" t="n"/>
      <c r="X445" s="85" t="n"/>
      <c r="Y445" s="85" t="n"/>
      <c r="Z445" s="85" t="n"/>
    </row>
    <row r="446" ht="15.75" customHeight="1" s="86">
      <c r="T446" s="85" t="n"/>
      <c r="U446" s="85" t="n"/>
      <c r="V446" s="85" t="n"/>
      <c r="W446" s="85" t="n"/>
      <c r="X446" s="85" t="n"/>
      <c r="Y446" s="85" t="n"/>
      <c r="Z446" s="85" t="n"/>
    </row>
    <row r="447" ht="15.75" customHeight="1" s="86">
      <c r="T447" s="85" t="n"/>
      <c r="U447" s="85" t="n"/>
      <c r="V447" s="85" t="n"/>
      <c r="W447" s="85" t="n"/>
      <c r="X447" s="85" t="n"/>
      <c r="Y447" s="85" t="n"/>
      <c r="Z447" s="85" t="n"/>
    </row>
    <row r="448" ht="15.75" customHeight="1" s="86">
      <c r="T448" s="85" t="n"/>
      <c r="U448" s="85" t="n"/>
      <c r="V448" s="85" t="n"/>
      <c r="W448" s="85" t="n"/>
      <c r="X448" s="85" t="n"/>
      <c r="Y448" s="85" t="n"/>
      <c r="Z448" s="85" t="n"/>
    </row>
    <row r="449" ht="15.75" customHeight="1" s="86">
      <c r="T449" s="85" t="n"/>
      <c r="U449" s="85" t="n"/>
      <c r="V449" s="85" t="n"/>
      <c r="W449" s="85" t="n"/>
      <c r="X449" s="85" t="n"/>
      <c r="Y449" s="85" t="n"/>
      <c r="Z449" s="85" t="n"/>
    </row>
    <row r="450" ht="15.75" customHeight="1" s="86">
      <c r="T450" s="85" t="n"/>
      <c r="U450" s="85" t="n"/>
      <c r="V450" s="85" t="n"/>
      <c r="W450" s="85" t="n"/>
      <c r="X450" s="85" t="n"/>
      <c r="Y450" s="85" t="n"/>
      <c r="Z450" s="85" t="n"/>
    </row>
    <row r="451" ht="15.75" customHeight="1" s="86">
      <c r="T451" s="85" t="n"/>
      <c r="U451" s="85" t="n"/>
      <c r="V451" s="85" t="n"/>
      <c r="W451" s="85" t="n"/>
      <c r="X451" s="85" t="n"/>
      <c r="Y451" s="85" t="n"/>
      <c r="Z451" s="85" t="n"/>
    </row>
    <row r="452" ht="15.75" customHeight="1" s="86">
      <c r="T452" s="85" t="n"/>
      <c r="U452" s="85" t="n"/>
      <c r="V452" s="85" t="n"/>
      <c r="W452" s="85" t="n"/>
      <c r="X452" s="85" t="n"/>
      <c r="Y452" s="85" t="n"/>
      <c r="Z452" s="85" t="n"/>
    </row>
    <row r="453" ht="15.75" customHeight="1" s="86">
      <c r="T453" s="85" t="n"/>
      <c r="U453" s="85" t="n"/>
      <c r="V453" s="85" t="n"/>
      <c r="W453" s="85" t="n"/>
      <c r="X453" s="85" t="n"/>
      <c r="Y453" s="85" t="n"/>
      <c r="Z453" s="85" t="n"/>
    </row>
    <row r="454" ht="15.75" customHeight="1" s="86">
      <c r="T454" s="85" t="n"/>
      <c r="U454" s="85" t="n"/>
      <c r="V454" s="85" t="n"/>
      <c r="W454" s="85" t="n"/>
      <c r="X454" s="85" t="n"/>
      <c r="Y454" s="85" t="n"/>
      <c r="Z454" s="85" t="n"/>
    </row>
    <row r="455" ht="15.75" customHeight="1" s="86">
      <c r="T455" s="85" t="n"/>
      <c r="U455" s="85" t="n"/>
      <c r="V455" s="85" t="n"/>
      <c r="W455" s="85" t="n"/>
      <c r="X455" s="85" t="n"/>
      <c r="Y455" s="85" t="n"/>
      <c r="Z455" s="85" t="n"/>
    </row>
    <row r="456" ht="15.75" customHeight="1" s="86">
      <c r="T456" s="85" t="n"/>
      <c r="U456" s="85" t="n"/>
      <c r="V456" s="85" t="n"/>
      <c r="W456" s="85" t="n"/>
      <c r="X456" s="85" t="n"/>
      <c r="Y456" s="85" t="n"/>
      <c r="Z456" s="85" t="n"/>
    </row>
    <row r="457" ht="15.75" customHeight="1" s="86">
      <c r="T457" s="85" t="n"/>
      <c r="U457" s="85" t="n"/>
      <c r="V457" s="85" t="n"/>
      <c r="W457" s="85" t="n"/>
      <c r="X457" s="85" t="n"/>
      <c r="Y457" s="85" t="n"/>
      <c r="Z457" s="85" t="n"/>
    </row>
    <row r="458" ht="15.75" customHeight="1" s="86">
      <c r="T458" s="85" t="n"/>
      <c r="U458" s="85" t="n"/>
      <c r="V458" s="85" t="n"/>
      <c r="W458" s="85" t="n"/>
      <c r="X458" s="85" t="n"/>
      <c r="Y458" s="85" t="n"/>
      <c r="Z458" s="85" t="n"/>
    </row>
    <row r="459" ht="15.75" customHeight="1" s="86">
      <c r="T459" s="85" t="n"/>
      <c r="U459" s="85" t="n"/>
      <c r="V459" s="85" t="n"/>
      <c r="W459" s="85" t="n"/>
      <c r="X459" s="85" t="n"/>
      <c r="Y459" s="85" t="n"/>
      <c r="Z459" s="85" t="n"/>
    </row>
    <row r="460" ht="15.75" customHeight="1" s="86">
      <c r="T460" s="85" t="n"/>
      <c r="U460" s="85" t="n"/>
      <c r="V460" s="85" t="n"/>
      <c r="W460" s="85" t="n"/>
      <c r="X460" s="85" t="n"/>
      <c r="Y460" s="85" t="n"/>
      <c r="Z460" s="85" t="n"/>
    </row>
    <row r="461" ht="15.75" customHeight="1" s="86">
      <c r="T461" s="85" t="n"/>
      <c r="U461" s="85" t="n"/>
      <c r="V461" s="85" t="n"/>
      <c r="W461" s="85" t="n"/>
      <c r="X461" s="85" t="n"/>
      <c r="Y461" s="85" t="n"/>
      <c r="Z461" s="85" t="n"/>
    </row>
    <row r="462" ht="15.75" customHeight="1" s="86">
      <c r="T462" s="85" t="n"/>
      <c r="U462" s="85" t="n"/>
      <c r="V462" s="85" t="n"/>
      <c r="W462" s="85" t="n"/>
      <c r="X462" s="85" t="n"/>
      <c r="Y462" s="85" t="n"/>
      <c r="Z462" s="85" t="n"/>
    </row>
    <row r="463" ht="15.75" customHeight="1" s="86">
      <c r="T463" s="85" t="n"/>
      <c r="U463" s="85" t="n"/>
      <c r="V463" s="85" t="n"/>
      <c r="W463" s="85" t="n"/>
      <c r="X463" s="85" t="n"/>
      <c r="Y463" s="85" t="n"/>
      <c r="Z463" s="85" t="n"/>
    </row>
    <row r="464" ht="15.75" customHeight="1" s="86">
      <c r="T464" s="85" t="n"/>
      <c r="U464" s="85" t="n"/>
      <c r="V464" s="85" t="n"/>
      <c r="W464" s="85" t="n"/>
      <c r="X464" s="85" t="n"/>
      <c r="Y464" s="85" t="n"/>
      <c r="Z464" s="85" t="n"/>
    </row>
    <row r="465" ht="15.75" customHeight="1" s="86">
      <c r="T465" s="85" t="n"/>
      <c r="U465" s="85" t="n"/>
      <c r="V465" s="85" t="n"/>
      <c r="W465" s="85" t="n"/>
      <c r="X465" s="85" t="n"/>
      <c r="Y465" s="85" t="n"/>
      <c r="Z465" s="85" t="n"/>
    </row>
    <row r="466" ht="15.75" customHeight="1" s="86">
      <c r="T466" s="85" t="n"/>
      <c r="U466" s="85" t="n"/>
      <c r="V466" s="85" t="n"/>
      <c r="W466" s="85" t="n"/>
      <c r="X466" s="85" t="n"/>
      <c r="Y466" s="85" t="n"/>
      <c r="Z466" s="85" t="n"/>
    </row>
    <row r="467" ht="15.75" customHeight="1" s="86">
      <c r="T467" s="85" t="n"/>
      <c r="U467" s="85" t="n"/>
      <c r="V467" s="85" t="n"/>
      <c r="W467" s="85" t="n"/>
      <c r="X467" s="85" t="n"/>
      <c r="Y467" s="85" t="n"/>
      <c r="Z467" s="85" t="n"/>
    </row>
    <row r="468" ht="15.75" customHeight="1" s="86">
      <c r="T468" s="85" t="n"/>
      <c r="U468" s="85" t="n"/>
      <c r="V468" s="85" t="n"/>
      <c r="W468" s="85" t="n"/>
      <c r="X468" s="85" t="n"/>
      <c r="Y468" s="85" t="n"/>
      <c r="Z468" s="85" t="n"/>
    </row>
    <row r="469" ht="15.75" customHeight="1" s="86">
      <c r="T469" s="85" t="n"/>
      <c r="U469" s="85" t="n"/>
      <c r="V469" s="85" t="n"/>
      <c r="W469" s="85" t="n"/>
      <c r="X469" s="85" t="n"/>
      <c r="Y469" s="85" t="n"/>
      <c r="Z469" s="85" t="n"/>
    </row>
    <row r="470" ht="15.75" customHeight="1" s="86">
      <c r="T470" s="85" t="n"/>
      <c r="U470" s="85" t="n"/>
      <c r="V470" s="85" t="n"/>
      <c r="W470" s="85" t="n"/>
      <c r="X470" s="85" t="n"/>
      <c r="Y470" s="85" t="n"/>
      <c r="Z470" s="85" t="n"/>
    </row>
    <row r="471" ht="15.75" customHeight="1" s="86">
      <c r="T471" s="85" t="n"/>
      <c r="U471" s="85" t="n"/>
      <c r="V471" s="85" t="n"/>
      <c r="W471" s="85" t="n"/>
      <c r="X471" s="85" t="n"/>
      <c r="Y471" s="85" t="n"/>
      <c r="Z471" s="85" t="n"/>
    </row>
    <row r="472" ht="15.75" customHeight="1" s="86">
      <c r="T472" s="85" t="n"/>
      <c r="U472" s="85" t="n"/>
      <c r="V472" s="85" t="n"/>
      <c r="W472" s="85" t="n"/>
      <c r="X472" s="85" t="n"/>
      <c r="Y472" s="85" t="n"/>
      <c r="Z472" s="85" t="n"/>
    </row>
    <row r="473" ht="15.75" customHeight="1" s="86">
      <c r="T473" s="85" t="n"/>
      <c r="U473" s="85" t="n"/>
      <c r="V473" s="85" t="n"/>
      <c r="W473" s="85" t="n"/>
      <c r="X473" s="85" t="n"/>
      <c r="Y473" s="85" t="n"/>
      <c r="Z473" s="85" t="n"/>
    </row>
    <row r="474" ht="15.75" customHeight="1" s="86">
      <c r="T474" s="85" t="n"/>
      <c r="U474" s="85" t="n"/>
      <c r="V474" s="85" t="n"/>
      <c r="W474" s="85" t="n"/>
      <c r="X474" s="85" t="n"/>
      <c r="Y474" s="85" t="n"/>
      <c r="Z474" s="85" t="n"/>
    </row>
    <row r="475" ht="15.75" customHeight="1" s="86">
      <c r="T475" s="85" t="n"/>
      <c r="U475" s="85" t="n"/>
      <c r="V475" s="85" t="n"/>
      <c r="W475" s="85" t="n"/>
      <c r="X475" s="85" t="n"/>
      <c r="Y475" s="85" t="n"/>
      <c r="Z475" s="85" t="n"/>
    </row>
    <row r="476" ht="15.75" customHeight="1" s="86">
      <c r="T476" s="85" t="n"/>
      <c r="U476" s="85" t="n"/>
      <c r="V476" s="85" t="n"/>
      <c r="W476" s="85" t="n"/>
      <c r="X476" s="85" t="n"/>
      <c r="Y476" s="85" t="n"/>
      <c r="Z476" s="85" t="n"/>
    </row>
    <row r="477" ht="15.75" customHeight="1" s="86">
      <c r="T477" s="85" t="n"/>
      <c r="U477" s="85" t="n"/>
      <c r="V477" s="85" t="n"/>
      <c r="W477" s="85" t="n"/>
      <c r="X477" s="85" t="n"/>
      <c r="Y477" s="85" t="n"/>
      <c r="Z477" s="85" t="n"/>
    </row>
    <row r="478" ht="15.75" customHeight="1" s="86">
      <c r="T478" s="85" t="n"/>
      <c r="U478" s="85" t="n"/>
      <c r="V478" s="85" t="n"/>
      <c r="W478" s="85" t="n"/>
      <c r="X478" s="85" t="n"/>
      <c r="Y478" s="85" t="n"/>
      <c r="Z478" s="85" t="n"/>
    </row>
    <row r="479" ht="15.75" customHeight="1" s="86">
      <c r="T479" s="85" t="n"/>
      <c r="U479" s="85" t="n"/>
      <c r="V479" s="85" t="n"/>
      <c r="W479" s="85" t="n"/>
      <c r="X479" s="85" t="n"/>
      <c r="Y479" s="85" t="n"/>
      <c r="Z479" s="85" t="n"/>
    </row>
    <row r="480" ht="15.75" customHeight="1" s="86">
      <c r="T480" s="85" t="n"/>
      <c r="U480" s="85" t="n"/>
      <c r="V480" s="85" t="n"/>
      <c r="W480" s="85" t="n"/>
      <c r="X480" s="85" t="n"/>
      <c r="Y480" s="85" t="n"/>
      <c r="Z480" s="85" t="n"/>
    </row>
    <row r="481" ht="15.75" customHeight="1" s="86">
      <c r="T481" s="85" t="n"/>
      <c r="U481" s="85" t="n"/>
      <c r="V481" s="85" t="n"/>
      <c r="W481" s="85" t="n"/>
      <c r="X481" s="85" t="n"/>
      <c r="Y481" s="85" t="n"/>
      <c r="Z481" s="85" t="n"/>
    </row>
    <row r="482" ht="15.75" customHeight="1" s="86">
      <c r="T482" s="85" t="n"/>
      <c r="U482" s="85" t="n"/>
      <c r="V482" s="85" t="n"/>
      <c r="W482" s="85" t="n"/>
      <c r="X482" s="85" t="n"/>
      <c r="Y482" s="85" t="n"/>
      <c r="Z482" s="85" t="n"/>
    </row>
    <row r="483" ht="15.75" customHeight="1" s="86">
      <c r="T483" s="85" t="n"/>
      <c r="U483" s="85" t="n"/>
      <c r="V483" s="85" t="n"/>
      <c r="W483" s="85" t="n"/>
      <c r="X483" s="85" t="n"/>
      <c r="Y483" s="85" t="n"/>
      <c r="Z483" s="85" t="n"/>
    </row>
    <row r="484" ht="15.75" customHeight="1" s="86">
      <c r="T484" s="85" t="n"/>
      <c r="U484" s="85" t="n"/>
      <c r="V484" s="85" t="n"/>
      <c r="W484" s="85" t="n"/>
      <c r="X484" s="85" t="n"/>
      <c r="Y484" s="85" t="n"/>
      <c r="Z484" s="85" t="n"/>
    </row>
    <row r="485" ht="15.75" customHeight="1" s="86">
      <c r="T485" s="85" t="n"/>
      <c r="U485" s="85" t="n"/>
      <c r="V485" s="85" t="n"/>
      <c r="W485" s="85" t="n"/>
      <c r="X485" s="85" t="n"/>
      <c r="Y485" s="85" t="n"/>
      <c r="Z485" s="85" t="n"/>
    </row>
    <row r="486" ht="15.75" customHeight="1" s="86">
      <c r="T486" s="85" t="n"/>
      <c r="U486" s="85" t="n"/>
      <c r="V486" s="85" t="n"/>
      <c r="W486" s="85" t="n"/>
      <c r="X486" s="85" t="n"/>
      <c r="Y486" s="85" t="n"/>
      <c r="Z486" s="85" t="n"/>
    </row>
    <row r="487" ht="15.75" customHeight="1" s="86">
      <c r="T487" s="85" t="n"/>
      <c r="U487" s="85" t="n"/>
      <c r="V487" s="85" t="n"/>
      <c r="W487" s="85" t="n"/>
      <c r="X487" s="85" t="n"/>
      <c r="Y487" s="85" t="n"/>
      <c r="Z487" s="85" t="n"/>
    </row>
    <row r="488" ht="15.75" customHeight="1" s="86">
      <c r="T488" s="85" t="n"/>
      <c r="U488" s="85" t="n"/>
      <c r="V488" s="85" t="n"/>
      <c r="W488" s="85" t="n"/>
      <c r="X488" s="85" t="n"/>
      <c r="Y488" s="85" t="n"/>
      <c r="Z488" s="85" t="n"/>
    </row>
    <row r="489" ht="15.75" customHeight="1" s="86">
      <c r="T489" s="85" t="n"/>
      <c r="U489" s="85" t="n"/>
      <c r="V489" s="85" t="n"/>
      <c r="W489" s="85" t="n"/>
      <c r="X489" s="85" t="n"/>
      <c r="Y489" s="85" t="n"/>
      <c r="Z489" s="85" t="n"/>
    </row>
    <row r="490" ht="15.75" customHeight="1" s="86">
      <c r="T490" s="85" t="n"/>
      <c r="U490" s="85" t="n"/>
      <c r="V490" s="85" t="n"/>
      <c r="W490" s="85" t="n"/>
      <c r="X490" s="85" t="n"/>
      <c r="Y490" s="85" t="n"/>
      <c r="Z490" s="85" t="n"/>
    </row>
    <row r="491" ht="15.75" customHeight="1" s="86">
      <c r="T491" s="85" t="n"/>
      <c r="U491" s="85" t="n"/>
      <c r="V491" s="85" t="n"/>
      <c r="W491" s="85" t="n"/>
      <c r="X491" s="85" t="n"/>
      <c r="Y491" s="85" t="n"/>
      <c r="Z491" s="85" t="n"/>
    </row>
    <row r="492" ht="15.75" customHeight="1" s="86">
      <c r="T492" s="85" t="n"/>
      <c r="U492" s="85" t="n"/>
      <c r="V492" s="85" t="n"/>
      <c r="W492" s="85" t="n"/>
      <c r="X492" s="85" t="n"/>
      <c r="Y492" s="85" t="n"/>
      <c r="Z492" s="85" t="n"/>
    </row>
    <row r="493" ht="15.75" customHeight="1" s="86">
      <c r="T493" s="85" t="n"/>
      <c r="U493" s="85" t="n"/>
      <c r="V493" s="85" t="n"/>
      <c r="W493" s="85" t="n"/>
      <c r="X493" s="85" t="n"/>
      <c r="Y493" s="85" t="n"/>
      <c r="Z493" s="85" t="n"/>
    </row>
    <row r="494" ht="15.75" customHeight="1" s="86">
      <c r="T494" s="85" t="n"/>
      <c r="U494" s="85" t="n"/>
      <c r="V494" s="85" t="n"/>
      <c r="W494" s="85" t="n"/>
      <c r="X494" s="85" t="n"/>
      <c r="Y494" s="85" t="n"/>
      <c r="Z494" s="85" t="n"/>
    </row>
    <row r="495" ht="15.75" customHeight="1" s="86">
      <c r="T495" s="85" t="n"/>
      <c r="U495" s="85" t="n"/>
      <c r="V495" s="85" t="n"/>
      <c r="W495" s="85" t="n"/>
      <c r="X495" s="85" t="n"/>
      <c r="Y495" s="85" t="n"/>
      <c r="Z495" s="85" t="n"/>
    </row>
    <row r="496" ht="15.75" customHeight="1" s="86">
      <c r="T496" s="85" t="n"/>
      <c r="U496" s="85" t="n"/>
      <c r="V496" s="85" t="n"/>
      <c r="W496" s="85" t="n"/>
      <c r="X496" s="85" t="n"/>
      <c r="Y496" s="85" t="n"/>
      <c r="Z496" s="85" t="n"/>
    </row>
    <row r="497" ht="15.75" customHeight="1" s="86">
      <c r="T497" s="85" t="n"/>
      <c r="U497" s="85" t="n"/>
      <c r="V497" s="85" t="n"/>
      <c r="W497" s="85" t="n"/>
      <c r="X497" s="85" t="n"/>
      <c r="Y497" s="85" t="n"/>
      <c r="Z497" s="85" t="n"/>
    </row>
    <row r="498" ht="15.75" customHeight="1" s="86">
      <c r="T498" s="85" t="n"/>
      <c r="U498" s="85" t="n"/>
      <c r="V498" s="85" t="n"/>
      <c r="W498" s="85" t="n"/>
      <c r="X498" s="85" t="n"/>
      <c r="Y498" s="85" t="n"/>
      <c r="Z498" s="85" t="n"/>
    </row>
    <row r="499" ht="15.75" customHeight="1" s="86">
      <c r="T499" s="85" t="n"/>
      <c r="U499" s="85" t="n"/>
      <c r="V499" s="85" t="n"/>
      <c r="W499" s="85" t="n"/>
      <c r="X499" s="85" t="n"/>
      <c r="Y499" s="85" t="n"/>
      <c r="Z499" s="85" t="n"/>
    </row>
    <row r="500" ht="15.75" customHeight="1" s="86">
      <c r="T500" s="85" t="n"/>
      <c r="U500" s="85" t="n"/>
      <c r="V500" s="85" t="n"/>
      <c r="W500" s="85" t="n"/>
      <c r="X500" s="85" t="n"/>
      <c r="Y500" s="85" t="n"/>
      <c r="Z500" s="85" t="n"/>
    </row>
    <row r="501" ht="15.75" customHeight="1" s="86">
      <c r="T501" s="85" t="n"/>
      <c r="U501" s="85" t="n"/>
      <c r="V501" s="85" t="n"/>
      <c r="W501" s="85" t="n"/>
      <c r="X501" s="85" t="n"/>
      <c r="Y501" s="85" t="n"/>
      <c r="Z501" s="85" t="n"/>
    </row>
    <row r="502" ht="15.75" customHeight="1" s="86">
      <c r="T502" s="85" t="n"/>
      <c r="U502" s="85" t="n"/>
      <c r="V502" s="85" t="n"/>
      <c r="W502" s="85" t="n"/>
      <c r="X502" s="85" t="n"/>
      <c r="Y502" s="85" t="n"/>
      <c r="Z502" s="85" t="n"/>
    </row>
    <row r="503" ht="15.75" customHeight="1" s="86">
      <c r="T503" s="85" t="n"/>
      <c r="U503" s="85" t="n"/>
      <c r="V503" s="85" t="n"/>
      <c r="W503" s="85" t="n"/>
      <c r="X503" s="85" t="n"/>
      <c r="Y503" s="85" t="n"/>
      <c r="Z503" s="85" t="n"/>
    </row>
    <row r="504" ht="15.75" customHeight="1" s="86">
      <c r="T504" s="85" t="n"/>
      <c r="U504" s="85" t="n"/>
      <c r="V504" s="85" t="n"/>
      <c r="W504" s="85" t="n"/>
      <c r="X504" s="85" t="n"/>
      <c r="Y504" s="85" t="n"/>
      <c r="Z504" s="85" t="n"/>
    </row>
    <row r="505" ht="15.75" customHeight="1" s="86">
      <c r="T505" s="85" t="n"/>
      <c r="U505" s="85" t="n"/>
      <c r="V505" s="85" t="n"/>
      <c r="W505" s="85" t="n"/>
      <c r="X505" s="85" t="n"/>
      <c r="Y505" s="85" t="n"/>
      <c r="Z505" s="85" t="n"/>
    </row>
    <row r="506" ht="15.75" customHeight="1" s="86">
      <c r="T506" s="85" t="n"/>
      <c r="U506" s="85" t="n"/>
      <c r="V506" s="85" t="n"/>
      <c r="W506" s="85" t="n"/>
      <c r="X506" s="85" t="n"/>
      <c r="Y506" s="85" t="n"/>
      <c r="Z506" s="85" t="n"/>
    </row>
    <row r="507" ht="15.75" customHeight="1" s="86">
      <c r="T507" s="85" t="n"/>
      <c r="U507" s="85" t="n"/>
      <c r="V507" s="85" t="n"/>
      <c r="W507" s="85" t="n"/>
      <c r="X507" s="85" t="n"/>
      <c r="Y507" s="85" t="n"/>
      <c r="Z507" s="85" t="n"/>
    </row>
    <row r="508" ht="15.75" customHeight="1" s="86">
      <c r="T508" s="85" t="n"/>
      <c r="U508" s="85" t="n"/>
      <c r="V508" s="85" t="n"/>
      <c r="W508" s="85" t="n"/>
      <c r="X508" s="85" t="n"/>
      <c r="Y508" s="85" t="n"/>
      <c r="Z508" s="85" t="n"/>
    </row>
    <row r="509" ht="15.75" customHeight="1" s="86">
      <c r="T509" s="85" t="n"/>
      <c r="U509" s="85" t="n"/>
      <c r="V509" s="85" t="n"/>
      <c r="W509" s="85" t="n"/>
      <c r="X509" s="85" t="n"/>
      <c r="Y509" s="85" t="n"/>
      <c r="Z509" s="85" t="n"/>
    </row>
    <row r="510" ht="15.75" customHeight="1" s="86">
      <c r="T510" s="85" t="n"/>
      <c r="U510" s="85" t="n"/>
      <c r="V510" s="85" t="n"/>
      <c r="W510" s="85" t="n"/>
      <c r="X510" s="85" t="n"/>
      <c r="Y510" s="85" t="n"/>
      <c r="Z510" s="85" t="n"/>
    </row>
    <row r="511" ht="15.75" customHeight="1" s="86">
      <c r="T511" s="85" t="n"/>
      <c r="U511" s="85" t="n"/>
      <c r="V511" s="85" t="n"/>
      <c r="W511" s="85" t="n"/>
      <c r="X511" s="85" t="n"/>
      <c r="Y511" s="85" t="n"/>
      <c r="Z511" s="85" t="n"/>
    </row>
    <row r="512" ht="15.75" customHeight="1" s="86">
      <c r="T512" s="85" t="n"/>
      <c r="U512" s="85" t="n"/>
      <c r="V512" s="85" t="n"/>
      <c r="W512" s="85" t="n"/>
      <c r="X512" s="85" t="n"/>
      <c r="Y512" s="85" t="n"/>
      <c r="Z512" s="85" t="n"/>
    </row>
    <row r="513" ht="15.75" customHeight="1" s="86">
      <c r="T513" s="85" t="n"/>
      <c r="U513" s="85" t="n"/>
      <c r="V513" s="85" t="n"/>
      <c r="W513" s="85" t="n"/>
      <c r="X513" s="85" t="n"/>
      <c r="Y513" s="85" t="n"/>
      <c r="Z513" s="85" t="n"/>
    </row>
    <row r="514" ht="15.75" customHeight="1" s="86">
      <c r="T514" s="85" t="n"/>
      <c r="U514" s="85" t="n"/>
      <c r="V514" s="85" t="n"/>
      <c r="W514" s="85" t="n"/>
      <c r="X514" s="85" t="n"/>
      <c r="Y514" s="85" t="n"/>
      <c r="Z514" s="85" t="n"/>
    </row>
    <row r="515" ht="15.75" customHeight="1" s="86">
      <c r="T515" s="85" t="n"/>
      <c r="U515" s="85" t="n"/>
      <c r="V515" s="85" t="n"/>
      <c r="W515" s="85" t="n"/>
      <c r="X515" s="85" t="n"/>
      <c r="Y515" s="85" t="n"/>
      <c r="Z515" s="85" t="n"/>
    </row>
    <row r="516" ht="15.75" customHeight="1" s="86">
      <c r="T516" s="85" t="n"/>
      <c r="U516" s="85" t="n"/>
      <c r="V516" s="85" t="n"/>
      <c r="W516" s="85" t="n"/>
      <c r="X516" s="85" t="n"/>
      <c r="Y516" s="85" t="n"/>
      <c r="Z516" s="85" t="n"/>
    </row>
    <row r="517" ht="15.75" customHeight="1" s="86">
      <c r="T517" s="85" t="n"/>
      <c r="U517" s="85" t="n"/>
      <c r="V517" s="85" t="n"/>
      <c r="W517" s="85" t="n"/>
      <c r="X517" s="85" t="n"/>
      <c r="Y517" s="85" t="n"/>
      <c r="Z517" s="85" t="n"/>
    </row>
    <row r="518" ht="15.75" customHeight="1" s="86">
      <c r="T518" s="85" t="n"/>
      <c r="U518" s="85" t="n"/>
      <c r="V518" s="85" t="n"/>
      <c r="W518" s="85" t="n"/>
      <c r="X518" s="85" t="n"/>
      <c r="Y518" s="85" t="n"/>
      <c r="Z518" s="85" t="n"/>
    </row>
    <row r="519" ht="15.75" customHeight="1" s="86">
      <c r="T519" s="85" t="n"/>
      <c r="U519" s="85" t="n"/>
      <c r="V519" s="85" t="n"/>
      <c r="W519" s="85" t="n"/>
      <c r="X519" s="85" t="n"/>
      <c r="Y519" s="85" t="n"/>
      <c r="Z519" s="85" t="n"/>
    </row>
    <row r="520" ht="15.75" customHeight="1" s="86">
      <c r="T520" s="85" t="n"/>
      <c r="U520" s="85" t="n"/>
      <c r="V520" s="85" t="n"/>
      <c r="W520" s="85" t="n"/>
      <c r="X520" s="85" t="n"/>
      <c r="Y520" s="85" t="n"/>
      <c r="Z520" s="85" t="n"/>
    </row>
    <row r="521" ht="15.75" customHeight="1" s="86">
      <c r="T521" s="85" t="n"/>
      <c r="U521" s="85" t="n"/>
      <c r="V521" s="85" t="n"/>
      <c r="W521" s="85" t="n"/>
      <c r="X521" s="85" t="n"/>
      <c r="Y521" s="85" t="n"/>
      <c r="Z521" s="85" t="n"/>
    </row>
    <row r="522" ht="15.75" customHeight="1" s="86">
      <c r="T522" s="85" t="n"/>
      <c r="U522" s="85" t="n"/>
      <c r="V522" s="85" t="n"/>
      <c r="W522" s="85" t="n"/>
      <c r="X522" s="85" t="n"/>
      <c r="Y522" s="85" t="n"/>
      <c r="Z522" s="85" t="n"/>
    </row>
    <row r="523" ht="15.75" customHeight="1" s="86">
      <c r="T523" s="85" t="n"/>
      <c r="U523" s="85" t="n"/>
      <c r="V523" s="85" t="n"/>
      <c r="W523" s="85" t="n"/>
      <c r="X523" s="85" t="n"/>
      <c r="Y523" s="85" t="n"/>
      <c r="Z523" s="85" t="n"/>
    </row>
    <row r="524" ht="15.75" customHeight="1" s="86">
      <c r="T524" s="85" t="n"/>
      <c r="U524" s="85" t="n"/>
      <c r="V524" s="85" t="n"/>
      <c r="W524" s="85" t="n"/>
      <c r="X524" s="85" t="n"/>
      <c r="Y524" s="85" t="n"/>
      <c r="Z524" s="85" t="n"/>
    </row>
    <row r="525" ht="15.75" customHeight="1" s="86">
      <c r="T525" s="85" t="n"/>
      <c r="U525" s="85" t="n"/>
      <c r="V525" s="85" t="n"/>
      <c r="W525" s="85" t="n"/>
      <c r="X525" s="85" t="n"/>
      <c r="Y525" s="85" t="n"/>
      <c r="Z525" s="85" t="n"/>
    </row>
    <row r="526" ht="15.75" customHeight="1" s="86">
      <c r="T526" s="85" t="n"/>
      <c r="U526" s="85" t="n"/>
      <c r="V526" s="85" t="n"/>
      <c r="W526" s="85" t="n"/>
      <c r="X526" s="85" t="n"/>
      <c r="Y526" s="85" t="n"/>
      <c r="Z526" s="85" t="n"/>
    </row>
    <row r="527" ht="15.75" customHeight="1" s="86">
      <c r="T527" s="85" t="n"/>
      <c r="U527" s="85" t="n"/>
      <c r="V527" s="85" t="n"/>
      <c r="W527" s="85" t="n"/>
      <c r="X527" s="85" t="n"/>
      <c r="Y527" s="85" t="n"/>
      <c r="Z527" s="85" t="n"/>
    </row>
    <row r="528" ht="15.75" customHeight="1" s="86">
      <c r="T528" s="85" t="n"/>
      <c r="U528" s="85" t="n"/>
      <c r="V528" s="85" t="n"/>
      <c r="W528" s="85" t="n"/>
      <c r="X528" s="85" t="n"/>
      <c r="Y528" s="85" t="n"/>
      <c r="Z528" s="85" t="n"/>
    </row>
    <row r="529" ht="15.75" customHeight="1" s="86">
      <c r="T529" s="85" t="n"/>
      <c r="U529" s="85" t="n"/>
      <c r="V529" s="85" t="n"/>
      <c r="W529" s="85" t="n"/>
      <c r="X529" s="85" t="n"/>
      <c r="Y529" s="85" t="n"/>
      <c r="Z529" s="85" t="n"/>
    </row>
    <row r="530" ht="15.75" customHeight="1" s="86">
      <c r="T530" s="85" t="n"/>
      <c r="U530" s="85" t="n"/>
      <c r="V530" s="85" t="n"/>
      <c r="W530" s="85" t="n"/>
      <c r="X530" s="85" t="n"/>
      <c r="Y530" s="85" t="n"/>
      <c r="Z530" s="85" t="n"/>
    </row>
    <row r="531" ht="15.75" customHeight="1" s="86">
      <c r="T531" s="85" t="n"/>
      <c r="U531" s="85" t="n"/>
      <c r="V531" s="85" t="n"/>
      <c r="W531" s="85" t="n"/>
      <c r="X531" s="85" t="n"/>
      <c r="Y531" s="85" t="n"/>
      <c r="Z531" s="85" t="n"/>
    </row>
    <row r="532" ht="15.75" customHeight="1" s="86">
      <c r="T532" s="85" t="n"/>
      <c r="U532" s="85" t="n"/>
      <c r="V532" s="85" t="n"/>
      <c r="W532" s="85" t="n"/>
      <c r="X532" s="85" t="n"/>
      <c r="Y532" s="85" t="n"/>
      <c r="Z532" s="85" t="n"/>
    </row>
    <row r="533" ht="15.75" customHeight="1" s="86">
      <c r="T533" s="85" t="n"/>
      <c r="U533" s="85" t="n"/>
      <c r="V533" s="85" t="n"/>
      <c r="W533" s="85" t="n"/>
      <c r="X533" s="85" t="n"/>
      <c r="Y533" s="85" t="n"/>
      <c r="Z533" s="85" t="n"/>
    </row>
    <row r="534" ht="15.75" customHeight="1" s="86">
      <c r="T534" s="85" t="n"/>
      <c r="U534" s="85" t="n"/>
      <c r="V534" s="85" t="n"/>
      <c r="W534" s="85" t="n"/>
      <c r="X534" s="85" t="n"/>
      <c r="Y534" s="85" t="n"/>
      <c r="Z534" s="85" t="n"/>
    </row>
    <row r="535" ht="15.75" customHeight="1" s="86">
      <c r="T535" s="85" t="n"/>
      <c r="U535" s="85" t="n"/>
      <c r="V535" s="85" t="n"/>
      <c r="W535" s="85" t="n"/>
      <c r="X535" s="85" t="n"/>
      <c r="Y535" s="85" t="n"/>
      <c r="Z535" s="85" t="n"/>
    </row>
    <row r="536" ht="15.75" customHeight="1" s="86">
      <c r="T536" s="85" t="n"/>
      <c r="U536" s="85" t="n"/>
      <c r="V536" s="85" t="n"/>
      <c r="W536" s="85" t="n"/>
      <c r="X536" s="85" t="n"/>
      <c r="Y536" s="85" t="n"/>
      <c r="Z536" s="85" t="n"/>
    </row>
    <row r="537" ht="15.75" customHeight="1" s="86">
      <c r="T537" s="85" t="n"/>
      <c r="U537" s="85" t="n"/>
      <c r="V537" s="85" t="n"/>
      <c r="W537" s="85" t="n"/>
      <c r="X537" s="85" t="n"/>
      <c r="Y537" s="85" t="n"/>
      <c r="Z537" s="85" t="n"/>
    </row>
    <row r="538" ht="15.75" customHeight="1" s="86">
      <c r="T538" s="85" t="n"/>
      <c r="U538" s="85" t="n"/>
      <c r="V538" s="85" t="n"/>
      <c r="W538" s="85" t="n"/>
      <c r="X538" s="85" t="n"/>
      <c r="Y538" s="85" t="n"/>
      <c r="Z538" s="85" t="n"/>
    </row>
    <row r="539" ht="15.75" customHeight="1" s="86">
      <c r="T539" s="85" t="n"/>
      <c r="U539" s="85" t="n"/>
      <c r="V539" s="85" t="n"/>
      <c r="W539" s="85" t="n"/>
      <c r="X539" s="85" t="n"/>
      <c r="Y539" s="85" t="n"/>
      <c r="Z539" s="85" t="n"/>
    </row>
    <row r="540" ht="15.75" customHeight="1" s="86">
      <c r="T540" s="85" t="n"/>
      <c r="U540" s="85" t="n"/>
      <c r="V540" s="85" t="n"/>
      <c r="W540" s="85" t="n"/>
      <c r="X540" s="85" t="n"/>
      <c r="Y540" s="85" t="n"/>
      <c r="Z540" s="85" t="n"/>
    </row>
    <row r="541" ht="15.75" customHeight="1" s="86">
      <c r="T541" s="85" t="n"/>
      <c r="U541" s="85" t="n"/>
      <c r="V541" s="85" t="n"/>
      <c r="W541" s="85" t="n"/>
      <c r="X541" s="85" t="n"/>
      <c r="Y541" s="85" t="n"/>
      <c r="Z541" s="85" t="n"/>
    </row>
    <row r="542" ht="15.75" customHeight="1" s="86">
      <c r="T542" s="85" t="n"/>
      <c r="U542" s="85" t="n"/>
      <c r="V542" s="85" t="n"/>
      <c r="W542" s="85" t="n"/>
      <c r="X542" s="85" t="n"/>
      <c r="Y542" s="85" t="n"/>
      <c r="Z542" s="85" t="n"/>
    </row>
    <row r="543" ht="15.75" customHeight="1" s="86">
      <c r="T543" s="85" t="n"/>
      <c r="U543" s="85" t="n"/>
      <c r="V543" s="85" t="n"/>
      <c r="W543" s="85" t="n"/>
      <c r="X543" s="85" t="n"/>
      <c r="Y543" s="85" t="n"/>
      <c r="Z543" s="85" t="n"/>
    </row>
    <row r="544" ht="15.75" customHeight="1" s="86">
      <c r="T544" s="85" t="n"/>
      <c r="U544" s="85" t="n"/>
      <c r="V544" s="85" t="n"/>
      <c r="W544" s="85" t="n"/>
      <c r="X544" s="85" t="n"/>
      <c r="Y544" s="85" t="n"/>
      <c r="Z544" s="85" t="n"/>
    </row>
    <row r="545" ht="15.75" customHeight="1" s="86">
      <c r="T545" s="85" t="n"/>
      <c r="U545" s="85" t="n"/>
      <c r="V545" s="85" t="n"/>
      <c r="W545" s="85" t="n"/>
      <c r="X545" s="85" t="n"/>
      <c r="Y545" s="85" t="n"/>
      <c r="Z545" s="85" t="n"/>
    </row>
    <row r="546" ht="15.75" customHeight="1" s="86">
      <c r="T546" s="85" t="n"/>
      <c r="U546" s="85" t="n"/>
      <c r="V546" s="85" t="n"/>
      <c r="W546" s="85" t="n"/>
      <c r="X546" s="85" t="n"/>
      <c r="Y546" s="85" t="n"/>
      <c r="Z546" s="85" t="n"/>
    </row>
    <row r="547" ht="15.75" customHeight="1" s="86">
      <c r="T547" s="85" t="n"/>
      <c r="U547" s="85" t="n"/>
      <c r="V547" s="85" t="n"/>
      <c r="W547" s="85" t="n"/>
      <c r="X547" s="85" t="n"/>
      <c r="Y547" s="85" t="n"/>
      <c r="Z547" s="85" t="n"/>
    </row>
    <row r="548" ht="15.75" customHeight="1" s="86">
      <c r="T548" s="85" t="n"/>
      <c r="U548" s="85" t="n"/>
      <c r="V548" s="85" t="n"/>
      <c r="W548" s="85" t="n"/>
      <c r="X548" s="85" t="n"/>
      <c r="Y548" s="85" t="n"/>
      <c r="Z548" s="85" t="n"/>
    </row>
    <row r="549" ht="15.75" customHeight="1" s="86">
      <c r="T549" s="85" t="n"/>
      <c r="U549" s="85" t="n"/>
      <c r="V549" s="85" t="n"/>
      <c r="W549" s="85" t="n"/>
      <c r="X549" s="85" t="n"/>
      <c r="Y549" s="85" t="n"/>
      <c r="Z549" s="85" t="n"/>
    </row>
    <row r="550" ht="15.75" customHeight="1" s="86">
      <c r="T550" s="85" t="n"/>
      <c r="U550" s="85" t="n"/>
      <c r="V550" s="85" t="n"/>
      <c r="W550" s="85" t="n"/>
      <c r="X550" s="85" t="n"/>
      <c r="Y550" s="85" t="n"/>
      <c r="Z550" s="85" t="n"/>
    </row>
    <row r="551" ht="15.75" customHeight="1" s="86">
      <c r="T551" s="85" t="n"/>
      <c r="U551" s="85" t="n"/>
      <c r="V551" s="85" t="n"/>
      <c r="W551" s="85" t="n"/>
      <c r="X551" s="85" t="n"/>
      <c r="Y551" s="85" t="n"/>
      <c r="Z551" s="85" t="n"/>
    </row>
    <row r="552" ht="15.75" customHeight="1" s="86">
      <c r="T552" s="85" t="n"/>
      <c r="U552" s="85" t="n"/>
      <c r="V552" s="85" t="n"/>
      <c r="W552" s="85" t="n"/>
      <c r="X552" s="85" t="n"/>
      <c r="Y552" s="85" t="n"/>
      <c r="Z552" s="85" t="n"/>
    </row>
    <row r="553" ht="15.75" customHeight="1" s="86">
      <c r="T553" s="85" t="n"/>
      <c r="U553" s="85" t="n"/>
      <c r="V553" s="85" t="n"/>
      <c r="W553" s="85" t="n"/>
      <c r="X553" s="85" t="n"/>
      <c r="Y553" s="85" t="n"/>
      <c r="Z553" s="85" t="n"/>
    </row>
    <row r="554" ht="15.75" customHeight="1" s="86">
      <c r="T554" s="85" t="n"/>
      <c r="U554" s="85" t="n"/>
      <c r="V554" s="85" t="n"/>
      <c r="W554" s="85" t="n"/>
      <c r="X554" s="85" t="n"/>
      <c r="Y554" s="85" t="n"/>
      <c r="Z554" s="85" t="n"/>
    </row>
    <row r="555" ht="15.75" customHeight="1" s="86">
      <c r="T555" s="85" t="n"/>
      <c r="U555" s="85" t="n"/>
      <c r="V555" s="85" t="n"/>
      <c r="W555" s="85" t="n"/>
      <c r="X555" s="85" t="n"/>
      <c r="Y555" s="85" t="n"/>
      <c r="Z555" s="85" t="n"/>
    </row>
    <row r="556" ht="15.75" customHeight="1" s="86">
      <c r="T556" s="85" t="n"/>
      <c r="U556" s="85" t="n"/>
      <c r="V556" s="85" t="n"/>
      <c r="W556" s="85" t="n"/>
      <c r="X556" s="85" t="n"/>
      <c r="Y556" s="85" t="n"/>
      <c r="Z556" s="85" t="n"/>
    </row>
    <row r="557" ht="15.75" customHeight="1" s="86">
      <c r="T557" s="85" t="n"/>
      <c r="U557" s="85" t="n"/>
      <c r="V557" s="85" t="n"/>
      <c r="W557" s="85" t="n"/>
      <c r="X557" s="85" t="n"/>
      <c r="Y557" s="85" t="n"/>
      <c r="Z557" s="85" t="n"/>
    </row>
    <row r="558" ht="15.75" customHeight="1" s="86">
      <c r="T558" s="85" t="n"/>
      <c r="U558" s="85" t="n"/>
      <c r="V558" s="85" t="n"/>
      <c r="W558" s="85" t="n"/>
      <c r="X558" s="85" t="n"/>
      <c r="Y558" s="85" t="n"/>
      <c r="Z558" s="85" t="n"/>
    </row>
    <row r="559" ht="15.75" customHeight="1" s="86">
      <c r="T559" s="85" t="n"/>
      <c r="U559" s="85" t="n"/>
      <c r="V559" s="85" t="n"/>
      <c r="W559" s="85" t="n"/>
      <c r="X559" s="85" t="n"/>
      <c r="Y559" s="85" t="n"/>
      <c r="Z559" s="85" t="n"/>
    </row>
    <row r="560" ht="15.75" customHeight="1" s="86">
      <c r="T560" s="85" t="n"/>
      <c r="U560" s="85" t="n"/>
      <c r="V560" s="85" t="n"/>
      <c r="W560" s="85" t="n"/>
      <c r="X560" s="85" t="n"/>
      <c r="Y560" s="85" t="n"/>
      <c r="Z560" s="85" t="n"/>
    </row>
    <row r="561" ht="15.75" customHeight="1" s="86">
      <c r="T561" s="85" t="n"/>
      <c r="U561" s="85" t="n"/>
      <c r="V561" s="85" t="n"/>
      <c r="W561" s="85" t="n"/>
      <c r="X561" s="85" t="n"/>
      <c r="Y561" s="85" t="n"/>
      <c r="Z561" s="85" t="n"/>
    </row>
    <row r="562" ht="15.75" customHeight="1" s="86">
      <c r="T562" s="85" t="n"/>
      <c r="U562" s="85" t="n"/>
      <c r="V562" s="85" t="n"/>
      <c r="W562" s="85" t="n"/>
      <c r="X562" s="85" t="n"/>
      <c r="Y562" s="85" t="n"/>
      <c r="Z562" s="85" t="n"/>
    </row>
    <row r="563" ht="15.75" customHeight="1" s="86">
      <c r="T563" s="85" t="n"/>
      <c r="U563" s="85" t="n"/>
      <c r="V563" s="85" t="n"/>
      <c r="W563" s="85" t="n"/>
      <c r="X563" s="85" t="n"/>
      <c r="Y563" s="85" t="n"/>
      <c r="Z563" s="85" t="n"/>
    </row>
    <row r="564" ht="15.75" customHeight="1" s="86">
      <c r="T564" s="85" t="n"/>
      <c r="U564" s="85" t="n"/>
      <c r="V564" s="85" t="n"/>
      <c r="W564" s="85" t="n"/>
      <c r="X564" s="85" t="n"/>
      <c r="Y564" s="85" t="n"/>
      <c r="Z564" s="85" t="n"/>
    </row>
    <row r="565" ht="15.75" customHeight="1" s="86">
      <c r="T565" s="85" t="n"/>
      <c r="U565" s="85" t="n"/>
      <c r="V565" s="85" t="n"/>
      <c r="W565" s="85" t="n"/>
      <c r="X565" s="85" t="n"/>
      <c r="Y565" s="85" t="n"/>
      <c r="Z565" s="85" t="n"/>
    </row>
    <row r="566" ht="15.75" customHeight="1" s="86">
      <c r="T566" s="85" t="n"/>
      <c r="U566" s="85" t="n"/>
      <c r="V566" s="85" t="n"/>
      <c r="W566" s="85" t="n"/>
      <c r="X566" s="85" t="n"/>
      <c r="Y566" s="85" t="n"/>
      <c r="Z566" s="85" t="n"/>
    </row>
    <row r="567" ht="15.75" customHeight="1" s="86">
      <c r="T567" s="85" t="n"/>
      <c r="U567" s="85" t="n"/>
      <c r="V567" s="85" t="n"/>
      <c r="W567" s="85" t="n"/>
      <c r="X567" s="85" t="n"/>
      <c r="Y567" s="85" t="n"/>
      <c r="Z567" s="85" t="n"/>
    </row>
    <row r="568" ht="15.75" customHeight="1" s="86">
      <c r="T568" s="85" t="n"/>
      <c r="U568" s="85" t="n"/>
      <c r="V568" s="85" t="n"/>
      <c r="W568" s="85" t="n"/>
      <c r="X568" s="85" t="n"/>
      <c r="Y568" s="85" t="n"/>
      <c r="Z568" s="85" t="n"/>
    </row>
    <row r="569" ht="15.75" customHeight="1" s="86">
      <c r="T569" s="85" t="n"/>
      <c r="U569" s="85" t="n"/>
      <c r="V569" s="85" t="n"/>
      <c r="W569" s="85" t="n"/>
      <c r="X569" s="85" t="n"/>
      <c r="Y569" s="85" t="n"/>
      <c r="Z569" s="85" t="n"/>
    </row>
    <row r="570" ht="15.75" customHeight="1" s="86">
      <c r="T570" s="85" t="n"/>
      <c r="U570" s="85" t="n"/>
      <c r="V570" s="85" t="n"/>
      <c r="W570" s="85" t="n"/>
      <c r="X570" s="85" t="n"/>
      <c r="Y570" s="85" t="n"/>
      <c r="Z570" s="85" t="n"/>
    </row>
    <row r="571" ht="15.75" customHeight="1" s="86">
      <c r="T571" s="85" t="n"/>
      <c r="U571" s="85" t="n"/>
      <c r="V571" s="85" t="n"/>
      <c r="W571" s="85" t="n"/>
      <c r="X571" s="85" t="n"/>
      <c r="Y571" s="85" t="n"/>
      <c r="Z571" s="85" t="n"/>
    </row>
    <row r="572" ht="15.75" customHeight="1" s="86">
      <c r="T572" s="85" t="n"/>
      <c r="U572" s="85" t="n"/>
      <c r="V572" s="85" t="n"/>
      <c r="W572" s="85" t="n"/>
      <c r="X572" s="85" t="n"/>
      <c r="Y572" s="85" t="n"/>
      <c r="Z572" s="85" t="n"/>
    </row>
    <row r="573" ht="15.75" customHeight="1" s="86">
      <c r="T573" s="85" t="n"/>
      <c r="U573" s="85" t="n"/>
      <c r="V573" s="85" t="n"/>
      <c r="W573" s="85" t="n"/>
      <c r="X573" s="85" t="n"/>
      <c r="Y573" s="85" t="n"/>
      <c r="Z573" s="85" t="n"/>
    </row>
    <row r="574" ht="15.75" customHeight="1" s="86">
      <c r="T574" s="85" t="n"/>
      <c r="U574" s="85" t="n"/>
      <c r="V574" s="85" t="n"/>
      <c r="W574" s="85" t="n"/>
      <c r="X574" s="85" t="n"/>
      <c r="Y574" s="85" t="n"/>
      <c r="Z574" s="85" t="n"/>
    </row>
    <row r="575" ht="15.75" customHeight="1" s="86">
      <c r="T575" s="85" t="n"/>
      <c r="U575" s="85" t="n"/>
      <c r="V575" s="85" t="n"/>
      <c r="W575" s="85" t="n"/>
      <c r="X575" s="85" t="n"/>
      <c r="Y575" s="85" t="n"/>
      <c r="Z575" s="85" t="n"/>
    </row>
    <row r="576" ht="15.75" customHeight="1" s="86">
      <c r="T576" s="85" t="n"/>
      <c r="U576" s="85" t="n"/>
      <c r="V576" s="85" t="n"/>
      <c r="W576" s="85" t="n"/>
      <c r="X576" s="85" t="n"/>
      <c r="Y576" s="85" t="n"/>
      <c r="Z576" s="85" t="n"/>
    </row>
    <row r="577" ht="15.75" customHeight="1" s="86">
      <c r="T577" s="85" t="n"/>
      <c r="U577" s="85" t="n"/>
      <c r="V577" s="85" t="n"/>
      <c r="W577" s="85" t="n"/>
      <c r="X577" s="85" t="n"/>
      <c r="Y577" s="85" t="n"/>
      <c r="Z577" s="85" t="n"/>
    </row>
    <row r="578" ht="15.75" customHeight="1" s="86">
      <c r="T578" s="85" t="n"/>
      <c r="U578" s="85" t="n"/>
      <c r="V578" s="85" t="n"/>
      <c r="W578" s="85" t="n"/>
      <c r="X578" s="85" t="n"/>
      <c r="Y578" s="85" t="n"/>
      <c r="Z578" s="85" t="n"/>
    </row>
    <row r="579" ht="15.75" customHeight="1" s="86">
      <c r="T579" s="85" t="n"/>
      <c r="U579" s="85" t="n"/>
      <c r="V579" s="85" t="n"/>
      <c r="W579" s="85" t="n"/>
      <c r="X579" s="85" t="n"/>
      <c r="Y579" s="85" t="n"/>
      <c r="Z579" s="85" t="n"/>
    </row>
    <row r="580" ht="15.75" customHeight="1" s="86">
      <c r="T580" s="85" t="n"/>
      <c r="U580" s="85" t="n"/>
      <c r="V580" s="85" t="n"/>
      <c r="W580" s="85" t="n"/>
      <c r="X580" s="85" t="n"/>
      <c r="Y580" s="85" t="n"/>
      <c r="Z580" s="85" t="n"/>
    </row>
    <row r="581" ht="15.75" customHeight="1" s="86">
      <c r="T581" s="85" t="n"/>
      <c r="U581" s="85" t="n"/>
      <c r="V581" s="85" t="n"/>
      <c r="W581" s="85" t="n"/>
      <c r="X581" s="85" t="n"/>
      <c r="Y581" s="85" t="n"/>
      <c r="Z581" s="85" t="n"/>
    </row>
    <row r="582" ht="15.75" customHeight="1" s="86">
      <c r="T582" s="85" t="n"/>
      <c r="U582" s="85" t="n"/>
      <c r="V582" s="85" t="n"/>
      <c r="W582" s="85" t="n"/>
      <c r="X582" s="85" t="n"/>
      <c r="Y582" s="85" t="n"/>
      <c r="Z582" s="85" t="n"/>
    </row>
    <row r="583" ht="15.75" customHeight="1" s="86">
      <c r="T583" s="85" t="n"/>
      <c r="U583" s="85" t="n"/>
      <c r="V583" s="85" t="n"/>
      <c r="W583" s="85" t="n"/>
      <c r="X583" s="85" t="n"/>
      <c r="Y583" s="85" t="n"/>
      <c r="Z583" s="85" t="n"/>
    </row>
    <row r="584" ht="15.75" customHeight="1" s="86">
      <c r="T584" s="85" t="n"/>
      <c r="U584" s="85" t="n"/>
      <c r="V584" s="85" t="n"/>
      <c r="W584" s="85" t="n"/>
      <c r="X584" s="85" t="n"/>
      <c r="Y584" s="85" t="n"/>
      <c r="Z584" s="85" t="n"/>
    </row>
    <row r="585" ht="15.75" customHeight="1" s="86">
      <c r="T585" s="85" t="n"/>
      <c r="U585" s="85" t="n"/>
      <c r="V585" s="85" t="n"/>
      <c r="W585" s="85" t="n"/>
      <c r="X585" s="85" t="n"/>
      <c r="Y585" s="85" t="n"/>
      <c r="Z585" s="85" t="n"/>
    </row>
    <row r="586" ht="15.75" customHeight="1" s="86">
      <c r="T586" s="85" t="n"/>
      <c r="U586" s="85" t="n"/>
      <c r="V586" s="85" t="n"/>
      <c r="W586" s="85" t="n"/>
      <c r="X586" s="85" t="n"/>
      <c r="Y586" s="85" t="n"/>
      <c r="Z586" s="85" t="n"/>
    </row>
    <row r="587" ht="15.75" customHeight="1" s="86">
      <c r="T587" s="85" t="n"/>
      <c r="U587" s="85" t="n"/>
      <c r="V587" s="85" t="n"/>
      <c r="W587" s="85" t="n"/>
      <c r="X587" s="85" t="n"/>
      <c r="Y587" s="85" t="n"/>
      <c r="Z587" s="85" t="n"/>
    </row>
    <row r="588" ht="15.75" customHeight="1" s="86">
      <c r="T588" s="85" t="n"/>
      <c r="U588" s="85" t="n"/>
      <c r="V588" s="85" t="n"/>
      <c r="W588" s="85" t="n"/>
      <c r="X588" s="85" t="n"/>
      <c r="Y588" s="85" t="n"/>
      <c r="Z588" s="85" t="n"/>
    </row>
    <row r="589" ht="15.75" customHeight="1" s="86">
      <c r="T589" s="85" t="n"/>
      <c r="U589" s="85" t="n"/>
      <c r="V589" s="85" t="n"/>
      <c r="W589" s="85" t="n"/>
      <c r="X589" s="85" t="n"/>
      <c r="Y589" s="85" t="n"/>
      <c r="Z589" s="85" t="n"/>
    </row>
    <row r="590" ht="15.75" customHeight="1" s="86">
      <c r="T590" s="85" t="n"/>
      <c r="U590" s="85" t="n"/>
      <c r="V590" s="85" t="n"/>
      <c r="W590" s="85" t="n"/>
      <c r="X590" s="85" t="n"/>
      <c r="Y590" s="85" t="n"/>
      <c r="Z590" s="85" t="n"/>
    </row>
    <row r="591" ht="15.75" customHeight="1" s="86">
      <c r="T591" s="85" t="n"/>
      <c r="U591" s="85" t="n"/>
      <c r="V591" s="85" t="n"/>
      <c r="W591" s="85" t="n"/>
      <c r="X591" s="85" t="n"/>
      <c r="Y591" s="85" t="n"/>
      <c r="Z591" s="85" t="n"/>
    </row>
    <row r="592" ht="15.75" customHeight="1" s="86">
      <c r="T592" s="85" t="n"/>
      <c r="U592" s="85" t="n"/>
      <c r="V592" s="85" t="n"/>
      <c r="W592" s="85" t="n"/>
      <c r="X592" s="85" t="n"/>
      <c r="Y592" s="85" t="n"/>
      <c r="Z592" s="85" t="n"/>
    </row>
    <row r="593" ht="15.75" customHeight="1" s="86">
      <c r="T593" s="85" t="n"/>
      <c r="U593" s="85" t="n"/>
      <c r="V593" s="85" t="n"/>
      <c r="W593" s="85" t="n"/>
      <c r="X593" s="85" t="n"/>
      <c r="Y593" s="85" t="n"/>
      <c r="Z593" s="85" t="n"/>
    </row>
    <row r="594" ht="15.75" customHeight="1" s="86">
      <c r="T594" s="85" t="n"/>
      <c r="U594" s="85" t="n"/>
      <c r="V594" s="85" t="n"/>
      <c r="W594" s="85" t="n"/>
      <c r="X594" s="85" t="n"/>
      <c r="Y594" s="85" t="n"/>
      <c r="Z594" s="85" t="n"/>
    </row>
    <row r="595" ht="15.75" customHeight="1" s="86">
      <c r="T595" s="85" t="n"/>
      <c r="U595" s="85" t="n"/>
      <c r="V595" s="85" t="n"/>
      <c r="W595" s="85" t="n"/>
      <c r="X595" s="85" t="n"/>
      <c r="Y595" s="85" t="n"/>
      <c r="Z595" s="85" t="n"/>
    </row>
    <row r="596" ht="15.75" customHeight="1" s="86">
      <c r="T596" s="85" t="n"/>
      <c r="U596" s="85" t="n"/>
      <c r="V596" s="85" t="n"/>
      <c r="W596" s="85" t="n"/>
      <c r="X596" s="85" t="n"/>
      <c r="Y596" s="85" t="n"/>
      <c r="Z596" s="85" t="n"/>
    </row>
    <row r="597" ht="15.75" customHeight="1" s="86">
      <c r="T597" s="85" t="n"/>
      <c r="U597" s="85" t="n"/>
      <c r="V597" s="85" t="n"/>
      <c r="W597" s="85" t="n"/>
      <c r="X597" s="85" t="n"/>
      <c r="Y597" s="85" t="n"/>
      <c r="Z597" s="85" t="n"/>
    </row>
    <row r="598" ht="15.75" customHeight="1" s="86">
      <c r="T598" s="85" t="n"/>
      <c r="U598" s="85" t="n"/>
      <c r="V598" s="85" t="n"/>
      <c r="W598" s="85" t="n"/>
      <c r="X598" s="85" t="n"/>
      <c r="Y598" s="85" t="n"/>
      <c r="Z598" s="85" t="n"/>
    </row>
    <row r="599" ht="15.75" customHeight="1" s="86">
      <c r="T599" s="85" t="n"/>
      <c r="U599" s="85" t="n"/>
      <c r="V599" s="85" t="n"/>
      <c r="W599" s="85" t="n"/>
      <c r="X599" s="85" t="n"/>
      <c r="Y599" s="85" t="n"/>
      <c r="Z599" s="85" t="n"/>
    </row>
    <row r="600" ht="15.75" customHeight="1" s="86">
      <c r="T600" s="85" t="n"/>
      <c r="U600" s="85" t="n"/>
      <c r="V600" s="85" t="n"/>
      <c r="W600" s="85" t="n"/>
      <c r="X600" s="85" t="n"/>
      <c r="Y600" s="85" t="n"/>
      <c r="Z600" s="85" t="n"/>
    </row>
    <row r="601" ht="15.75" customHeight="1" s="86">
      <c r="T601" s="85" t="n"/>
      <c r="U601" s="85" t="n"/>
      <c r="V601" s="85" t="n"/>
      <c r="W601" s="85" t="n"/>
      <c r="X601" s="85" t="n"/>
      <c r="Y601" s="85" t="n"/>
      <c r="Z601" s="85" t="n"/>
    </row>
    <row r="602" ht="15.75" customHeight="1" s="86">
      <c r="T602" s="85" t="n"/>
      <c r="U602" s="85" t="n"/>
      <c r="V602" s="85" t="n"/>
      <c r="W602" s="85" t="n"/>
      <c r="X602" s="85" t="n"/>
      <c r="Y602" s="85" t="n"/>
      <c r="Z602" s="85" t="n"/>
    </row>
    <row r="603" ht="15.75" customHeight="1" s="86">
      <c r="T603" s="85" t="n"/>
      <c r="U603" s="85" t="n"/>
      <c r="V603" s="85" t="n"/>
      <c r="W603" s="85" t="n"/>
      <c r="X603" s="85" t="n"/>
      <c r="Y603" s="85" t="n"/>
      <c r="Z603" s="85" t="n"/>
    </row>
    <row r="604" ht="15.75" customHeight="1" s="86">
      <c r="T604" s="85" t="n"/>
      <c r="U604" s="85" t="n"/>
      <c r="V604" s="85" t="n"/>
      <c r="W604" s="85" t="n"/>
      <c r="X604" s="85" t="n"/>
      <c r="Y604" s="85" t="n"/>
      <c r="Z604" s="85" t="n"/>
    </row>
    <row r="605" ht="15.75" customHeight="1" s="86">
      <c r="T605" s="85" t="n"/>
      <c r="U605" s="85" t="n"/>
      <c r="V605" s="85" t="n"/>
      <c r="W605" s="85" t="n"/>
      <c r="X605" s="85" t="n"/>
      <c r="Y605" s="85" t="n"/>
      <c r="Z605" s="85" t="n"/>
    </row>
    <row r="606" ht="15.75" customHeight="1" s="86">
      <c r="T606" s="85" t="n"/>
      <c r="U606" s="85" t="n"/>
      <c r="V606" s="85" t="n"/>
      <c r="W606" s="85" t="n"/>
      <c r="X606" s="85" t="n"/>
      <c r="Y606" s="85" t="n"/>
      <c r="Z606" s="85" t="n"/>
    </row>
    <row r="607" ht="15.75" customHeight="1" s="86">
      <c r="T607" s="85" t="n"/>
      <c r="U607" s="85" t="n"/>
      <c r="V607" s="85" t="n"/>
      <c r="W607" s="85" t="n"/>
      <c r="X607" s="85" t="n"/>
      <c r="Y607" s="85" t="n"/>
      <c r="Z607" s="85" t="n"/>
    </row>
    <row r="608" ht="15.75" customHeight="1" s="86">
      <c r="T608" s="85" t="n"/>
      <c r="U608" s="85" t="n"/>
      <c r="V608" s="85" t="n"/>
      <c r="W608" s="85" t="n"/>
      <c r="X608" s="85" t="n"/>
      <c r="Y608" s="85" t="n"/>
      <c r="Z608" s="85" t="n"/>
    </row>
    <row r="609" ht="15.75" customHeight="1" s="86">
      <c r="T609" s="85" t="n"/>
      <c r="U609" s="85" t="n"/>
      <c r="V609" s="85" t="n"/>
      <c r="W609" s="85" t="n"/>
      <c r="X609" s="85" t="n"/>
      <c r="Y609" s="85" t="n"/>
      <c r="Z609" s="85" t="n"/>
    </row>
    <row r="610" ht="15.75" customHeight="1" s="86">
      <c r="T610" s="85" t="n"/>
      <c r="U610" s="85" t="n"/>
      <c r="V610" s="85" t="n"/>
      <c r="W610" s="85" t="n"/>
      <c r="X610" s="85" t="n"/>
      <c r="Y610" s="85" t="n"/>
      <c r="Z610" s="85" t="n"/>
    </row>
    <row r="611" ht="15.75" customHeight="1" s="86">
      <c r="T611" s="85" t="n"/>
      <c r="U611" s="85" t="n"/>
      <c r="V611" s="85" t="n"/>
      <c r="W611" s="85" t="n"/>
      <c r="X611" s="85" t="n"/>
      <c r="Y611" s="85" t="n"/>
      <c r="Z611" s="85" t="n"/>
    </row>
    <row r="612" ht="15.75" customHeight="1" s="86">
      <c r="T612" s="85" t="n"/>
      <c r="U612" s="85" t="n"/>
      <c r="V612" s="85" t="n"/>
      <c r="W612" s="85" t="n"/>
      <c r="X612" s="85" t="n"/>
      <c r="Y612" s="85" t="n"/>
      <c r="Z612" s="85" t="n"/>
    </row>
    <row r="613" ht="15.75" customHeight="1" s="86">
      <c r="T613" s="85" t="n"/>
      <c r="U613" s="85" t="n"/>
      <c r="V613" s="85" t="n"/>
      <c r="W613" s="85" t="n"/>
      <c r="X613" s="85" t="n"/>
      <c r="Y613" s="85" t="n"/>
      <c r="Z613" s="85" t="n"/>
    </row>
    <row r="614" ht="15.75" customHeight="1" s="86">
      <c r="T614" s="85" t="n"/>
      <c r="U614" s="85" t="n"/>
      <c r="V614" s="85" t="n"/>
      <c r="W614" s="85" t="n"/>
      <c r="X614" s="85" t="n"/>
      <c r="Y614" s="85" t="n"/>
      <c r="Z614" s="85" t="n"/>
    </row>
    <row r="615" ht="15.75" customHeight="1" s="86">
      <c r="T615" s="85" t="n"/>
      <c r="U615" s="85" t="n"/>
      <c r="V615" s="85" t="n"/>
      <c r="W615" s="85" t="n"/>
      <c r="X615" s="85" t="n"/>
      <c r="Y615" s="85" t="n"/>
      <c r="Z615" s="85" t="n"/>
    </row>
    <row r="616" ht="15.75" customHeight="1" s="86">
      <c r="T616" s="85" t="n"/>
      <c r="U616" s="85" t="n"/>
      <c r="V616" s="85" t="n"/>
      <c r="W616" s="85" t="n"/>
      <c r="X616" s="85" t="n"/>
      <c r="Y616" s="85" t="n"/>
      <c r="Z616" s="85" t="n"/>
    </row>
    <row r="617" ht="15.75" customHeight="1" s="86">
      <c r="T617" s="85" t="n"/>
      <c r="U617" s="85" t="n"/>
      <c r="V617" s="85" t="n"/>
      <c r="W617" s="85" t="n"/>
      <c r="X617" s="85" t="n"/>
      <c r="Y617" s="85" t="n"/>
      <c r="Z617" s="85" t="n"/>
    </row>
    <row r="618" ht="15.75" customHeight="1" s="86">
      <c r="T618" s="85" t="n"/>
      <c r="U618" s="85" t="n"/>
      <c r="V618" s="85" t="n"/>
      <c r="W618" s="85" t="n"/>
      <c r="X618" s="85" t="n"/>
      <c r="Y618" s="85" t="n"/>
      <c r="Z618" s="85" t="n"/>
    </row>
    <row r="619" ht="15.75" customHeight="1" s="86">
      <c r="T619" s="85" t="n"/>
      <c r="U619" s="85" t="n"/>
      <c r="V619" s="85" t="n"/>
      <c r="W619" s="85" t="n"/>
      <c r="X619" s="85" t="n"/>
      <c r="Y619" s="85" t="n"/>
      <c r="Z619" s="85" t="n"/>
    </row>
    <row r="620" ht="15.75" customHeight="1" s="86">
      <c r="T620" s="85" t="n"/>
      <c r="U620" s="85" t="n"/>
      <c r="V620" s="85" t="n"/>
      <c r="W620" s="85" t="n"/>
      <c r="X620" s="85" t="n"/>
      <c r="Y620" s="85" t="n"/>
      <c r="Z620" s="85" t="n"/>
    </row>
    <row r="621" ht="15.75" customHeight="1" s="86">
      <c r="T621" s="85" t="n"/>
      <c r="U621" s="85" t="n"/>
      <c r="V621" s="85" t="n"/>
      <c r="W621" s="85" t="n"/>
      <c r="X621" s="85" t="n"/>
      <c r="Y621" s="85" t="n"/>
      <c r="Z621" s="85" t="n"/>
    </row>
    <row r="622" ht="15.75" customHeight="1" s="86">
      <c r="T622" s="85" t="n"/>
      <c r="U622" s="85" t="n"/>
      <c r="V622" s="85" t="n"/>
      <c r="W622" s="85" t="n"/>
      <c r="X622" s="85" t="n"/>
      <c r="Y622" s="85" t="n"/>
      <c r="Z622" s="85" t="n"/>
    </row>
    <row r="623" ht="15.75" customHeight="1" s="86">
      <c r="T623" s="85" t="n"/>
      <c r="U623" s="85" t="n"/>
      <c r="V623" s="85" t="n"/>
      <c r="W623" s="85" t="n"/>
      <c r="X623" s="85" t="n"/>
      <c r="Y623" s="85" t="n"/>
      <c r="Z623" s="85" t="n"/>
    </row>
    <row r="624" ht="15.75" customHeight="1" s="86">
      <c r="T624" s="85" t="n"/>
      <c r="U624" s="85" t="n"/>
      <c r="V624" s="85" t="n"/>
      <c r="W624" s="85" t="n"/>
      <c r="X624" s="85" t="n"/>
      <c r="Y624" s="85" t="n"/>
      <c r="Z624" s="85" t="n"/>
    </row>
    <row r="625" ht="15.75" customHeight="1" s="86">
      <c r="T625" s="85" t="n"/>
      <c r="U625" s="85" t="n"/>
      <c r="V625" s="85" t="n"/>
      <c r="W625" s="85" t="n"/>
      <c r="X625" s="85" t="n"/>
      <c r="Y625" s="85" t="n"/>
      <c r="Z625" s="85" t="n"/>
    </row>
    <row r="626" ht="15.75" customHeight="1" s="86">
      <c r="T626" s="85" t="n"/>
      <c r="U626" s="85" t="n"/>
      <c r="V626" s="85" t="n"/>
      <c r="W626" s="85" t="n"/>
      <c r="X626" s="85" t="n"/>
      <c r="Y626" s="85" t="n"/>
      <c r="Z626" s="85" t="n"/>
    </row>
    <row r="627" ht="15.75" customHeight="1" s="86">
      <c r="T627" s="85" t="n"/>
      <c r="U627" s="85" t="n"/>
      <c r="V627" s="85" t="n"/>
      <c r="W627" s="85" t="n"/>
      <c r="X627" s="85" t="n"/>
      <c r="Y627" s="85" t="n"/>
      <c r="Z627" s="85" t="n"/>
    </row>
    <row r="628" ht="15.75" customHeight="1" s="86">
      <c r="T628" s="85" t="n"/>
      <c r="U628" s="85" t="n"/>
      <c r="V628" s="85" t="n"/>
      <c r="W628" s="85" t="n"/>
      <c r="X628" s="85" t="n"/>
      <c r="Y628" s="85" t="n"/>
      <c r="Z628" s="85" t="n"/>
    </row>
    <row r="629" ht="15.75" customHeight="1" s="86">
      <c r="T629" s="85" t="n"/>
      <c r="U629" s="85" t="n"/>
      <c r="V629" s="85" t="n"/>
      <c r="W629" s="85" t="n"/>
      <c r="X629" s="85" t="n"/>
      <c r="Y629" s="85" t="n"/>
      <c r="Z629" s="85" t="n"/>
    </row>
    <row r="630" ht="15.75" customHeight="1" s="86">
      <c r="T630" s="85" t="n"/>
      <c r="U630" s="85" t="n"/>
      <c r="V630" s="85" t="n"/>
      <c r="W630" s="85" t="n"/>
      <c r="X630" s="85" t="n"/>
      <c r="Y630" s="85" t="n"/>
      <c r="Z630" s="85" t="n"/>
    </row>
    <row r="631" ht="15.75" customHeight="1" s="86">
      <c r="T631" s="85" t="n"/>
      <c r="U631" s="85" t="n"/>
      <c r="V631" s="85" t="n"/>
      <c r="W631" s="85" t="n"/>
      <c r="X631" s="85" t="n"/>
      <c r="Y631" s="85" t="n"/>
      <c r="Z631" s="85" t="n"/>
    </row>
    <row r="632" ht="15.75" customHeight="1" s="86">
      <c r="T632" s="85" t="n"/>
      <c r="U632" s="85" t="n"/>
      <c r="V632" s="85" t="n"/>
      <c r="W632" s="85" t="n"/>
      <c r="X632" s="85" t="n"/>
      <c r="Y632" s="85" t="n"/>
      <c r="Z632" s="85" t="n"/>
    </row>
    <row r="633" ht="15.75" customHeight="1" s="86">
      <c r="T633" s="85" t="n"/>
      <c r="U633" s="85" t="n"/>
      <c r="V633" s="85" t="n"/>
      <c r="W633" s="85" t="n"/>
      <c r="X633" s="85" t="n"/>
      <c r="Y633" s="85" t="n"/>
      <c r="Z633" s="85" t="n"/>
    </row>
    <row r="634" ht="15.75" customHeight="1" s="86">
      <c r="T634" s="85" t="n"/>
      <c r="U634" s="85" t="n"/>
      <c r="V634" s="85" t="n"/>
      <c r="W634" s="85" t="n"/>
      <c r="X634" s="85" t="n"/>
      <c r="Y634" s="85" t="n"/>
      <c r="Z634" s="85" t="n"/>
    </row>
    <row r="635" ht="15.75" customHeight="1" s="86">
      <c r="T635" s="85" t="n"/>
      <c r="U635" s="85" t="n"/>
      <c r="V635" s="85" t="n"/>
      <c r="W635" s="85" t="n"/>
      <c r="X635" s="85" t="n"/>
      <c r="Y635" s="85" t="n"/>
      <c r="Z635" s="85" t="n"/>
    </row>
    <row r="636" ht="15.75" customHeight="1" s="86">
      <c r="T636" s="85" t="n"/>
      <c r="U636" s="85" t="n"/>
      <c r="V636" s="85" t="n"/>
      <c r="W636" s="85" t="n"/>
      <c r="X636" s="85" t="n"/>
      <c r="Y636" s="85" t="n"/>
      <c r="Z636" s="85" t="n"/>
    </row>
    <row r="637" ht="15.75" customHeight="1" s="86">
      <c r="T637" s="85" t="n"/>
      <c r="U637" s="85" t="n"/>
      <c r="V637" s="85" t="n"/>
      <c r="W637" s="85" t="n"/>
      <c r="X637" s="85" t="n"/>
      <c r="Y637" s="85" t="n"/>
      <c r="Z637" s="85" t="n"/>
    </row>
    <row r="638" ht="15.75" customHeight="1" s="86">
      <c r="T638" s="85" t="n"/>
      <c r="U638" s="85" t="n"/>
      <c r="V638" s="85" t="n"/>
      <c r="W638" s="85" t="n"/>
      <c r="X638" s="85" t="n"/>
      <c r="Y638" s="85" t="n"/>
      <c r="Z638" s="85" t="n"/>
    </row>
    <row r="639" ht="15.75" customHeight="1" s="86">
      <c r="T639" s="85" t="n"/>
      <c r="U639" s="85" t="n"/>
      <c r="V639" s="85" t="n"/>
      <c r="W639" s="85" t="n"/>
      <c r="X639" s="85" t="n"/>
      <c r="Y639" s="85" t="n"/>
      <c r="Z639" s="85" t="n"/>
    </row>
    <row r="640" ht="15.75" customHeight="1" s="86">
      <c r="T640" s="85" t="n"/>
      <c r="U640" s="85" t="n"/>
      <c r="V640" s="85" t="n"/>
      <c r="W640" s="85" t="n"/>
      <c r="X640" s="85" t="n"/>
      <c r="Y640" s="85" t="n"/>
      <c r="Z640" s="85" t="n"/>
    </row>
    <row r="641" ht="15.75" customHeight="1" s="86">
      <c r="T641" s="85" t="n"/>
      <c r="U641" s="85" t="n"/>
      <c r="V641" s="85" t="n"/>
      <c r="W641" s="85" t="n"/>
      <c r="X641" s="85" t="n"/>
      <c r="Y641" s="85" t="n"/>
      <c r="Z641" s="85" t="n"/>
    </row>
    <row r="642" ht="15.75" customHeight="1" s="86">
      <c r="T642" s="85" t="n"/>
      <c r="U642" s="85" t="n"/>
      <c r="V642" s="85" t="n"/>
      <c r="W642" s="85" t="n"/>
      <c r="X642" s="85" t="n"/>
      <c r="Y642" s="85" t="n"/>
      <c r="Z642" s="85" t="n"/>
    </row>
    <row r="643" ht="15.75" customHeight="1" s="86">
      <c r="T643" s="85" t="n"/>
      <c r="U643" s="85" t="n"/>
      <c r="V643" s="85" t="n"/>
      <c r="W643" s="85" t="n"/>
      <c r="X643" s="85" t="n"/>
      <c r="Y643" s="85" t="n"/>
      <c r="Z643" s="85" t="n"/>
    </row>
    <row r="644" ht="15.75" customHeight="1" s="86">
      <c r="T644" s="85" t="n"/>
      <c r="U644" s="85" t="n"/>
      <c r="V644" s="85" t="n"/>
      <c r="W644" s="85" t="n"/>
      <c r="X644" s="85" t="n"/>
      <c r="Y644" s="85" t="n"/>
      <c r="Z644" s="85" t="n"/>
    </row>
    <row r="645" ht="15.75" customHeight="1" s="86">
      <c r="T645" s="85" t="n"/>
      <c r="U645" s="85" t="n"/>
      <c r="V645" s="85" t="n"/>
      <c r="W645" s="85" t="n"/>
      <c r="X645" s="85" t="n"/>
      <c r="Y645" s="85" t="n"/>
      <c r="Z645" s="85" t="n"/>
    </row>
    <row r="646" ht="15.75" customHeight="1" s="86">
      <c r="T646" s="85" t="n"/>
      <c r="U646" s="85" t="n"/>
      <c r="V646" s="85" t="n"/>
      <c r="W646" s="85" t="n"/>
      <c r="X646" s="85" t="n"/>
      <c r="Y646" s="85" t="n"/>
      <c r="Z646" s="85" t="n"/>
    </row>
    <row r="647" ht="15.75" customHeight="1" s="86">
      <c r="T647" s="85" t="n"/>
      <c r="U647" s="85" t="n"/>
      <c r="V647" s="85" t="n"/>
      <c r="W647" s="85" t="n"/>
      <c r="X647" s="85" t="n"/>
      <c r="Y647" s="85" t="n"/>
      <c r="Z647" s="85" t="n"/>
    </row>
    <row r="648" ht="15.75" customHeight="1" s="86">
      <c r="T648" s="85" t="n"/>
      <c r="U648" s="85" t="n"/>
      <c r="V648" s="85" t="n"/>
      <c r="W648" s="85" t="n"/>
      <c r="X648" s="85" t="n"/>
      <c r="Y648" s="85" t="n"/>
      <c r="Z648" s="85" t="n"/>
    </row>
    <row r="649" ht="15.75" customHeight="1" s="86">
      <c r="T649" s="85" t="n"/>
      <c r="U649" s="85" t="n"/>
      <c r="V649" s="85" t="n"/>
      <c r="W649" s="85" t="n"/>
      <c r="X649" s="85" t="n"/>
      <c r="Y649" s="85" t="n"/>
      <c r="Z649" s="85" t="n"/>
    </row>
    <row r="650" ht="15.75" customHeight="1" s="86">
      <c r="T650" s="85" t="n"/>
      <c r="U650" s="85" t="n"/>
      <c r="V650" s="85" t="n"/>
      <c r="W650" s="85" t="n"/>
      <c r="X650" s="85" t="n"/>
      <c r="Y650" s="85" t="n"/>
      <c r="Z650" s="85" t="n"/>
    </row>
    <row r="651" ht="15.75" customHeight="1" s="86">
      <c r="T651" s="85" t="n"/>
      <c r="U651" s="85" t="n"/>
      <c r="V651" s="85" t="n"/>
      <c r="W651" s="85" t="n"/>
      <c r="X651" s="85" t="n"/>
      <c r="Y651" s="85" t="n"/>
      <c r="Z651" s="85" t="n"/>
    </row>
    <row r="652" ht="15.75" customHeight="1" s="86">
      <c r="T652" s="85" t="n"/>
      <c r="U652" s="85" t="n"/>
      <c r="V652" s="85" t="n"/>
      <c r="W652" s="85" t="n"/>
      <c r="X652" s="85" t="n"/>
      <c r="Y652" s="85" t="n"/>
      <c r="Z652" s="85" t="n"/>
    </row>
    <row r="653" ht="15.75" customHeight="1" s="86">
      <c r="T653" s="85" t="n"/>
      <c r="U653" s="85" t="n"/>
      <c r="V653" s="85" t="n"/>
      <c r="W653" s="85" t="n"/>
      <c r="X653" s="85" t="n"/>
      <c r="Y653" s="85" t="n"/>
      <c r="Z653" s="85" t="n"/>
    </row>
    <row r="654" ht="15.75" customHeight="1" s="86">
      <c r="T654" s="85" t="n"/>
      <c r="U654" s="85" t="n"/>
      <c r="V654" s="85" t="n"/>
      <c r="W654" s="85" t="n"/>
      <c r="X654" s="85" t="n"/>
      <c r="Y654" s="85" t="n"/>
      <c r="Z654" s="85" t="n"/>
    </row>
    <row r="655" ht="15.75" customHeight="1" s="86">
      <c r="T655" s="85" t="n"/>
      <c r="U655" s="85" t="n"/>
      <c r="V655" s="85" t="n"/>
      <c r="W655" s="85" t="n"/>
      <c r="X655" s="85" t="n"/>
      <c r="Y655" s="85" t="n"/>
      <c r="Z655" s="85" t="n"/>
    </row>
    <row r="656" ht="15.75" customHeight="1" s="86">
      <c r="T656" s="85" t="n"/>
      <c r="U656" s="85" t="n"/>
      <c r="V656" s="85" t="n"/>
      <c r="W656" s="85" t="n"/>
      <c r="X656" s="85" t="n"/>
      <c r="Y656" s="85" t="n"/>
      <c r="Z656" s="85" t="n"/>
    </row>
    <row r="657" ht="15.75" customHeight="1" s="86">
      <c r="T657" s="85" t="n"/>
      <c r="U657" s="85" t="n"/>
      <c r="V657" s="85" t="n"/>
      <c r="W657" s="85" t="n"/>
      <c r="X657" s="85" t="n"/>
      <c r="Y657" s="85" t="n"/>
      <c r="Z657" s="85" t="n"/>
    </row>
    <row r="658" ht="15.75" customHeight="1" s="86">
      <c r="T658" s="85" t="n"/>
      <c r="U658" s="85" t="n"/>
      <c r="V658" s="85" t="n"/>
      <c r="W658" s="85" t="n"/>
      <c r="X658" s="85" t="n"/>
      <c r="Y658" s="85" t="n"/>
      <c r="Z658" s="85" t="n"/>
    </row>
    <row r="659" ht="15.75" customHeight="1" s="86">
      <c r="T659" s="85" t="n"/>
      <c r="U659" s="85" t="n"/>
      <c r="V659" s="85" t="n"/>
      <c r="W659" s="85" t="n"/>
      <c r="X659" s="85" t="n"/>
      <c r="Y659" s="85" t="n"/>
      <c r="Z659" s="85" t="n"/>
    </row>
    <row r="660" ht="15.75" customHeight="1" s="86">
      <c r="T660" s="85" t="n"/>
      <c r="U660" s="85" t="n"/>
      <c r="V660" s="85" t="n"/>
      <c r="W660" s="85" t="n"/>
      <c r="X660" s="85" t="n"/>
      <c r="Y660" s="85" t="n"/>
      <c r="Z660" s="85" t="n"/>
    </row>
    <row r="661" ht="15.75" customHeight="1" s="86">
      <c r="T661" s="85" t="n"/>
      <c r="U661" s="85" t="n"/>
      <c r="V661" s="85" t="n"/>
      <c r="W661" s="85" t="n"/>
      <c r="X661" s="85" t="n"/>
      <c r="Y661" s="85" t="n"/>
      <c r="Z661" s="85" t="n"/>
    </row>
    <row r="662" ht="15.75" customHeight="1" s="86">
      <c r="T662" s="85" t="n"/>
      <c r="U662" s="85" t="n"/>
      <c r="V662" s="85" t="n"/>
      <c r="W662" s="85" t="n"/>
      <c r="X662" s="85" t="n"/>
      <c r="Y662" s="85" t="n"/>
      <c r="Z662" s="85" t="n"/>
    </row>
    <row r="663" ht="15.75" customHeight="1" s="86">
      <c r="T663" s="85" t="n"/>
      <c r="U663" s="85" t="n"/>
      <c r="V663" s="85" t="n"/>
      <c r="W663" s="85" t="n"/>
      <c r="X663" s="85" t="n"/>
      <c r="Y663" s="85" t="n"/>
      <c r="Z663" s="85" t="n"/>
    </row>
    <row r="664" ht="15.75" customHeight="1" s="86">
      <c r="T664" s="85" t="n"/>
      <c r="U664" s="85" t="n"/>
      <c r="V664" s="85" t="n"/>
      <c r="W664" s="85" t="n"/>
      <c r="X664" s="85" t="n"/>
      <c r="Y664" s="85" t="n"/>
      <c r="Z664" s="85" t="n"/>
    </row>
    <row r="665" ht="15.75" customHeight="1" s="86">
      <c r="T665" s="85" t="n"/>
      <c r="U665" s="85" t="n"/>
      <c r="V665" s="85" t="n"/>
      <c r="W665" s="85" t="n"/>
      <c r="X665" s="85" t="n"/>
      <c r="Y665" s="85" t="n"/>
      <c r="Z665" s="85" t="n"/>
    </row>
    <row r="666" ht="15.75" customHeight="1" s="86">
      <c r="T666" s="85" t="n"/>
      <c r="U666" s="85" t="n"/>
      <c r="V666" s="85" t="n"/>
      <c r="W666" s="85" t="n"/>
      <c r="X666" s="85" t="n"/>
      <c r="Y666" s="85" t="n"/>
      <c r="Z666" s="85" t="n"/>
    </row>
    <row r="667" ht="15.75" customHeight="1" s="86">
      <c r="T667" s="85" t="n"/>
      <c r="U667" s="85" t="n"/>
      <c r="V667" s="85" t="n"/>
      <c r="W667" s="85" t="n"/>
      <c r="X667" s="85" t="n"/>
      <c r="Y667" s="85" t="n"/>
      <c r="Z667" s="85" t="n"/>
    </row>
    <row r="668" ht="15.75" customHeight="1" s="86">
      <c r="T668" s="85" t="n"/>
      <c r="U668" s="85" t="n"/>
      <c r="V668" s="85" t="n"/>
      <c r="W668" s="85" t="n"/>
      <c r="X668" s="85" t="n"/>
      <c r="Y668" s="85" t="n"/>
      <c r="Z668" s="85" t="n"/>
    </row>
    <row r="669" ht="15.75" customHeight="1" s="86">
      <c r="T669" s="85" t="n"/>
      <c r="U669" s="85" t="n"/>
      <c r="V669" s="85" t="n"/>
      <c r="W669" s="85" t="n"/>
      <c r="X669" s="85" t="n"/>
      <c r="Y669" s="85" t="n"/>
      <c r="Z669" s="85" t="n"/>
    </row>
    <row r="670" ht="15.75" customHeight="1" s="86">
      <c r="T670" s="85" t="n"/>
      <c r="U670" s="85" t="n"/>
      <c r="V670" s="85" t="n"/>
      <c r="W670" s="85" t="n"/>
      <c r="X670" s="85" t="n"/>
      <c r="Y670" s="85" t="n"/>
      <c r="Z670" s="85" t="n"/>
    </row>
    <row r="671" ht="15.75" customHeight="1" s="86">
      <c r="T671" s="85" t="n"/>
      <c r="U671" s="85" t="n"/>
      <c r="V671" s="85" t="n"/>
      <c r="W671" s="85" t="n"/>
      <c r="X671" s="85" t="n"/>
      <c r="Y671" s="85" t="n"/>
      <c r="Z671" s="85" t="n"/>
    </row>
    <row r="672" ht="15.75" customHeight="1" s="86">
      <c r="T672" s="85" t="n"/>
      <c r="U672" s="85" t="n"/>
      <c r="V672" s="85" t="n"/>
      <c r="W672" s="85" t="n"/>
      <c r="X672" s="85" t="n"/>
      <c r="Y672" s="85" t="n"/>
      <c r="Z672" s="85" t="n"/>
    </row>
    <row r="673" ht="15.75" customHeight="1" s="86">
      <c r="T673" s="85" t="n"/>
      <c r="U673" s="85" t="n"/>
      <c r="V673" s="85" t="n"/>
      <c r="W673" s="85" t="n"/>
      <c r="X673" s="85" t="n"/>
      <c r="Y673" s="85" t="n"/>
      <c r="Z673" s="85" t="n"/>
    </row>
    <row r="674" ht="15.75" customHeight="1" s="86">
      <c r="T674" s="85" t="n"/>
      <c r="U674" s="85" t="n"/>
      <c r="V674" s="85" t="n"/>
      <c r="W674" s="85" t="n"/>
      <c r="X674" s="85" t="n"/>
      <c r="Y674" s="85" t="n"/>
      <c r="Z674" s="85" t="n"/>
    </row>
    <row r="675" ht="15.75" customHeight="1" s="86">
      <c r="T675" s="85" t="n"/>
      <c r="U675" s="85" t="n"/>
      <c r="V675" s="85" t="n"/>
      <c r="W675" s="85" t="n"/>
      <c r="X675" s="85" t="n"/>
      <c r="Y675" s="85" t="n"/>
      <c r="Z675" s="85" t="n"/>
    </row>
    <row r="676" ht="15.75" customHeight="1" s="86">
      <c r="T676" s="85" t="n"/>
      <c r="U676" s="85" t="n"/>
      <c r="V676" s="85" t="n"/>
      <c r="W676" s="85" t="n"/>
      <c r="X676" s="85" t="n"/>
      <c r="Y676" s="85" t="n"/>
      <c r="Z676" s="85" t="n"/>
    </row>
    <row r="677" ht="15.75" customHeight="1" s="86">
      <c r="T677" s="85" t="n"/>
      <c r="U677" s="85" t="n"/>
      <c r="V677" s="85" t="n"/>
      <c r="W677" s="85" t="n"/>
      <c r="X677" s="85" t="n"/>
      <c r="Y677" s="85" t="n"/>
      <c r="Z677" s="85" t="n"/>
    </row>
    <row r="678" ht="15.75" customHeight="1" s="86">
      <c r="T678" s="85" t="n"/>
      <c r="U678" s="85" t="n"/>
      <c r="V678" s="85" t="n"/>
      <c r="W678" s="85" t="n"/>
      <c r="X678" s="85" t="n"/>
      <c r="Y678" s="85" t="n"/>
      <c r="Z678" s="85" t="n"/>
    </row>
    <row r="679" ht="15.75" customHeight="1" s="86">
      <c r="T679" s="85" t="n"/>
      <c r="U679" s="85" t="n"/>
      <c r="V679" s="85" t="n"/>
      <c r="W679" s="85" t="n"/>
      <c r="X679" s="85" t="n"/>
      <c r="Y679" s="85" t="n"/>
      <c r="Z679" s="85" t="n"/>
    </row>
    <row r="680" ht="15.75" customHeight="1" s="86">
      <c r="T680" s="85" t="n"/>
      <c r="U680" s="85" t="n"/>
      <c r="V680" s="85" t="n"/>
      <c r="W680" s="85" t="n"/>
      <c r="X680" s="85" t="n"/>
      <c r="Y680" s="85" t="n"/>
      <c r="Z680" s="85" t="n"/>
    </row>
    <row r="681" ht="15.75" customHeight="1" s="86">
      <c r="T681" s="85" t="n"/>
      <c r="U681" s="85" t="n"/>
      <c r="V681" s="85" t="n"/>
      <c r="W681" s="85" t="n"/>
      <c r="X681" s="85" t="n"/>
      <c r="Y681" s="85" t="n"/>
      <c r="Z681" s="85" t="n"/>
    </row>
    <row r="682" ht="15.75" customHeight="1" s="86">
      <c r="T682" s="85" t="n"/>
      <c r="U682" s="85" t="n"/>
      <c r="V682" s="85" t="n"/>
      <c r="W682" s="85" t="n"/>
      <c r="X682" s="85" t="n"/>
      <c r="Y682" s="85" t="n"/>
      <c r="Z682" s="85" t="n"/>
    </row>
    <row r="683" ht="15.75" customHeight="1" s="86">
      <c r="T683" s="85" t="n"/>
      <c r="U683" s="85" t="n"/>
      <c r="V683" s="85" t="n"/>
      <c r="W683" s="85" t="n"/>
      <c r="X683" s="85" t="n"/>
      <c r="Y683" s="85" t="n"/>
      <c r="Z683" s="85" t="n"/>
    </row>
    <row r="684" ht="15.75" customHeight="1" s="86">
      <c r="T684" s="85" t="n"/>
      <c r="U684" s="85" t="n"/>
      <c r="V684" s="85" t="n"/>
      <c r="W684" s="85" t="n"/>
      <c r="X684" s="85" t="n"/>
      <c r="Y684" s="85" t="n"/>
      <c r="Z684" s="85" t="n"/>
    </row>
    <row r="685" ht="15.75" customHeight="1" s="86">
      <c r="T685" s="85" t="n"/>
      <c r="U685" s="85" t="n"/>
      <c r="V685" s="85" t="n"/>
      <c r="W685" s="85" t="n"/>
      <c r="X685" s="85" t="n"/>
      <c r="Y685" s="85" t="n"/>
      <c r="Z685" s="85" t="n"/>
    </row>
    <row r="686" ht="15.75" customHeight="1" s="86">
      <c r="T686" s="85" t="n"/>
      <c r="U686" s="85" t="n"/>
      <c r="V686" s="85" t="n"/>
      <c r="W686" s="85" t="n"/>
      <c r="X686" s="85" t="n"/>
      <c r="Y686" s="85" t="n"/>
      <c r="Z686" s="85" t="n"/>
    </row>
    <row r="687" ht="15.75" customHeight="1" s="86">
      <c r="T687" s="85" t="n"/>
      <c r="U687" s="85" t="n"/>
      <c r="V687" s="85" t="n"/>
      <c r="W687" s="85" t="n"/>
      <c r="X687" s="85" t="n"/>
      <c r="Y687" s="85" t="n"/>
      <c r="Z687" s="85" t="n"/>
    </row>
    <row r="688" ht="15.75" customHeight="1" s="86">
      <c r="T688" s="85" t="n"/>
      <c r="U688" s="85" t="n"/>
      <c r="V688" s="85" t="n"/>
      <c r="W688" s="85" t="n"/>
      <c r="X688" s="85" t="n"/>
      <c r="Y688" s="85" t="n"/>
      <c r="Z688" s="85" t="n"/>
    </row>
    <row r="689" ht="15.75" customHeight="1" s="86">
      <c r="T689" s="85" t="n"/>
      <c r="U689" s="85" t="n"/>
      <c r="V689" s="85" t="n"/>
      <c r="W689" s="85" t="n"/>
      <c r="X689" s="85" t="n"/>
      <c r="Y689" s="85" t="n"/>
      <c r="Z689" s="85" t="n"/>
    </row>
    <row r="690" ht="15.75" customHeight="1" s="86">
      <c r="T690" s="85" t="n"/>
      <c r="U690" s="85" t="n"/>
      <c r="V690" s="85" t="n"/>
      <c r="W690" s="85" t="n"/>
      <c r="X690" s="85" t="n"/>
      <c r="Y690" s="85" t="n"/>
      <c r="Z690" s="85" t="n"/>
    </row>
    <row r="691" ht="15.75" customHeight="1" s="86">
      <c r="T691" s="85" t="n"/>
      <c r="U691" s="85" t="n"/>
      <c r="V691" s="85" t="n"/>
      <c r="W691" s="85" t="n"/>
      <c r="X691" s="85" t="n"/>
      <c r="Y691" s="85" t="n"/>
      <c r="Z691" s="85" t="n"/>
    </row>
    <row r="692" ht="15.75" customHeight="1" s="86">
      <c r="T692" s="85" t="n"/>
      <c r="U692" s="85" t="n"/>
      <c r="V692" s="85" t="n"/>
      <c r="W692" s="85" t="n"/>
      <c r="X692" s="85" t="n"/>
      <c r="Y692" s="85" t="n"/>
      <c r="Z692" s="85" t="n"/>
    </row>
    <row r="693" ht="15.75" customHeight="1" s="86">
      <c r="T693" s="85" t="n"/>
      <c r="U693" s="85" t="n"/>
      <c r="V693" s="85" t="n"/>
      <c r="W693" s="85" t="n"/>
      <c r="X693" s="85" t="n"/>
      <c r="Y693" s="85" t="n"/>
      <c r="Z693" s="85" t="n"/>
    </row>
    <row r="694" ht="15.75" customHeight="1" s="86">
      <c r="T694" s="85" t="n"/>
      <c r="U694" s="85" t="n"/>
      <c r="V694" s="85" t="n"/>
      <c r="W694" s="85" t="n"/>
      <c r="X694" s="85" t="n"/>
      <c r="Y694" s="85" t="n"/>
      <c r="Z694" s="85" t="n"/>
    </row>
    <row r="695" ht="15.75" customHeight="1" s="86">
      <c r="T695" s="85" t="n"/>
      <c r="U695" s="85" t="n"/>
      <c r="V695" s="85" t="n"/>
      <c r="W695" s="85" t="n"/>
      <c r="X695" s="85" t="n"/>
      <c r="Y695" s="85" t="n"/>
      <c r="Z695" s="85" t="n"/>
    </row>
    <row r="696" ht="15.75" customHeight="1" s="86">
      <c r="T696" s="85" t="n"/>
      <c r="U696" s="85" t="n"/>
      <c r="V696" s="85" t="n"/>
      <c r="W696" s="85" t="n"/>
      <c r="X696" s="85" t="n"/>
      <c r="Y696" s="85" t="n"/>
      <c r="Z696" s="85" t="n"/>
    </row>
    <row r="697" ht="15.75" customHeight="1" s="86">
      <c r="T697" s="85" t="n"/>
      <c r="U697" s="85" t="n"/>
      <c r="V697" s="85" t="n"/>
      <c r="W697" s="85" t="n"/>
      <c r="X697" s="85" t="n"/>
      <c r="Y697" s="85" t="n"/>
      <c r="Z697" s="85" t="n"/>
    </row>
    <row r="698" ht="15.75" customHeight="1" s="86">
      <c r="T698" s="85" t="n"/>
      <c r="U698" s="85" t="n"/>
      <c r="V698" s="85" t="n"/>
      <c r="W698" s="85" t="n"/>
      <c r="X698" s="85" t="n"/>
      <c r="Y698" s="85" t="n"/>
      <c r="Z698" s="85" t="n"/>
    </row>
    <row r="699" ht="15.75" customHeight="1" s="86">
      <c r="T699" s="85" t="n"/>
      <c r="U699" s="85" t="n"/>
      <c r="V699" s="85" t="n"/>
      <c r="W699" s="85" t="n"/>
      <c r="X699" s="85" t="n"/>
      <c r="Y699" s="85" t="n"/>
      <c r="Z699" s="85" t="n"/>
    </row>
    <row r="700" ht="15.75" customHeight="1" s="86">
      <c r="T700" s="85" t="n"/>
      <c r="U700" s="85" t="n"/>
      <c r="V700" s="85" t="n"/>
      <c r="W700" s="85" t="n"/>
      <c r="X700" s="85" t="n"/>
      <c r="Y700" s="85" t="n"/>
      <c r="Z700" s="85" t="n"/>
    </row>
    <row r="701" ht="15.75" customHeight="1" s="86">
      <c r="T701" s="85" t="n"/>
      <c r="U701" s="85" t="n"/>
      <c r="V701" s="85" t="n"/>
      <c r="W701" s="85" t="n"/>
      <c r="X701" s="85" t="n"/>
      <c r="Y701" s="85" t="n"/>
      <c r="Z701" s="85" t="n"/>
    </row>
    <row r="702" ht="15.75" customHeight="1" s="86">
      <c r="T702" s="85" t="n"/>
      <c r="U702" s="85" t="n"/>
      <c r="V702" s="85" t="n"/>
      <c r="W702" s="85" t="n"/>
      <c r="X702" s="85" t="n"/>
      <c r="Y702" s="85" t="n"/>
      <c r="Z702" s="85" t="n"/>
    </row>
    <row r="703" ht="15.75" customHeight="1" s="86">
      <c r="T703" s="85" t="n"/>
      <c r="U703" s="85" t="n"/>
      <c r="V703" s="85" t="n"/>
      <c r="W703" s="85" t="n"/>
      <c r="X703" s="85" t="n"/>
      <c r="Y703" s="85" t="n"/>
      <c r="Z703" s="85" t="n"/>
    </row>
    <row r="704" ht="15.75" customHeight="1" s="86">
      <c r="T704" s="85" t="n"/>
      <c r="U704" s="85" t="n"/>
      <c r="V704" s="85" t="n"/>
      <c r="W704" s="85" t="n"/>
      <c r="X704" s="85" t="n"/>
      <c r="Y704" s="85" t="n"/>
      <c r="Z704" s="85" t="n"/>
    </row>
    <row r="705" ht="15.75" customHeight="1" s="86">
      <c r="T705" s="85" t="n"/>
      <c r="U705" s="85" t="n"/>
      <c r="V705" s="85" t="n"/>
      <c r="W705" s="85" t="n"/>
      <c r="X705" s="85" t="n"/>
      <c r="Y705" s="85" t="n"/>
      <c r="Z705" s="85" t="n"/>
    </row>
    <row r="706" ht="15.75" customHeight="1" s="86">
      <c r="T706" s="85" t="n"/>
      <c r="U706" s="85" t="n"/>
      <c r="V706" s="85" t="n"/>
      <c r="W706" s="85" t="n"/>
      <c r="X706" s="85" t="n"/>
      <c r="Y706" s="85" t="n"/>
      <c r="Z706" s="85" t="n"/>
    </row>
    <row r="707" ht="15.75" customHeight="1" s="86">
      <c r="T707" s="85" t="n"/>
      <c r="U707" s="85" t="n"/>
      <c r="V707" s="85" t="n"/>
      <c r="W707" s="85" t="n"/>
      <c r="X707" s="85" t="n"/>
      <c r="Y707" s="85" t="n"/>
      <c r="Z707" s="85" t="n"/>
    </row>
    <row r="708" ht="15.75" customHeight="1" s="86">
      <c r="T708" s="85" t="n"/>
      <c r="U708" s="85" t="n"/>
      <c r="V708" s="85" t="n"/>
      <c r="W708" s="85" t="n"/>
      <c r="X708" s="85" t="n"/>
      <c r="Y708" s="85" t="n"/>
      <c r="Z708" s="85" t="n"/>
    </row>
    <row r="709" ht="15.75" customHeight="1" s="86">
      <c r="T709" s="85" t="n"/>
      <c r="U709" s="85" t="n"/>
      <c r="V709" s="85" t="n"/>
      <c r="W709" s="85" t="n"/>
      <c r="X709" s="85" t="n"/>
      <c r="Y709" s="85" t="n"/>
      <c r="Z709" s="85" t="n"/>
    </row>
    <row r="710" ht="15.75" customHeight="1" s="86">
      <c r="T710" s="85" t="n"/>
      <c r="U710" s="85" t="n"/>
      <c r="V710" s="85" t="n"/>
      <c r="W710" s="85" t="n"/>
      <c r="X710" s="85" t="n"/>
      <c r="Y710" s="85" t="n"/>
      <c r="Z710" s="85" t="n"/>
    </row>
    <row r="711" ht="15.75" customHeight="1" s="86">
      <c r="T711" s="85" t="n"/>
      <c r="U711" s="85" t="n"/>
      <c r="V711" s="85" t="n"/>
      <c r="W711" s="85" t="n"/>
      <c r="X711" s="85" t="n"/>
      <c r="Y711" s="85" t="n"/>
      <c r="Z711" s="85" t="n"/>
    </row>
    <row r="712" ht="15.75" customHeight="1" s="86">
      <c r="T712" s="85" t="n"/>
      <c r="U712" s="85" t="n"/>
      <c r="V712" s="85" t="n"/>
      <c r="W712" s="85" t="n"/>
      <c r="X712" s="85" t="n"/>
      <c r="Y712" s="85" t="n"/>
      <c r="Z712" s="85" t="n"/>
    </row>
    <row r="713" ht="15.75" customHeight="1" s="86">
      <c r="T713" s="85" t="n"/>
      <c r="U713" s="85" t="n"/>
      <c r="V713" s="85" t="n"/>
      <c r="W713" s="85" t="n"/>
      <c r="X713" s="85" t="n"/>
      <c r="Y713" s="85" t="n"/>
      <c r="Z713" s="85" t="n"/>
    </row>
    <row r="714" ht="15.75" customHeight="1" s="86">
      <c r="T714" s="85" t="n"/>
      <c r="U714" s="85" t="n"/>
      <c r="V714" s="85" t="n"/>
      <c r="W714" s="85" t="n"/>
      <c r="X714" s="85" t="n"/>
      <c r="Y714" s="85" t="n"/>
      <c r="Z714" s="85" t="n"/>
    </row>
    <row r="715" ht="15.75" customHeight="1" s="86">
      <c r="T715" s="85" t="n"/>
      <c r="U715" s="85" t="n"/>
      <c r="V715" s="85" t="n"/>
      <c r="W715" s="85" t="n"/>
      <c r="X715" s="85" t="n"/>
      <c r="Y715" s="85" t="n"/>
      <c r="Z715" s="85" t="n"/>
    </row>
    <row r="716" ht="15.75" customHeight="1" s="86">
      <c r="T716" s="85" t="n"/>
      <c r="U716" s="85" t="n"/>
      <c r="V716" s="85" t="n"/>
      <c r="W716" s="85" t="n"/>
      <c r="X716" s="85" t="n"/>
      <c r="Y716" s="85" t="n"/>
      <c r="Z716" s="85" t="n"/>
    </row>
    <row r="717" ht="15.75" customHeight="1" s="86">
      <c r="T717" s="85" t="n"/>
      <c r="U717" s="85" t="n"/>
      <c r="V717" s="85" t="n"/>
      <c r="W717" s="85" t="n"/>
      <c r="X717" s="85" t="n"/>
      <c r="Y717" s="85" t="n"/>
      <c r="Z717" s="85" t="n"/>
    </row>
    <row r="718" ht="15.75" customHeight="1" s="86">
      <c r="T718" s="85" t="n"/>
      <c r="U718" s="85" t="n"/>
      <c r="V718" s="85" t="n"/>
      <c r="W718" s="85" t="n"/>
      <c r="X718" s="85" t="n"/>
      <c r="Y718" s="85" t="n"/>
      <c r="Z718" s="85" t="n"/>
    </row>
    <row r="719" ht="15.75" customHeight="1" s="86">
      <c r="T719" s="85" t="n"/>
      <c r="U719" s="85" t="n"/>
      <c r="V719" s="85" t="n"/>
      <c r="W719" s="85" t="n"/>
      <c r="X719" s="85" t="n"/>
      <c r="Y719" s="85" t="n"/>
      <c r="Z719" s="85" t="n"/>
    </row>
    <row r="720" ht="15.75" customHeight="1" s="86">
      <c r="T720" s="85" t="n"/>
      <c r="U720" s="85" t="n"/>
      <c r="V720" s="85" t="n"/>
      <c r="W720" s="85" t="n"/>
      <c r="X720" s="85" t="n"/>
      <c r="Y720" s="85" t="n"/>
      <c r="Z720" s="85" t="n"/>
    </row>
    <row r="721" ht="15.75" customHeight="1" s="86">
      <c r="T721" s="85" t="n"/>
      <c r="U721" s="85" t="n"/>
      <c r="V721" s="85" t="n"/>
      <c r="W721" s="85" t="n"/>
      <c r="X721" s="85" t="n"/>
      <c r="Y721" s="85" t="n"/>
      <c r="Z721" s="85" t="n"/>
    </row>
    <row r="722" ht="15.75" customHeight="1" s="86">
      <c r="T722" s="85" t="n"/>
      <c r="U722" s="85" t="n"/>
      <c r="V722" s="85" t="n"/>
      <c r="W722" s="85" t="n"/>
      <c r="X722" s="85" t="n"/>
      <c r="Y722" s="85" t="n"/>
      <c r="Z722" s="85" t="n"/>
    </row>
    <row r="723" ht="15.75" customHeight="1" s="86">
      <c r="T723" s="85" t="n"/>
      <c r="U723" s="85" t="n"/>
      <c r="V723" s="85" t="n"/>
      <c r="W723" s="85" t="n"/>
      <c r="X723" s="85" t="n"/>
      <c r="Y723" s="85" t="n"/>
      <c r="Z723" s="85" t="n"/>
    </row>
    <row r="724" ht="15.75" customHeight="1" s="86">
      <c r="T724" s="85" t="n"/>
      <c r="U724" s="85" t="n"/>
      <c r="V724" s="85" t="n"/>
      <c r="W724" s="85" t="n"/>
      <c r="X724" s="85" t="n"/>
      <c r="Y724" s="85" t="n"/>
      <c r="Z724" s="85" t="n"/>
    </row>
    <row r="725" ht="15.75" customHeight="1" s="86">
      <c r="T725" s="85" t="n"/>
      <c r="U725" s="85" t="n"/>
      <c r="V725" s="85" t="n"/>
      <c r="W725" s="85" t="n"/>
      <c r="X725" s="85" t="n"/>
      <c r="Y725" s="85" t="n"/>
      <c r="Z725" s="85" t="n"/>
    </row>
    <row r="726" ht="15.75" customHeight="1" s="86">
      <c r="T726" s="85" t="n"/>
      <c r="U726" s="85" t="n"/>
      <c r="V726" s="85" t="n"/>
      <c r="W726" s="85" t="n"/>
      <c r="X726" s="85" t="n"/>
      <c r="Y726" s="85" t="n"/>
      <c r="Z726" s="85" t="n"/>
    </row>
    <row r="727" ht="15.75" customHeight="1" s="86">
      <c r="T727" s="85" t="n"/>
      <c r="U727" s="85" t="n"/>
      <c r="V727" s="85" t="n"/>
      <c r="W727" s="85" t="n"/>
      <c r="X727" s="85" t="n"/>
      <c r="Y727" s="85" t="n"/>
      <c r="Z727" s="85" t="n"/>
    </row>
    <row r="728" ht="15.75" customHeight="1" s="86">
      <c r="T728" s="85" t="n"/>
      <c r="U728" s="85" t="n"/>
      <c r="V728" s="85" t="n"/>
      <c r="W728" s="85" t="n"/>
      <c r="X728" s="85" t="n"/>
      <c r="Y728" s="85" t="n"/>
      <c r="Z728" s="85" t="n"/>
    </row>
    <row r="729" ht="15.75" customHeight="1" s="86">
      <c r="T729" s="85" t="n"/>
      <c r="U729" s="85" t="n"/>
      <c r="V729" s="85" t="n"/>
      <c r="W729" s="85" t="n"/>
      <c r="X729" s="85" t="n"/>
      <c r="Y729" s="85" t="n"/>
      <c r="Z729" s="85" t="n"/>
    </row>
    <row r="730" ht="15.75" customHeight="1" s="86">
      <c r="T730" s="85" t="n"/>
      <c r="U730" s="85" t="n"/>
      <c r="V730" s="85" t="n"/>
      <c r="W730" s="85" t="n"/>
      <c r="X730" s="85" t="n"/>
      <c r="Y730" s="85" t="n"/>
      <c r="Z730" s="85" t="n"/>
    </row>
    <row r="731" ht="15.75" customHeight="1" s="86">
      <c r="T731" s="85" t="n"/>
      <c r="U731" s="85" t="n"/>
      <c r="V731" s="85" t="n"/>
      <c r="W731" s="85" t="n"/>
      <c r="X731" s="85" t="n"/>
      <c r="Y731" s="85" t="n"/>
      <c r="Z731" s="85" t="n"/>
    </row>
    <row r="732" ht="15.75" customHeight="1" s="86">
      <c r="T732" s="85" t="n"/>
      <c r="U732" s="85" t="n"/>
      <c r="V732" s="85" t="n"/>
      <c r="W732" s="85" t="n"/>
      <c r="X732" s="85" t="n"/>
      <c r="Y732" s="85" t="n"/>
      <c r="Z732" s="85" t="n"/>
    </row>
    <row r="733" ht="15.75" customHeight="1" s="86">
      <c r="T733" s="85" t="n"/>
      <c r="U733" s="85" t="n"/>
      <c r="V733" s="85" t="n"/>
      <c r="W733" s="85" t="n"/>
      <c r="X733" s="85" t="n"/>
      <c r="Y733" s="85" t="n"/>
      <c r="Z733" s="85" t="n"/>
    </row>
    <row r="734" ht="15.75" customHeight="1" s="86">
      <c r="T734" s="85" t="n"/>
      <c r="U734" s="85" t="n"/>
      <c r="V734" s="85" t="n"/>
      <c r="W734" s="85" t="n"/>
      <c r="X734" s="85" t="n"/>
      <c r="Y734" s="85" t="n"/>
      <c r="Z734" s="85" t="n"/>
    </row>
    <row r="735" ht="15.75" customHeight="1" s="86">
      <c r="T735" s="85" t="n"/>
      <c r="U735" s="85" t="n"/>
      <c r="V735" s="85" t="n"/>
      <c r="W735" s="85" t="n"/>
      <c r="X735" s="85" t="n"/>
      <c r="Y735" s="85" t="n"/>
      <c r="Z735" s="85" t="n"/>
    </row>
    <row r="736" ht="15.75" customHeight="1" s="86">
      <c r="T736" s="85" t="n"/>
      <c r="U736" s="85" t="n"/>
      <c r="V736" s="85" t="n"/>
      <c r="W736" s="85" t="n"/>
      <c r="X736" s="85" t="n"/>
      <c r="Y736" s="85" t="n"/>
      <c r="Z736" s="85" t="n"/>
    </row>
    <row r="737" ht="15.75" customHeight="1" s="86">
      <c r="T737" s="85" t="n"/>
      <c r="U737" s="85" t="n"/>
      <c r="V737" s="85" t="n"/>
      <c r="W737" s="85" t="n"/>
      <c r="X737" s="85" t="n"/>
      <c r="Y737" s="85" t="n"/>
      <c r="Z737" s="85" t="n"/>
    </row>
    <row r="738" ht="15.75" customHeight="1" s="86">
      <c r="T738" s="85" t="n"/>
      <c r="U738" s="85" t="n"/>
      <c r="V738" s="85" t="n"/>
      <c r="W738" s="85" t="n"/>
      <c r="X738" s="85" t="n"/>
      <c r="Y738" s="85" t="n"/>
      <c r="Z738" s="85" t="n"/>
    </row>
    <row r="739" ht="15.75" customHeight="1" s="86">
      <c r="T739" s="85" t="n"/>
      <c r="U739" s="85" t="n"/>
      <c r="V739" s="85" t="n"/>
      <c r="W739" s="85" t="n"/>
      <c r="X739" s="85" t="n"/>
      <c r="Y739" s="85" t="n"/>
      <c r="Z739" s="85" t="n"/>
    </row>
    <row r="740" ht="15.75" customHeight="1" s="86">
      <c r="T740" s="85" t="n"/>
      <c r="U740" s="85" t="n"/>
      <c r="V740" s="85" t="n"/>
      <c r="W740" s="85" t="n"/>
      <c r="X740" s="85" t="n"/>
      <c r="Y740" s="85" t="n"/>
      <c r="Z740" s="85" t="n"/>
    </row>
    <row r="741" ht="15.75" customHeight="1" s="86">
      <c r="T741" s="85" t="n"/>
      <c r="U741" s="85" t="n"/>
      <c r="V741" s="85" t="n"/>
      <c r="W741" s="85" t="n"/>
      <c r="X741" s="85" t="n"/>
      <c r="Y741" s="85" t="n"/>
      <c r="Z741" s="85" t="n"/>
    </row>
    <row r="742" ht="15.75" customHeight="1" s="86">
      <c r="T742" s="85" t="n"/>
      <c r="U742" s="85" t="n"/>
      <c r="V742" s="85" t="n"/>
      <c r="W742" s="85" t="n"/>
      <c r="X742" s="85" t="n"/>
      <c r="Y742" s="85" t="n"/>
      <c r="Z742" s="85" t="n"/>
    </row>
    <row r="743" ht="15.75" customHeight="1" s="86">
      <c r="T743" s="85" t="n"/>
      <c r="U743" s="85" t="n"/>
      <c r="V743" s="85" t="n"/>
      <c r="W743" s="85" t="n"/>
      <c r="X743" s="85" t="n"/>
      <c r="Y743" s="85" t="n"/>
      <c r="Z743" s="85" t="n"/>
    </row>
    <row r="744" ht="15.75" customHeight="1" s="86">
      <c r="T744" s="85" t="n"/>
      <c r="U744" s="85" t="n"/>
      <c r="V744" s="85" t="n"/>
      <c r="W744" s="85" t="n"/>
      <c r="X744" s="85" t="n"/>
      <c r="Y744" s="85" t="n"/>
      <c r="Z744" s="85" t="n"/>
    </row>
    <row r="745" ht="15.75" customHeight="1" s="86">
      <c r="T745" s="85" t="n"/>
      <c r="U745" s="85" t="n"/>
      <c r="V745" s="85" t="n"/>
      <c r="W745" s="85" t="n"/>
      <c r="X745" s="85" t="n"/>
      <c r="Y745" s="85" t="n"/>
      <c r="Z745" s="85" t="n"/>
    </row>
    <row r="746" ht="15.75" customHeight="1" s="86">
      <c r="T746" s="85" t="n"/>
      <c r="U746" s="85" t="n"/>
      <c r="V746" s="85" t="n"/>
      <c r="W746" s="85" t="n"/>
      <c r="X746" s="85" t="n"/>
      <c r="Y746" s="85" t="n"/>
      <c r="Z746" s="85" t="n"/>
    </row>
    <row r="747" ht="15.75" customHeight="1" s="86">
      <c r="T747" s="85" t="n"/>
      <c r="U747" s="85" t="n"/>
      <c r="V747" s="85" t="n"/>
      <c r="W747" s="85" t="n"/>
      <c r="X747" s="85" t="n"/>
      <c r="Y747" s="85" t="n"/>
      <c r="Z747" s="85" t="n"/>
    </row>
    <row r="748" ht="15.75" customHeight="1" s="86">
      <c r="T748" s="85" t="n"/>
      <c r="U748" s="85" t="n"/>
      <c r="V748" s="85" t="n"/>
      <c r="W748" s="85" t="n"/>
      <c r="X748" s="85" t="n"/>
      <c r="Y748" s="85" t="n"/>
      <c r="Z748" s="85" t="n"/>
    </row>
    <row r="749" ht="15.75" customHeight="1" s="86">
      <c r="T749" s="85" t="n"/>
      <c r="U749" s="85" t="n"/>
      <c r="V749" s="85" t="n"/>
      <c r="W749" s="85" t="n"/>
      <c r="X749" s="85" t="n"/>
      <c r="Y749" s="85" t="n"/>
      <c r="Z749" s="85" t="n"/>
    </row>
    <row r="750" ht="15.75" customHeight="1" s="86">
      <c r="T750" s="85" t="n"/>
      <c r="U750" s="85" t="n"/>
      <c r="V750" s="85" t="n"/>
      <c r="W750" s="85" t="n"/>
      <c r="X750" s="85" t="n"/>
      <c r="Y750" s="85" t="n"/>
      <c r="Z750" s="85" t="n"/>
    </row>
    <row r="751" ht="15.75" customHeight="1" s="86">
      <c r="T751" s="85" t="n"/>
      <c r="U751" s="85" t="n"/>
      <c r="V751" s="85" t="n"/>
      <c r="W751" s="85" t="n"/>
      <c r="X751" s="85" t="n"/>
      <c r="Y751" s="85" t="n"/>
      <c r="Z751" s="85" t="n"/>
    </row>
    <row r="752" ht="15.75" customHeight="1" s="86">
      <c r="T752" s="85" t="n"/>
      <c r="U752" s="85" t="n"/>
      <c r="V752" s="85" t="n"/>
      <c r="W752" s="85" t="n"/>
      <c r="X752" s="85" t="n"/>
      <c r="Y752" s="85" t="n"/>
      <c r="Z752" s="85" t="n"/>
    </row>
    <row r="753" ht="15.75" customHeight="1" s="86">
      <c r="T753" s="85" t="n"/>
      <c r="U753" s="85" t="n"/>
      <c r="V753" s="85" t="n"/>
      <c r="W753" s="85" t="n"/>
      <c r="X753" s="85" t="n"/>
      <c r="Y753" s="85" t="n"/>
      <c r="Z753" s="85" t="n"/>
    </row>
    <row r="754" ht="15.75" customHeight="1" s="86">
      <c r="T754" s="85" t="n"/>
      <c r="U754" s="85" t="n"/>
      <c r="V754" s="85" t="n"/>
      <c r="W754" s="85" t="n"/>
      <c r="X754" s="85" t="n"/>
      <c r="Y754" s="85" t="n"/>
      <c r="Z754" s="85" t="n"/>
    </row>
    <row r="755" ht="15.75" customHeight="1" s="86">
      <c r="T755" s="85" t="n"/>
      <c r="U755" s="85" t="n"/>
      <c r="V755" s="85" t="n"/>
      <c r="W755" s="85" t="n"/>
      <c r="X755" s="85" t="n"/>
      <c r="Y755" s="85" t="n"/>
      <c r="Z755" s="85" t="n"/>
    </row>
    <row r="756" ht="15.75" customHeight="1" s="86">
      <c r="T756" s="85" t="n"/>
      <c r="U756" s="85" t="n"/>
      <c r="V756" s="85" t="n"/>
      <c r="W756" s="85" t="n"/>
      <c r="X756" s="85" t="n"/>
      <c r="Y756" s="85" t="n"/>
      <c r="Z756" s="85" t="n"/>
    </row>
    <row r="757" ht="15.75" customHeight="1" s="86">
      <c r="T757" s="85" t="n"/>
      <c r="U757" s="85" t="n"/>
      <c r="V757" s="85" t="n"/>
      <c r="W757" s="85" t="n"/>
      <c r="X757" s="85" t="n"/>
      <c r="Y757" s="85" t="n"/>
      <c r="Z757" s="85" t="n"/>
    </row>
    <row r="758" ht="15.75" customHeight="1" s="86">
      <c r="T758" s="85" t="n"/>
      <c r="U758" s="85" t="n"/>
      <c r="V758" s="85" t="n"/>
      <c r="W758" s="85" t="n"/>
      <c r="X758" s="85" t="n"/>
      <c r="Y758" s="85" t="n"/>
      <c r="Z758" s="85" t="n"/>
    </row>
    <row r="759" ht="15.75" customHeight="1" s="86">
      <c r="T759" s="85" t="n"/>
      <c r="U759" s="85" t="n"/>
      <c r="V759" s="85" t="n"/>
      <c r="W759" s="85" t="n"/>
      <c r="X759" s="85" t="n"/>
      <c r="Y759" s="85" t="n"/>
      <c r="Z759" s="85" t="n"/>
    </row>
    <row r="760" ht="15.75" customHeight="1" s="86">
      <c r="T760" s="85" t="n"/>
      <c r="U760" s="85" t="n"/>
      <c r="V760" s="85" t="n"/>
      <c r="W760" s="85" t="n"/>
      <c r="X760" s="85" t="n"/>
      <c r="Y760" s="85" t="n"/>
      <c r="Z760" s="85" t="n"/>
    </row>
    <row r="761" ht="15.75" customHeight="1" s="86">
      <c r="T761" s="85" t="n"/>
      <c r="U761" s="85" t="n"/>
      <c r="V761" s="85" t="n"/>
      <c r="W761" s="85" t="n"/>
      <c r="X761" s="85" t="n"/>
      <c r="Y761" s="85" t="n"/>
      <c r="Z761" s="85" t="n"/>
    </row>
    <row r="762" ht="15.75" customHeight="1" s="86">
      <c r="T762" s="85" t="n"/>
      <c r="U762" s="85" t="n"/>
      <c r="V762" s="85" t="n"/>
      <c r="W762" s="85" t="n"/>
      <c r="X762" s="85" t="n"/>
      <c r="Y762" s="85" t="n"/>
      <c r="Z762" s="85" t="n"/>
    </row>
    <row r="763" ht="15.75" customHeight="1" s="86">
      <c r="T763" s="85" t="n"/>
      <c r="U763" s="85" t="n"/>
      <c r="V763" s="85" t="n"/>
      <c r="W763" s="85" t="n"/>
      <c r="X763" s="85" t="n"/>
      <c r="Y763" s="85" t="n"/>
      <c r="Z763" s="85" t="n"/>
    </row>
    <row r="764" ht="15.75" customHeight="1" s="86">
      <c r="T764" s="85" t="n"/>
      <c r="U764" s="85" t="n"/>
      <c r="V764" s="85" t="n"/>
      <c r="W764" s="85" t="n"/>
      <c r="X764" s="85" t="n"/>
      <c r="Y764" s="85" t="n"/>
      <c r="Z764" s="85" t="n"/>
    </row>
    <row r="765" ht="15.75" customHeight="1" s="86">
      <c r="T765" s="85" t="n"/>
      <c r="U765" s="85" t="n"/>
      <c r="V765" s="85" t="n"/>
      <c r="W765" s="85" t="n"/>
      <c r="X765" s="85" t="n"/>
      <c r="Y765" s="85" t="n"/>
      <c r="Z765" s="85" t="n"/>
    </row>
    <row r="766" ht="15.75" customHeight="1" s="86">
      <c r="T766" s="85" t="n"/>
      <c r="U766" s="85" t="n"/>
      <c r="V766" s="85" t="n"/>
      <c r="W766" s="85" t="n"/>
      <c r="X766" s="85" t="n"/>
      <c r="Y766" s="85" t="n"/>
      <c r="Z766" s="85" t="n"/>
    </row>
    <row r="767" ht="15.75" customHeight="1" s="86">
      <c r="T767" s="85" t="n"/>
      <c r="U767" s="85" t="n"/>
      <c r="V767" s="85" t="n"/>
      <c r="W767" s="85" t="n"/>
      <c r="X767" s="85" t="n"/>
      <c r="Y767" s="85" t="n"/>
      <c r="Z767" s="85" t="n"/>
    </row>
    <row r="768" ht="15.75" customHeight="1" s="86">
      <c r="T768" s="85" t="n"/>
      <c r="U768" s="85" t="n"/>
      <c r="V768" s="85" t="n"/>
      <c r="W768" s="85" t="n"/>
      <c r="X768" s="85" t="n"/>
      <c r="Y768" s="85" t="n"/>
      <c r="Z768" s="85" t="n"/>
    </row>
    <row r="769" ht="15.75" customHeight="1" s="86">
      <c r="T769" s="85" t="n"/>
      <c r="U769" s="85" t="n"/>
      <c r="V769" s="85" t="n"/>
      <c r="W769" s="85" t="n"/>
      <c r="X769" s="85" t="n"/>
      <c r="Y769" s="85" t="n"/>
      <c r="Z769" s="85" t="n"/>
    </row>
    <row r="770" ht="15.75" customHeight="1" s="86">
      <c r="T770" s="85" t="n"/>
      <c r="U770" s="85" t="n"/>
      <c r="V770" s="85" t="n"/>
      <c r="W770" s="85" t="n"/>
      <c r="X770" s="85" t="n"/>
      <c r="Y770" s="85" t="n"/>
      <c r="Z770" s="85" t="n"/>
    </row>
    <row r="771" ht="15.75" customHeight="1" s="86">
      <c r="T771" s="85" t="n"/>
      <c r="U771" s="85" t="n"/>
      <c r="V771" s="85" t="n"/>
      <c r="W771" s="85" t="n"/>
      <c r="X771" s="85" t="n"/>
      <c r="Y771" s="85" t="n"/>
      <c r="Z771" s="85" t="n"/>
    </row>
    <row r="772" ht="15.75" customHeight="1" s="86">
      <c r="T772" s="85" t="n"/>
      <c r="U772" s="85" t="n"/>
      <c r="V772" s="85" t="n"/>
      <c r="W772" s="85" t="n"/>
      <c r="X772" s="85" t="n"/>
      <c r="Y772" s="85" t="n"/>
      <c r="Z772" s="85" t="n"/>
    </row>
    <row r="773" ht="15.75" customHeight="1" s="86">
      <c r="T773" s="85" t="n"/>
      <c r="U773" s="85" t="n"/>
      <c r="V773" s="85" t="n"/>
      <c r="W773" s="85" t="n"/>
      <c r="X773" s="85" t="n"/>
      <c r="Y773" s="85" t="n"/>
      <c r="Z773" s="85" t="n"/>
    </row>
    <row r="774" ht="15.75" customHeight="1" s="86">
      <c r="T774" s="85" t="n"/>
      <c r="U774" s="85" t="n"/>
      <c r="V774" s="85" t="n"/>
      <c r="W774" s="85" t="n"/>
      <c r="X774" s="85" t="n"/>
      <c r="Y774" s="85" t="n"/>
      <c r="Z774" s="85" t="n"/>
    </row>
    <row r="775" ht="15.75" customHeight="1" s="86">
      <c r="T775" s="85" t="n"/>
      <c r="U775" s="85" t="n"/>
      <c r="V775" s="85" t="n"/>
      <c r="W775" s="85" t="n"/>
      <c r="X775" s="85" t="n"/>
      <c r="Y775" s="85" t="n"/>
      <c r="Z775" s="85" t="n"/>
    </row>
    <row r="776" ht="15.75" customHeight="1" s="86">
      <c r="T776" s="85" t="n"/>
      <c r="U776" s="85" t="n"/>
      <c r="V776" s="85" t="n"/>
      <c r="W776" s="85" t="n"/>
      <c r="X776" s="85" t="n"/>
      <c r="Y776" s="85" t="n"/>
      <c r="Z776" s="85" t="n"/>
    </row>
    <row r="777" ht="15.75" customHeight="1" s="86">
      <c r="T777" s="85" t="n"/>
      <c r="U777" s="85" t="n"/>
      <c r="V777" s="85" t="n"/>
      <c r="W777" s="85" t="n"/>
      <c r="X777" s="85" t="n"/>
      <c r="Y777" s="85" t="n"/>
      <c r="Z777" s="85" t="n"/>
    </row>
    <row r="778" ht="15.75" customHeight="1" s="86">
      <c r="T778" s="85" t="n"/>
      <c r="U778" s="85" t="n"/>
      <c r="V778" s="85" t="n"/>
      <c r="W778" s="85" t="n"/>
      <c r="X778" s="85" t="n"/>
      <c r="Y778" s="85" t="n"/>
      <c r="Z778" s="85" t="n"/>
    </row>
    <row r="779" ht="15.75" customHeight="1" s="86">
      <c r="T779" s="85" t="n"/>
      <c r="U779" s="85" t="n"/>
      <c r="V779" s="85" t="n"/>
      <c r="W779" s="85" t="n"/>
      <c r="X779" s="85" t="n"/>
      <c r="Y779" s="85" t="n"/>
      <c r="Z779" s="85" t="n"/>
    </row>
    <row r="780" ht="15.75" customHeight="1" s="86">
      <c r="T780" s="85" t="n"/>
      <c r="U780" s="85" t="n"/>
      <c r="V780" s="85" t="n"/>
      <c r="W780" s="85" t="n"/>
      <c r="X780" s="85" t="n"/>
      <c r="Y780" s="85" t="n"/>
      <c r="Z780" s="85" t="n"/>
    </row>
    <row r="781" ht="15.75" customHeight="1" s="86">
      <c r="T781" s="85" t="n"/>
      <c r="U781" s="85" t="n"/>
      <c r="V781" s="85" t="n"/>
      <c r="W781" s="85" t="n"/>
      <c r="X781" s="85" t="n"/>
      <c r="Y781" s="85" t="n"/>
      <c r="Z781" s="85" t="n"/>
    </row>
    <row r="782" ht="15.75" customHeight="1" s="86">
      <c r="T782" s="85" t="n"/>
      <c r="U782" s="85" t="n"/>
      <c r="V782" s="85" t="n"/>
      <c r="W782" s="85" t="n"/>
      <c r="X782" s="85" t="n"/>
      <c r="Y782" s="85" t="n"/>
      <c r="Z782" s="85" t="n"/>
    </row>
    <row r="783" ht="15.75" customHeight="1" s="86">
      <c r="T783" s="85" t="n"/>
      <c r="U783" s="85" t="n"/>
      <c r="V783" s="85" t="n"/>
      <c r="W783" s="85" t="n"/>
      <c r="X783" s="85" t="n"/>
      <c r="Y783" s="85" t="n"/>
      <c r="Z783" s="85" t="n"/>
    </row>
    <row r="784" ht="15.75" customHeight="1" s="86">
      <c r="T784" s="85" t="n"/>
      <c r="U784" s="85" t="n"/>
      <c r="V784" s="85" t="n"/>
      <c r="W784" s="85" t="n"/>
      <c r="X784" s="85" t="n"/>
      <c r="Y784" s="85" t="n"/>
      <c r="Z784" s="85" t="n"/>
    </row>
    <row r="785" ht="15.75" customHeight="1" s="86">
      <c r="T785" s="85" t="n"/>
      <c r="U785" s="85" t="n"/>
      <c r="V785" s="85" t="n"/>
      <c r="W785" s="85" t="n"/>
      <c r="X785" s="85" t="n"/>
      <c r="Y785" s="85" t="n"/>
      <c r="Z785" s="85" t="n"/>
    </row>
    <row r="786" ht="15.75" customHeight="1" s="86">
      <c r="T786" s="85" t="n"/>
      <c r="U786" s="85" t="n"/>
      <c r="V786" s="85" t="n"/>
      <c r="W786" s="85" t="n"/>
      <c r="X786" s="85" t="n"/>
      <c r="Y786" s="85" t="n"/>
      <c r="Z786" s="85" t="n"/>
    </row>
    <row r="787" ht="15.75" customHeight="1" s="86">
      <c r="T787" s="85" t="n"/>
      <c r="U787" s="85" t="n"/>
      <c r="V787" s="85" t="n"/>
      <c r="W787" s="85" t="n"/>
      <c r="X787" s="85" t="n"/>
      <c r="Y787" s="85" t="n"/>
      <c r="Z787" s="85" t="n"/>
    </row>
    <row r="788" ht="15.75" customHeight="1" s="86">
      <c r="T788" s="85" t="n"/>
      <c r="U788" s="85" t="n"/>
      <c r="V788" s="85" t="n"/>
      <c r="W788" s="85" t="n"/>
      <c r="X788" s="85" t="n"/>
      <c r="Y788" s="85" t="n"/>
      <c r="Z788" s="85" t="n"/>
    </row>
    <row r="789" ht="15.75" customHeight="1" s="86">
      <c r="T789" s="85" t="n"/>
      <c r="U789" s="85" t="n"/>
      <c r="V789" s="85" t="n"/>
      <c r="W789" s="85" t="n"/>
      <c r="X789" s="85" t="n"/>
      <c r="Y789" s="85" t="n"/>
      <c r="Z789" s="85" t="n"/>
    </row>
    <row r="790" ht="15.75" customHeight="1" s="86">
      <c r="T790" s="85" t="n"/>
      <c r="U790" s="85" t="n"/>
      <c r="V790" s="85" t="n"/>
      <c r="W790" s="85" t="n"/>
      <c r="X790" s="85" t="n"/>
      <c r="Y790" s="85" t="n"/>
      <c r="Z790" s="85" t="n"/>
    </row>
    <row r="791" ht="15.75" customHeight="1" s="86">
      <c r="T791" s="85" t="n"/>
      <c r="U791" s="85" t="n"/>
      <c r="V791" s="85" t="n"/>
      <c r="W791" s="85" t="n"/>
      <c r="X791" s="85" t="n"/>
      <c r="Y791" s="85" t="n"/>
      <c r="Z791" s="85" t="n"/>
    </row>
    <row r="792" ht="15.75" customHeight="1" s="86">
      <c r="T792" s="85" t="n"/>
      <c r="U792" s="85" t="n"/>
      <c r="V792" s="85" t="n"/>
      <c r="W792" s="85" t="n"/>
      <c r="X792" s="85" t="n"/>
      <c r="Y792" s="85" t="n"/>
      <c r="Z792" s="85" t="n"/>
    </row>
    <row r="793" ht="15.75" customHeight="1" s="86">
      <c r="T793" s="85" t="n"/>
      <c r="U793" s="85" t="n"/>
      <c r="V793" s="85" t="n"/>
      <c r="W793" s="85" t="n"/>
      <c r="X793" s="85" t="n"/>
      <c r="Y793" s="85" t="n"/>
      <c r="Z793" s="85" t="n"/>
    </row>
    <row r="794" ht="15.75" customHeight="1" s="86">
      <c r="T794" s="85" t="n"/>
      <c r="U794" s="85" t="n"/>
      <c r="V794" s="85" t="n"/>
      <c r="W794" s="85" t="n"/>
      <c r="X794" s="85" t="n"/>
      <c r="Y794" s="85" t="n"/>
      <c r="Z794" s="85" t="n"/>
    </row>
    <row r="795" ht="15.75" customHeight="1" s="86">
      <c r="T795" s="85" t="n"/>
      <c r="U795" s="85" t="n"/>
      <c r="V795" s="85" t="n"/>
      <c r="W795" s="85" t="n"/>
      <c r="X795" s="85" t="n"/>
      <c r="Y795" s="85" t="n"/>
      <c r="Z795" s="85" t="n"/>
    </row>
    <row r="796" ht="15.75" customHeight="1" s="86">
      <c r="T796" s="85" t="n"/>
      <c r="U796" s="85" t="n"/>
      <c r="V796" s="85" t="n"/>
      <c r="W796" s="85" t="n"/>
      <c r="X796" s="85" t="n"/>
      <c r="Y796" s="85" t="n"/>
      <c r="Z796" s="85" t="n"/>
    </row>
    <row r="797" ht="15.75" customHeight="1" s="86">
      <c r="T797" s="85" t="n"/>
      <c r="U797" s="85" t="n"/>
      <c r="V797" s="85" t="n"/>
      <c r="W797" s="85" t="n"/>
      <c r="X797" s="85" t="n"/>
      <c r="Y797" s="85" t="n"/>
      <c r="Z797" s="85" t="n"/>
    </row>
    <row r="798" ht="15.75" customHeight="1" s="86">
      <c r="T798" s="85" t="n"/>
      <c r="U798" s="85" t="n"/>
      <c r="V798" s="85" t="n"/>
      <c r="W798" s="85" t="n"/>
      <c r="X798" s="85" t="n"/>
      <c r="Y798" s="85" t="n"/>
      <c r="Z798" s="85" t="n"/>
    </row>
    <row r="799" ht="15.75" customHeight="1" s="86">
      <c r="T799" s="85" t="n"/>
      <c r="U799" s="85" t="n"/>
      <c r="V799" s="85" t="n"/>
      <c r="W799" s="85" t="n"/>
      <c r="X799" s="85" t="n"/>
      <c r="Y799" s="85" t="n"/>
      <c r="Z799" s="85" t="n"/>
    </row>
    <row r="800" ht="15.75" customHeight="1" s="86">
      <c r="T800" s="85" t="n"/>
      <c r="U800" s="85" t="n"/>
      <c r="V800" s="85" t="n"/>
      <c r="W800" s="85" t="n"/>
      <c r="X800" s="85" t="n"/>
      <c r="Y800" s="85" t="n"/>
      <c r="Z800" s="85" t="n"/>
    </row>
    <row r="801" ht="15.75" customHeight="1" s="86">
      <c r="T801" s="85" t="n"/>
      <c r="U801" s="85" t="n"/>
      <c r="V801" s="85" t="n"/>
      <c r="W801" s="85" t="n"/>
      <c r="X801" s="85" t="n"/>
      <c r="Y801" s="85" t="n"/>
      <c r="Z801" s="85" t="n"/>
    </row>
    <row r="802" ht="15.75" customHeight="1" s="86">
      <c r="T802" s="85" t="n"/>
      <c r="U802" s="85" t="n"/>
      <c r="V802" s="85" t="n"/>
      <c r="W802" s="85" t="n"/>
      <c r="X802" s="85" t="n"/>
      <c r="Y802" s="85" t="n"/>
      <c r="Z802" s="85" t="n"/>
    </row>
    <row r="803" ht="15.75" customHeight="1" s="86">
      <c r="T803" s="85" t="n"/>
      <c r="U803" s="85" t="n"/>
      <c r="V803" s="85" t="n"/>
      <c r="W803" s="85" t="n"/>
      <c r="X803" s="85" t="n"/>
      <c r="Y803" s="85" t="n"/>
      <c r="Z803" s="85" t="n"/>
    </row>
    <row r="804" ht="15.75" customHeight="1" s="86">
      <c r="T804" s="85" t="n"/>
      <c r="U804" s="85" t="n"/>
      <c r="V804" s="85" t="n"/>
      <c r="W804" s="85" t="n"/>
      <c r="X804" s="85" t="n"/>
      <c r="Y804" s="85" t="n"/>
      <c r="Z804" s="85" t="n"/>
    </row>
    <row r="805" ht="15.75" customHeight="1" s="86">
      <c r="T805" s="85" t="n"/>
      <c r="U805" s="85" t="n"/>
      <c r="V805" s="85" t="n"/>
      <c r="W805" s="85" t="n"/>
      <c r="X805" s="85" t="n"/>
      <c r="Y805" s="85" t="n"/>
      <c r="Z805" s="85" t="n"/>
    </row>
    <row r="806" ht="15.75" customHeight="1" s="86">
      <c r="T806" s="85" t="n"/>
      <c r="U806" s="85" t="n"/>
      <c r="V806" s="85" t="n"/>
      <c r="W806" s="85" t="n"/>
      <c r="X806" s="85" t="n"/>
      <c r="Y806" s="85" t="n"/>
      <c r="Z806" s="85" t="n"/>
    </row>
    <row r="807" ht="15.75" customHeight="1" s="86">
      <c r="T807" s="85" t="n"/>
      <c r="U807" s="85" t="n"/>
      <c r="V807" s="85" t="n"/>
      <c r="W807" s="85" t="n"/>
      <c r="X807" s="85" t="n"/>
      <c r="Y807" s="85" t="n"/>
      <c r="Z807" s="85" t="n"/>
    </row>
    <row r="808" ht="15.75" customHeight="1" s="86">
      <c r="T808" s="85" t="n"/>
      <c r="U808" s="85" t="n"/>
      <c r="V808" s="85" t="n"/>
      <c r="W808" s="85" t="n"/>
      <c r="X808" s="85" t="n"/>
      <c r="Y808" s="85" t="n"/>
      <c r="Z808" s="85" t="n"/>
    </row>
    <row r="809" ht="15.75" customHeight="1" s="86">
      <c r="T809" s="85" t="n"/>
      <c r="U809" s="85" t="n"/>
      <c r="V809" s="85" t="n"/>
      <c r="W809" s="85" t="n"/>
      <c r="X809" s="85" t="n"/>
      <c r="Y809" s="85" t="n"/>
      <c r="Z809" s="85" t="n"/>
    </row>
    <row r="810" ht="15.75" customHeight="1" s="86">
      <c r="T810" s="85" t="n"/>
      <c r="U810" s="85" t="n"/>
      <c r="V810" s="85" t="n"/>
      <c r="W810" s="85" t="n"/>
      <c r="X810" s="85" t="n"/>
      <c r="Y810" s="85" t="n"/>
      <c r="Z810" s="85" t="n"/>
    </row>
    <row r="811" ht="15.75" customHeight="1" s="86">
      <c r="T811" s="85" t="n"/>
      <c r="U811" s="85" t="n"/>
      <c r="V811" s="85" t="n"/>
      <c r="W811" s="85" t="n"/>
      <c r="X811" s="85" t="n"/>
      <c r="Y811" s="85" t="n"/>
      <c r="Z811" s="85" t="n"/>
    </row>
    <row r="812" ht="15.75" customHeight="1" s="86">
      <c r="T812" s="85" t="n"/>
      <c r="U812" s="85" t="n"/>
      <c r="V812" s="85" t="n"/>
      <c r="W812" s="85" t="n"/>
      <c r="X812" s="85" t="n"/>
      <c r="Y812" s="85" t="n"/>
      <c r="Z812" s="85" t="n"/>
    </row>
    <row r="813" ht="15.75" customHeight="1" s="86">
      <c r="T813" s="85" t="n"/>
      <c r="U813" s="85" t="n"/>
      <c r="V813" s="85" t="n"/>
      <c r="W813" s="85" t="n"/>
      <c r="X813" s="85" t="n"/>
      <c r="Y813" s="85" t="n"/>
      <c r="Z813" s="85" t="n"/>
    </row>
    <row r="814" ht="15.75" customHeight="1" s="86">
      <c r="T814" s="85" t="n"/>
      <c r="U814" s="85" t="n"/>
      <c r="V814" s="85" t="n"/>
      <c r="W814" s="85" t="n"/>
      <c r="X814" s="85" t="n"/>
      <c r="Y814" s="85" t="n"/>
      <c r="Z814" s="85" t="n"/>
    </row>
    <row r="815" ht="15.75" customHeight="1" s="86">
      <c r="T815" s="85" t="n"/>
      <c r="U815" s="85" t="n"/>
      <c r="V815" s="85" t="n"/>
      <c r="W815" s="85" t="n"/>
      <c r="X815" s="85" t="n"/>
      <c r="Y815" s="85" t="n"/>
      <c r="Z815" s="85" t="n"/>
    </row>
    <row r="816" ht="15.75" customHeight="1" s="86">
      <c r="T816" s="85" t="n"/>
      <c r="U816" s="85" t="n"/>
      <c r="V816" s="85" t="n"/>
      <c r="W816" s="85" t="n"/>
      <c r="X816" s="85" t="n"/>
      <c r="Y816" s="85" t="n"/>
      <c r="Z816" s="85" t="n"/>
    </row>
    <row r="817" ht="15.75" customHeight="1" s="86">
      <c r="T817" s="85" t="n"/>
      <c r="U817" s="85" t="n"/>
      <c r="V817" s="85" t="n"/>
      <c r="W817" s="85" t="n"/>
      <c r="X817" s="85" t="n"/>
      <c r="Y817" s="85" t="n"/>
      <c r="Z817" s="85" t="n"/>
    </row>
    <row r="818" ht="15.75" customHeight="1" s="86">
      <c r="T818" s="85" t="n"/>
      <c r="U818" s="85" t="n"/>
      <c r="V818" s="85" t="n"/>
      <c r="W818" s="85" t="n"/>
      <c r="X818" s="85" t="n"/>
      <c r="Y818" s="85" t="n"/>
      <c r="Z818" s="85" t="n"/>
    </row>
    <row r="819" ht="15.75" customHeight="1" s="86">
      <c r="T819" s="85" t="n"/>
      <c r="U819" s="85" t="n"/>
      <c r="V819" s="85" t="n"/>
      <c r="W819" s="85" t="n"/>
      <c r="X819" s="85" t="n"/>
      <c r="Y819" s="85" t="n"/>
      <c r="Z819" s="85" t="n"/>
    </row>
    <row r="820" ht="15.75" customHeight="1" s="86">
      <c r="T820" s="85" t="n"/>
      <c r="U820" s="85" t="n"/>
      <c r="V820" s="85" t="n"/>
      <c r="W820" s="85" t="n"/>
      <c r="X820" s="85" t="n"/>
      <c r="Y820" s="85" t="n"/>
      <c r="Z820" s="85" t="n"/>
    </row>
    <row r="821" ht="15.75" customHeight="1" s="86">
      <c r="T821" s="85" t="n"/>
      <c r="U821" s="85" t="n"/>
      <c r="V821" s="85" t="n"/>
      <c r="W821" s="85" t="n"/>
      <c r="X821" s="85" t="n"/>
      <c r="Y821" s="85" t="n"/>
      <c r="Z821" s="85" t="n"/>
    </row>
    <row r="822" ht="15.75" customHeight="1" s="86">
      <c r="T822" s="85" t="n"/>
      <c r="U822" s="85" t="n"/>
      <c r="V822" s="85" t="n"/>
      <c r="W822" s="85" t="n"/>
      <c r="X822" s="85" t="n"/>
      <c r="Y822" s="85" t="n"/>
      <c r="Z822" s="85" t="n"/>
    </row>
    <row r="823" ht="15.75" customHeight="1" s="86">
      <c r="T823" s="85" t="n"/>
      <c r="U823" s="85" t="n"/>
      <c r="V823" s="85" t="n"/>
      <c r="W823" s="85" t="n"/>
      <c r="X823" s="85" t="n"/>
      <c r="Y823" s="85" t="n"/>
      <c r="Z823" s="85" t="n"/>
    </row>
    <row r="824" ht="15.75" customHeight="1" s="86">
      <c r="T824" s="85" t="n"/>
      <c r="U824" s="85" t="n"/>
      <c r="V824" s="85" t="n"/>
      <c r="W824" s="85" t="n"/>
      <c r="X824" s="85" t="n"/>
      <c r="Y824" s="85" t="n"/>
      <c r="Z824" s="85" t="n"/>
    </row>
    <row r="825" ht="15.75" customHeight="1" s="86">
      <c r="T825" s="85" t="n"/>
      <c r="U825" s="85" t="n"/>
      <c r="V825" s="85" t="n"/>
      <c r="W825" s="85" t="n"/>
      <c r="X825" s="85" t="n"/>
      <c r="Y825" s="85" t="n"/>
      <c r="Z825" s="85" t="n"/>
    </row>
    <row r="826" ht="15.75" customHeight="1" s="86">
      <c r="T826" s="85" t="n"/>
      <c r="U826" s="85" t="n"/>
      <c r="V826" s="85" t="n"/>
      <c r="W826" s="85" t="n"/>
      <c r="X826" s="85" t="n"/>
      <c r="Y826" s="85" t="n"/>
      <c r="Z826" s="85" t="n"/>
    </row>
    <row r="827" ht="15.75" customHeight="1" s="86">
      <c r="T827" s="85" t="n"/>
      <c r="U827" s="85" t="n"/>
      <c r="V827" s="85" t="n"/>
      <c r="W827" s="85" t="n"/>
      <c r="X827" s="85" t="n"/>
      <c r="Y827" s="85" t="n"/>
      <c r="Z827" s="85" t="n"/>
    </row>
    <row r="828" ht="15.75" customHeight="1" s="86">
      <c r="T828" s="85" t="n"/>
      <c r="U828" s="85" t="n"/>
      <c r="V828" s="85" t="n"/>
      <c r="W828" s="85" t="n"/>
      <c r="X828" s="85" t="n"/>
      <c r="Y828" s="85" t="n"/>
      <c r="Z828" s="85" t="n"/>
    </row>
    <row r="829" ht="15.75" customHeight="1" s="86">
      <c r="T829" s="85" t="n"/>
      <c r="U829" s="85" t="n"/>
      <c r="V829" s="85" t="n"/>
      <c r="W829" s="85" t="n"/>
      <c r="X829" s="85" t="n"/>
      <c r="Y829" s="85" t="n"/>
      <c r="Z829" s="85" t="n"/>
    </row>
    <row r="830" ht="15.75" customHeight="1" s="86">
      <c r="T830" s="85" t="n"/>
      <c r="U830" s="85" t="n"/>
      <c r="V830" s="85" t="n"/>
      <c r="W830" s="85" t="n"/>
      <c r="X830" s="85" t="n"/>
      <c r="Y830" s="85" t="n"/>
      <c r="Z830" s="85" t="n"/>
    </row>
    <row r="831" ht="15.75" customHeight="1" s="86">
      <c r="T831" s="85" t="n"/>
      <c r="U831" s="85" t="n"/>
      <c r="V831" s="85" t="n"/>
      <c r="W831" s="85" t="n"/>
      <c r="X831" s="85" t="n"/>
      <c r="Y831" s="85" t="n"/>
      <c r="Z831" s="85" t="n"/>
    </row>
    <row r="832" ht="15.75" customHeight="1" s="86">
      <c r="T832" s="85" t="n"/>
      <c r="U832" s="85" t="n"/>
      <c r="V832" s="85" t="n"/>
      <c r="W832" s="85" t="n"/>
      <c r="X832" s="85" t="n"/>
      <c r="Y832" s="85" t="n"/>
      <c r="Z832" s="85" t="n"/>
    </row>
    <row r="833" ht="15.75" customHeight="1" s="86">
      <c r="T833" s="85" t="n"/>
      <c r="U833" s="85" t="n"/>
      <c r="V833" s="85" t="n"/>
      <c r="W833" s="85" t="n"/>
      <c r="X833" s="85" t="n"/>
      <c r="Y833" s="85" t="n"/>
      <c r="Z833" s="85" t="n"/>
    </row>
    <row r="834" ht="15.75" customHeight="1" s="86">
      <c r="T834" s="85" t="n"/>
      <c r="U834" s="85" t="n"/>
      <c r="V834" s="85" t="n"/>
      <c r="W834" s="85" t="n"/>
      <c r="X834" s="85" t="n"/>
      <c r="Y834" s="85" t="n"/>
      <c r="Z834" s="85" t="n"/>
    </row>
    <row r="835" ht="15.75" customHeight="1" s="86">
      <c r="T835" s="85" t="n"/>
      <c r="U835" s="85" t="n"/>
      <c r="V835" s="85" t="n"/>
      <c r="W835" s="85" t="n"/>
      <c r="X835" s="85" t="n"/>
      <c r="Y835" s="85" t="n"/>
      <c r="Z835" s="85" t="n"/>
    </row>
    <row r="836" ht="15.75" customHeight="1" s="86">
      <c r="T836" s="85" t="n"/>
      <c r="U836" s="85" t="n"/>
      <c r="V836" s="85" t="n"/>
      <c r="W836" s="85" t="n"/>
      <c r="X836" s="85" t="n"/>
      <c r="Y836" s="85" t="n"/>
      <c r="Z836" s="85" t="n"/>
    </row>
    <row r="837" ht="15.75" customHeight="1" s="86">
      <c r="T837" s="85" t="n"/>
      <c r="U837" s="85" t="n"/>
      <c r="V837" s="85" t="n"/>
      <c r="W837" s="85" t="n"/>
      <c r="X837" s="85" t="n"/>
      <c r="Y837" s="85" t="n"/>
      <c r="Z837" s="85" t="n"/>
    </row>
    <row r="838" ht="15.75" customHeight="1" s="86">
      <c r="T838" s="85" t="n"/>
      <c r="U838" s="85" t="n"/>
      <c r="V838" s="85" t="n"/>
      <c r="W838" s="85" t="n"/>
      <c r="X838" s="85" t="n"/>
      <c r="Y838" s="85" t="n"/>
      <c r="Z838" s="85" t="n"/>
    </row>
    <row r="839" ht="15.75" customHeight="1" s="86">
      <c r="T839" s="85" t="n"/>
      <c r="U839" s="85" t="n"/>
      <c r="V839" s="85" t="n"/>
      <c r="W839" s="85" t="n"/>
      <c r="X839" s="85" t="n"/>
      <c r="Y839" s="85" t="n"/>
      <c r="Z839" s="85" t="n"/>
    </row>
    <row r="840" ht="15.75" customHeight="1" s="86">
      <c r="T840" s="85" t="n"/>
      <c r="U840" s="85" t="n"/>
      <c r="V840" s="85" t="n"/>
      <c r="W840" s="85" t="n"/>
      <c r="X840" s="85" t="n"/>
      <c r="Y840" s="85" t="n"/>
      <c r="Z840" s="85" t="n"/>
    </row>
    <row r="841" ht="15.75" customHeight="1" s="86">
      <c r="T841" s="85" t="n"/>
      <c r="U841" s="85" t="n"/>
      <c r="V841" s="85" t="n"/>
      <c r="W841" s="85" t="n"/>
      <c r="X841" s="85" t="n"/>
      <c r="Y841" s="85" t="n"/>
      <c r="Z841" s="85" t="n"/>
    </row>
    <row r="842" ht="15.75" customHeight="1" s="86">
      <c r="T842" s="85" t="n"/>
      <c r="U842" s="85" t="n"/>
      <c r="V842" s="85" t="n"/>
      <c r="W842" s="85" t="n"/>
      <c r="X842" s="85" t="n"/>
      <c r="Y842" s="85" t="n"/>
      <c r="Z842" s="85" t="n"/>
    </row>
    <row r="843" ht="15.75" customHeight="1" s="86">
      <c r="T843" s="85" t="n"/>
      <c r="U843" s="85" t="n"/>
      <c r="V843" s="85" t="n"/>
      <c r="W843" s="85" t="n"/>
      <c r="X843" s="85" t="n"/>
      <c r="Y843" s="85" t="n"/>
      <c r="Z843" s="85" t="n"/>
    </row>
    <row r="844" ht="15.75" customHeight="1" s="86">
      <c r="T844" s="85" t="n"/>
      <c r="U844" s="85" t="n"/>
      <c r="V844" s="85" t="n"/>
      <c r="W844" s="85" t="n"/>
      <c r="X844" s="85" t="n"/>
      <c r="Y844" s="85" t="n"/>
      <c r="Z844" s="85" t="n"/>
    </row>
    <row r="845" ht="15.75" customHeight="1" s="86">
      <c r="T845" s="85" t="n"/>
      <c r="U845" s="85" t="n"/>
      <c r="V845" s="85" t="n"/>
      <c r="W845" s="85" t="n"/>
      <c r="X845" s="85" t="n"/>
      <c r="Y845" s="85" t="n"/>
      <c r="Z845" s="85" t="n"/>
    </row>
    <row r="846" ht="15.75" customHeight="1" s="86">
      <c r="T846" s="85" t="n"/>
      <c r="U846" s="85" t="n"/>
      <c r="V846" s="85" t="n"/>
      <c r="W846" s="85" t="n"/>
      <c r="X846" s="85" t="n"/>
      <c r="Y846" s="85" t="n"/>
      <c r="Z846" s="85" t="n"/>
    </row>
    <row r="847" ht="15.75" customHeight="1" s="86">
      <c r="T847" s="85" t="n"/>
      <c r="U847" s="85" t="n"/>
      <c r="V847" s="85" t="n"/>
      <c r="W847" s="85" t="n"/>
      <c r="X847" s="85" t="n"/>
      <c r="Y847" s="85" t="n"/>
      <c r="Z847" s="85" t="n"/>
    </row>
    <row r="848" ht="15.75" customHeight="1" s="86">
      <c r="T848" s="85" t="n"/>
      <c r="U848" s="85" t="n"/>
      <c r="V848" s="85" t="n"/>
      <c r="W848" s="85" t="n"/>
      <c r="X848" s="85" t="n"/>
      <c r="Y848" s="85" t="n"/>
      <c r="Z848" s="85" t="n"/>
    </row>
    <row r="849" ht="15.75" customHeight="1" s="86">
      <c r="T849" s="85" t="n"/>
      <c r="U849" s="85" t="n"/>
      <c r="V849" s="85" t="n"/>
      <c r="W849" s="85" t="n"/>
      <c r="X849" s="85" t="n"/>
      <c r="Y849" s="85" t="n"/>
      <c r="Z849" s="85" t="n"/>
    </row>
    <row r="850" ht="15.75" customHeight="1" s="86">
      <c r="T850" s="85" t="n"/>
      <c r="U850" s="85" t="n"/>
      <c r="V850" s="85" t="n"/>
      <c r="W850" s="85" t="n"/>
      <c r="X850" s="85" t="n"/>
      <c r="Y850" s="85" t="n"/>
      <c r="Z850" s="85" t="n"/>
    </row>
    <row r="851" ht="15.75" customHeight="1" s="86">
      <c r="T851" s="85" t="n"/>
      <c r="U851" s="85" t="n"/>
      <c r="V851" s="85" t="n"/>
      <c r="W851" s="85" t="n"/>
      <c r="X851" s="85" t="n"/>
      <c r="Y851" s="85" t="n"/>
      <c r="Z851" s="85" t="n"/>
    </row>
    <row r="852" ht="15.75" customHeight="1" s="86">
      <c r="T852" s="85" t="n"/>
      <c r="U852" s="85" t="n"/>
      <c r="V852" s="85" t="n"/>
      <c r="W852" s="85" t="n"/>
      <c r="X852" s="85" t="n"/>
      <c r="Y852" s="85" t="n"/>
      <c r="Z852" s="85" t="n"/>
    </row>
    <row r="853" ht="15.75" customHeight="1" s="86">
      <c r="T853" s="85" t="n"/>
      <c r="U853" s="85" t="n"/>
      <c r="V853" s="85" t="n"/>
      <c r="W853" s="85" t="n"/>
      <c r="X853" s="85" t="n"/>
      <c r="Y853" s="85" t="n"/>
      <c r="Z853" s="85" t="n"/>
    </row>
    <row r="854" ht="15.75" customHeight="1" s="86">
      <c r="T854" s="85" t="n"/>
      <c r="U854" s="85" t="n"/>
      <c r="V854" s="85" t="n"/>
      <c r="W854" s="85" t="n"/>
      <c r="X854" s="85" t="n"/>
      <c r="Y854" s="85" t="n"/>
      <c r="Z854" s="85" t="n"/>
    </row>
    <row r="855" ht="15.75" customHeight="1" s="86">
      <c r="T855" s="85" t="n"/>
      <c r="U855" s="85" t="n"/>
      <c r="V855" s="85" t="n"/>
      <c r="W855" s="85" t="n"/>
      <c r="X855" s="85" t="n"/>
      <c r="Y855" s="85" t="n"/>
      <c r="Z855" s="85" t="n"/>
    </row>
    <row r="856" ht="15.75" customHeight="1" s="86">
      <c r="T856" s="85" t="n"/>
      <c r="U856" s="85" t="n"/>
      <c r="V856" s="85" t="n"/>
      <c r="W856" s="85" t="n"/>
      <c r="X856" s="85" t="n"/>
      <c r="Y856" s="85" t="n"/>
      <c r="Z856" s="85" t="n"/>
    </row>
    <row r="857" ht="15.75" customHeight="1" s="86">
      <c r="T857" s="85" t="n"/>
      <c r="U857" s="85" t="n"/>
      <c r="V857" s="85" t="n"/>
      <c r="W857" s="85" t="n"/>
      <c r="X857" s="85" t="n"/>
      <c r="Y857" s="85" t="n"/>
      <c r="Z857" s="85" t="n"/>
    </row>
    <row r="858" ht="15.75" customHeight="1" s="86">
      <c r="T858" s="85" t="n"/>
      <c r="U858" s="85" t="n"/>
      <c r="V858" s="85" t="n"/>
      <c r="W858" s="85" t="n"/>
      <c r="X858" s="85" t="n"/>
      <c r="Y858" s="85" t="n"/>
      <c r="Z858" s="85" t="n"/>
    </row>
    <row r="859" ht="15.75" customHeight="1" s="86">
      <c r="T859" s="85" t="n"/>
      <c r="U859" s="85" t="n"/>
      <c r="V859" s="85" t="n"/>
      <c r="W859" s="85" t="n"/>
      <c r="X859" s="85" t="n"/>
      <c r="Y859" s="85" t="n"/>
      <c r="Z859" s="85" t="n"/>
    </row>
    <row r="860" ht="15.75" customHeight="1" s="86">
      <c r="T860" s="85" t="n"/>
      <c r="U860" s="85" t="n"/>
      <c r="V860" s="85" t="n"/>
      <c r="W860" s="85" t="n"/>
      <c r="X860" s="85" t="n"/>
      <c r="Y860" s="85" t="n"/>
      <c r="Z860" s="85" t="n"/>
    </row>
    <row r="861" ht="15.75" customHeight="1" s="86">
      <c r="T861" s="85" t="n"/>
      <c r="U861" s="85" t="n"/>
      <c r="V861" s="85" t="n"/>
      <c r="W861" s="85" t="n"/>
      <c r="X861" s="85" t="n"/>
      <c r="Y861" s="85" t="n"/>
      <c r="Z861" s="85" t="n"/>
    </row>
    <row r="862" ht="15.75" customHeight="1" s="86">
      <c r="T862" s="85" t="n"/>
      <c r="U862" s="85" t="n"/>
      <c r="V862" s="85" t="n"/>
      <c r="W862" s="85" t="n"/>
      <c r="X862" s="85" t="n"/>
      <c r="Y862" s="85" t="n"/>
      <c r="Z862" s="85" t="n"/>
    </row>
    <row r="863" ht="15.75" customHeight="1" s="86">
      <c r="T863" s="85" t="n"/>
      <c r="U863" s="85" t="n"/>
      <c r="V863" s="85" t="n"/>
      <c r="W863" s="85" t="n"/>
      <c r="X863" s="85" t="n"/>
      <c r="Y863" s="85" t="n"/>
      <c r="Z863" s="85" t="n"/>
    </row>
    <row r="864" ht="15.75" customHeight="1" s="86">
      <c r="T864" s="85" t="n"/>
      <c r="U864" s="85" t="n"/>
      <c r="V864" s="85" t="n"/>
      <c r="W864" s="85" t="n"/>
      <c r="X864" s="85" t="n"/>
      <c r="Y864" s="85" t="n"/>
      <c r="Z864" s="85" t="n"/>
    </row>
    <row r="865" ht="15.75" customHeight="1" s="86">
      <c r="T865" s="85" t="n"/>
      <c r="U865" s="85" t="n"/>
      <c r="V865" s="85" t="n"/>
      <c r="W865" s="85" t="n"/>
      <c r="X865" s="85" t="n"/>
      <c r="Y865" s="85" t="n"/>
      <c r="Z865" s="85" t="n"/>
    </row>
    <row r="866" ht="15.75" customHeight="1" s="86">
      <c r="T866" s="85" t="n"/>
      <c r="U866" s="85" t="n"/>
      <c r="V866" s="85" t="n"/>
      <c r="W866" s="85" t="n"/>
      <c r="X866" s="85" t="n"/>
      <c r="Y866" s="85" t="n"/>
      <c r="Z866" s="85" t="n"/>
    </row>
    <row r="867" ht="15.75" customHeight="1" s="86">
      <c r="T867" s="85" t="n"/>
      <c r="U867" s="85" t="n"/>
      <c r="V867" s="85" t="n"/>
      <c r="W867" s="85" t="n"/>
      <c r="X867" s="85" t="n"/>
      <c r="Y867" s="85" t="n"/>
      <c r="Z867" s="85" t="n"/>
    </row>
    <row r="868" ht="15.75" customHeight="1" s="86">
      <c r="T868" s="85" t="n"/>
      <c r="U868" s="85" t="n"/>
      <c r="V868" s="85" t="n"/>
      <c r="W868" s="85" t="n"/>
      <c r="X868" s="85" t="n"/>
      <c r="Y868" s="85" t="n"/>
      <c r="Z868" s="85" t="n"/>
    </row>
    <row r="869" ht="15.75" customHeight="1" s="86">
      <c r="T869" s="85" t="n"/>
      <c r="U869" s="85" t="n"/>
      <c r="V869" s="85" t="n"/>
      <c r="W869" s="85" t="n"/>
      <c r="X869" s="85" t="n"/>
      <c r="Y869" s="85" t="n"/>
      <c r="Z869" s="85" t="n"/>
    </row>
    <row r="870" ht="15.75" customHeight="1" s="86">
      <c r="T870" s="85" t="n"/>
      <c r="U870" s="85" t="n"/>
      <c r="V870" s="85" t="n"/>
      <c r="W870" s="85" t="n"/>
      <c r="X870" s="85" t="n"/>
      <c r="Y870" s="85" t="n"/>
      <c r="Z870" s="85" t="n"/>
    </row>
    <row r="871" ht="15.75" customHeight="1" s="86">
      <c r="T871" s="85" t="n"/>
      <c r="U871" s="85" t="n"/>
      <c r="V871" s="85" t="n"/>
      <c r="W871" s="85" t="n"/>
      <c r="X871" s="85" t="n"/>
      <c r="Y871" s="85" t="n"/>
      <c r="Z871" s="85" t="n"/>
    </row>
    <row r="872" ht="15.75" customHeight="1" s="86">
      <c r="T872" s="85" t="n"/>
      <c r="U872" s="85" t="n"/>
      <c r="V872" s="85" t="n"/>
      <c r="W872" s="85" t="n"/>
      <c r="X872" s="85" t="n"/>
      <c r="Y872" s="85" t="n"/>
      <c r="Z872" s="85" t="n"/>
    </row>
    <row r="873" ht="15.75" customHeight="1" s="86">
      <c r="T873" s="85" t="n"/>
      <c r="U873" s="85" t="n"/>
      <c r="V873" s="85" t="n"/>
      <c r="W873" s="85" t="n"/>
      <c r="X873" s="85" t="n"/>
      <c r="Y873" s="85" t="n"/>
      <c r="Z873" s="85" t="n"/>
    </row>
    <row r="874" ht="15.75" customHeight="1" s="86">
      <c r="T874" s="85" t="n"/>
      <c r="U874" s="85" t="n"/>
      <c r="V874" s="85" t="n"/>
      <c r="W874" s="85" t="n"/>
      <c r="X874" s="85" t="n"/>
      <c r="Y874" s="85" t="n"/>
      <c r="Z874" s="85" t="n"/>
    </row>
    <row r="875" ht="15.75" customHeight="1" s="86">
      <c r="T875" s="85" t="n"/>
      <c r="U875" s="85" t="n"/>
      <c r="V875" s="85" t="n"/>
      <c r="W875" s="85" t="n"/>
      <c r="X875" s="85" t="n"/>
      <c r="Y875" s="85" t="n"/>
      <c r="Z875" s="85" t="n"/>
    </row>
    <row r="876" ht="15.75" customHeight="1" s="86">
      <c r="T876" s="85" t="n"/>
      <c r="U876" s="85" t="n"/>
      <c r="V876" s="85" t="n"/>
      <c r="W876" s="85" t="n"/>
      <c r="X876" s="85" t="n"/>
      <c r="Y876" s="85" t="n"/>
      <c r="Z876" s="85" t="n"/>
    </row>
    <row r="877" ht="15.75" customHeight="1" s="86">
      <c r="T877" s="85" t="n"/>
      <c r="U877" s="85" t="n"/>
      <c r="V877" s="85" t="n"/>
      <c r="W877" s="85" t="n"/>
      <c r="X877" s="85" t="n"/>
      <c r="Y877" s="85" t="n"/>
      <c r="Z877" s="85" t="n"/>
    </row>
    <row r="878" ht="15.75" customHeight="1" s="86">
      <c r="T878" s="85" t="n"/>
      <c r="U878" s="85" t="n"/>
      <c r="V878" s="85" t="n"/>
      <c r="W878" s="85" t="n"/>
      <c r="X878" s="85" t="n"/>
      <c r="Y878" s="85" t="n"/>
      <c r="Z878" s="85" t="n"/>
    </row>
    <row r="879" ht="15.75" customHeight="1" s="86">
      <c r="T879" s="85" t="n"/>
      <c r="U879" s="85" t="n"/>
      <c r="V879" s="85" t="n"/>
      <c r="W879" s="85" t="n"/>
      <c r="X879" s="85" t="n"/>
      <c r="Y879" s="85" t="n"/>
      <c r="Z879" s="85" t="n"/>
    </row>
    <row r="880" ht="15.75" customHeight="1" s="86">
      <c r="T880" s="85" t="n"/>
      <c r="U880" s="85" t="n"/>
      <c r="V880" s="85" t="n"/>
      <c r="W880" s="85" t="n"/>
      <c r="X880" s="85" t="n"/>
      <c r="Y880" s="85" t="n"/>
      <c r="Z880" s="85" t="n"/>
    </row>
    <row r="881" ht="15.75" customHeight="1" s="86">
      <c r="T881" s="85" t="n"/>
      <c r="U881" s="85" t="n"/>
      <c r="V881" s="85" t="n"/>
      <c r="W881" s="85" t="n"/>
      <c r="X881" s="85" t="n"/>
      <c r="Y881" s="85" t="n"/>
      <c r="Z881" s="85" t="n"/>
    </row>
    <row r="882" ht="15.75" customHeight="1" s="86">
      <c r="T882" s="85" t="n"/>
      <c r="U882" s="85" t="n"/>
      <c r="V882" s="85" t="n"/>
      <c r="W882" s="85" t="n"/>
      <c r="X882" s="85" t="n"/>
      <c r="Y882" s="85" t="n"/>
      <c r="Z882" s="85" t="n"/>
    </row>
    <row r="883" ht="15.75" customHeight="1" s="86">
      <c r="T883" s="85" t="n"/>
      <c r="U883" s="85" t="n"/>
      <c r="V883" s="85" t="n"/>
      <c r="W883" s="85" t="n"/>
      <c r="X883" s="85" t="n"/>
      <c r="Y883" s="85" t="n"/>
      <c r="Z883" s="85" t="n"/>
    </row>
    <row r="884" ht="15.75" customHeight="1" s="86">
      <c r="T884" s="85" t="n"/>
      <c r="U884" s="85" t="n"/>
      <c r="V884" s="85" t="n"/>
      <c r="W884" s="85" t="n"/>
      <c r="X884" s="85" t="n"/>
      <c r="Y884" s="85" t="n"/>
      <c r="Z884" s="85" t="n"/>
    </row>
    <row r="885" ht="15.75" customHeight="1" s="86">
      <c r="T885" s="85" t="n"/>
      <c r="U885" s="85" t="n"/>
      <c r="V885" s="85" t="n"/>
      <c r="W885" s="85" t="n"/>
      <c r="X885" s="85" t="n"/>
      <c r="Y885" s="85" t="n"/>
      <c r="Z885" s="85" t="n"/>
    </row>
    <row r="886" ht="15.75" customHeight="1" s="86">
      <c r="T886" s="85" t="n"/>
      <c r="U886" s="85" t="n"/>
      <c r="V886" s="85" t="n"/>
      <c r="W886" s="85" t="n"/>
      <c r="X886" s="85" t="n"/>
      <c r="Y886" s="85" t="n"/>
      <c r="Z886" s="85" t="n"/>
    </row>
    <row r="887" ht="15.75" customHeight="1" s="86">
      <c r="T887" s="85" t="n"/>
      <c r="U887" s="85" t="n"/>
      <c r="V887" s="85" t="n"/>
      <c r="W887" s="85" t="n"/>
      <c r="X887" s="85" t="n"/>
      <c r="Y887" s="85" t="n"/>
      <c r="Z887" s="85" t="n"/>
    </row>
    <row r="888" ht="15.75" customHeight="1" s="86">
      <c r="T888" s="85" t="n"/>
      <c r="U888" s="85" t="n"/>
      <c r="V888" s="85" t="n"/>
      <c r="W888" s="85" t="n"/>
      <c r="X888" s="85" t="n"/>
      <c r="Y888" s="85" t="n"/>
      <c r="Z888" s="85" t="n"/>
    </row>
    <row r="889" ht="15.75" customHeight="1" s="86">
      <c r="T889" s="85" t="n"/>
      <c r="U889" s="85" t="n"/>
      <c r="V889" s="85" t="n"/>
      <c r="W889" s="85" t="n"/>
      <c r="X889" s="85" t="n"/>
      <c r="Y889" s="85" t="n"/>
      <c r="Z889" s="85" t="n"/>
    </row>
    <row r="890" ht="15.75" customHeight="1" s="86">
      <c r="T890" s="85" t="n"/>
      <c r="U890" s="85" t="n"/>
      <c r="V890" s="85" t="n"/>
      <c r="W890" s="85" t="n"/>
      <c r="X890" s="85" t="n"/>
      <c r="Y890" s="85" t="n"/>
      <c r="Z890" s="85" t="n"/>
    </row>
    <row r="891" ht="15.75" customHeight="1" s="86">
      <c r="T891" s="85" t="n"/>
      <c r="U891" s="85" t="n"/>
      <c r="V891" s="85" t="n"/>
      <c r="W891" s="85" t="n"/>
      <c r="X891" s="85" t="n"/>
      <c r="Y891" s="85" t="n"/>
      <c r="Z891" s="85" t="n"/>
    </row>
    <row r="892" ht="15.75" customHeight="1" s="86">
      <c r="T892" s="85" t="n"/>
      <c r="U892" s="85" t="n"/>
      <c r="V892" s="85" t="n"/>
      <c r="W892" s="85" t="n"/>
      <c r="X892" s="85" t="n"/>
      <c r="Y892" s="85" t="n"/>
      <c r="Z892" s="85" t="n"/>
    </row>
    <row r="893" ht="15.75" customHeight="1" s="86">
      <c r="T893" s="85" t="n"/>
      <c r="U893" s="85" t="n"/>
      <c r="V893" s="85" t="n"/>
      <c r="W893" s="85" t="n"/>
      <c r="X893" s="85" t="n"/>
      <c r="Y893" s="85" t="n"/>
      <c r="Z893" s="85" t="n"/>
    </row>
    <row r="894" ht="15.75" customHeight="1" s="86">
      <c r="T894" s="85" t="n"/>
      <c r="U894" s="85" t="n"/>
      <c r="V894" s="85" t="n"/>
      <c r="W894" s="85" t="n"/>
      <c r="X894" s="85" t="n"/>
      <c r="Y894" s="85" t="n"/>
      <c r="Z894" s="85" t="n"/>
    </row>
    <row r="895" ht="15.75" customHeight="1" s="86">
      <c r="T895" s="85" t="n"/>
      <c r="U895" s="85" t="n"/>
      <c r="V895" s="85" t="n"/>
      <c r="W895" s="85" t="n"/>
      <c r="X895" s="85" t="n"/>
      <c r="Y895" s="85" t="n"/>
      <c r="Z895" s="85" t="n"/>
    </row>
    <row r="896" ht="15.75" customHeight="1" s="86">
      <c r="T896" s="85" t="n"/>
      <c r="U896" s="85" t="n"/>
      <c r="V896" s="85" t="n"/>
      <c r="W896" s="85" t="n"/>
      <c r="X896" s="85" t="n"/>
      <c r="Y896" s="85" t="n"/>
      <c r="Z896" s="85" t="n"/>
    </row>
    <row r="897" ht="15.75" customHeight="1" s="86">
      <c r="T897" s="85" t="n"/>
      <c r="U897" s="85" t="n"/>
      <c r="V897" s="85" t="n"/>
      <c r="W897" s="85" t="n"/>
      <c r="X897" s="85" t="n"/>
      <c r="Y897" s="85" t="n"/>
      <c r="Z897" s="85" t="n"/>
    </row>
    <row r="898" ht="15.75" customHeight="1" s="86">
      <c r="T898" s="85" t="n"/>
      <c r="U898" s="85" t="n"/>
      <c r="V898" s="85" t="n"/>
      <c r="W898" s="85" t="n"/>
      <c r="X898" s="85" t="n"/>
      <c r="Y898" s="85" t="n"/>
      <c r="Z898" s="85" t="n"/>
    </row>
    <row r="899" ht="15.75" customHeight="1" s="86">
      <c r="T899" s="85" t="n"/>
      <c r="U899" s="85" t="n"/>
      <c r="V899" s="85" t="n"/>
      <c r="W899" s="85" t="n"/>
      <c r="X899" s="85" t="n"/>
      <c r="Y899" s="85" t="n"/>
      <c r="Z899" s="85" t="n"/>
    </row>
    <row r="900" ht="15.75" customHeight="1" s="86">
      <c r="T900" s="85" t="n"/>
      <c r="U900" s="85" t="n"/>
      <c r="V900" s="85" t="n"/>
      <c r="W900" s="85" t="n"/>
      <c r="X900" s="85" t="n"/>
      <c r="Y900" s="85" t="n"/>
      <c r="Z900" s="85" t="n"/>
    </row>
    <row r="901" ht="15.75" customHeight="1" s="86">
      <c r="T901" s="85" t="n"/>
      <c r="U901" s="85" t="n"/>
      <c r="V901" s="85" t="n"/>
      <c r="W901" s="85" t="n"/>
      <c r="X901" s="85" t="n"/>
      <c r="Y901" s="85" t="n"/>
      <c r="Z901" s="85" t="n"/>
    </row>
    <row r="902" ht="15.75" customHeight="1" s="86">
      <c r="T902" s="85" t="n"/>
      <c r="U902" s="85" t="n"/>
      <c r="V902" s="85" t="n"/>
      <c r="W902" s="85" t="n"/>
      <c r="X902" s="85" t="n"/>
      <c r="Y902" s="85" t="n"/>
      <c r="Z902" s="85" t="n"/>
    </row>
    <row r="903" ht="15.75" customHeight="1" s="86">
      <c r="T903" s="85" t="n"/>
      <c r="U903" s="85" t="n"/>
      <c r="V903" s="85" t="n"/>
      <c r="W903" s="85" t="n"/>
      <c r="X903" s="85" t="n"/>
      <c r="Y903" s="85" t="n"/>
      <c r="Z903" s="85" t="n"/>
    </row>
    <row r="904" ht="15.75" customHeight="1" s="86">
      <c r="T904" s="85" t="n"/>
      <c r="U904" s="85" t="n"/>
      <c r="V904" s="85" t="n"/>
      <c r="W904" s="85" t="n"/>
      <c r="X904" s="85" t="n"/>
      <c r="Y904" s="85" t="n"/>
      <c r="Z904" s="85" t="n"/>
    </row>
    <row r="905" ht="15.75" customHeight="1" s="86">
      <c r="T905" s="85" t="n"/>
      <c r="U905" s="85" t="n"/>
      <c r="V905" s="85" t="n"/>
      <c r="W905" s="85" t="n"/>
      <c r="X905" s="85" t="n"/>
      <c r="Y905" s="85" t="n"/>
      <c r="Z905" s="85" t="n"/>
    </row>
    <row r="906" ht="15.75" customHeight="1" s="86">
      <c r="T906" s="85" t="n"/>
      <c r="U906" s="85" t="n"/>
      <c r="V906" s="85" t="n"/>
      <c r="W906" s="85" t="n"/>
      <c r="X906" s="85" t="n"/>
      <c r="Y906" s="85" t="n"/>
      <c r="Z906" s="85" t="n"/>
    </row>
    <row r="907" ht="15.75" customHeight="1" s="86">
      <c r="T907" s="85" t="n"/>
      <c r="U907" s="85" t="n"/>
      <c r="V907" s="85" t="n"/>
      <c r="W907" s="85" t="n"/>
      <c r="X907" s="85" t="n"/>
      <c r="Y907" s="85" t="n"/>
      <c r="Z907" s="85" t="n"/>
    </row>
    <row r="908" ht="15.75" customHeight="1" s="86">
      <c r="T908" s="85" t="n"/>
      <c r="U908" s="85" t="n"/>
      <c r="V908" s="85" t="n"/>
      <c r="W908" s="85" t="n"/>
      <c r="X908" s="85" t="n"/>
      <c r="Y908" s="85" t="n"/>
      <c r="Z908" s="85" t="n"/>
    </row>
    <row r="909" ht="15.75" customHeight="1" s="86">
      <c r="T909" s="85" t="n"/>
      <c r="U909" s="85" t="n"/>
      <c r="V909" s="85" t="n"/>
      <c r="W909" s="85" t="n"/>
      <c r="X909" s="85" t="n"/>
      <c r="Y909" s="85" t="n"/>
      <c r="Z909" s="85" t="n"/>
    </row>
    <row r="910" ht="15.75" customHeight="1" s="86">
      <c r="T910" s="85" t="n"/>
      <c r="U910" s="85" t="n"/>
      <c r="V910" s="85" t="n"/>
      <c r="W910" s="85" t="n"/>
      <c r="X910" s="85" t="n"/>
      <c r="Y910" s="85" t="n"/>
      <c r="Z910" s="85" t="n"/>
    </row>
    <row r="911" ht="15.75" customHeight="1" s="86">
      <c r="T911" s="85" t="n"/>
      <c r="U911" s="85" t="n"/>
      <c r="V911" s="85" t="n"/>
      <c r="W911" s="85" t="n"/>
      <c r="X911" s="85" t="n"/>
      <c r="Y911" s="85" t="n"/>
      <c r="Z911" s="85" t="n"/>
    </row>
    <row r="912" ht="15.75" customHeight="1" s="86">
      <c r="T912" s="85" t="n"/>
      <c r="U912" s="85" t="n"/>
      <c r="V912" s="85" t="n"/>
      <c r="W912" s="85" t="n"/>
      <c r="X912" s="85" t="n"/>
      <c r="Y912" s="85" t="n"/>
      <c r="Z912" s="85" t="n"/>
    </row>
    <row r="913" ht="15.75" customHeight="1" s="86">
      <c r="T913" s="85" t="n"/>
      <c r="U913" s="85" t="n"/>
      <c r="V913" s="85" t="n"/>
      <c r="W913" s="85" t="n"/>
      <c r="X913" s="85" t="n"/>
      <c r="Y913" s="85" t="n"/>
      <c r="Z913" s="85" t="n"/>
    </row>
    <row r="914" ht="15.75" customHeight="1" s="86">
      <c r="T914" s="85" t="n"/>
      <c r="U914" s="85" t="n"/>
      <c r="V914" s="85" t="n"/>
      <c r="W914" s="85" t="n"/>
      <c r="X914" s="85" t="n"/>
      <c r="Y914" s="85" t="n"/>
      <c r="Z914" s="85" t="n"/>
    </row>
    <row r="915" ht="15.75" customHeight="1" s="86">
      <c r="T915" s="85" t="n"/>
      <c r="U915" s="85" t="n"/>
      <c r="V915" s="85" t="n"/>
      <c r="W915" s="85" t="n"/>
      <c r="X915" s="85" t="n"/>
      <c r="Y915" s="85" t="n"/>
      <c r="Z915" s="85" t="n"/>
    </row>
    <row r="916" ht="15.75" customHeight="1" s="86">
      <c r="T916" s="85" t="n"/>
      <c r="U916" s="85" t="n"/>
      <c r="V916" s="85" t="n"/>
      <c r="W916" s="85" t="n"/>
      <c r="X916" s="85" t="n"/>
      <c r="Y916" s="85" t="n"/>
      <c r="Z916" s="85" t="n"/>
    </row>
    <row r="917" ht="15.75" customHeight="1" s="86">
      <c r="T917" s="85" t="n"/>
      <c r="U917" s="85" t="n"/>
      <c r="V917" s="85" t="n"/>
      <c r="W917" s="85" t="n"/>
      <c r="X917" s="85" t="n"/>
      <c r="Y917" s="85" t="n"/>
      <c r="Z917" s="85" t="n"/>
    </row>
    <row r="918" ht="15.75" customHeight="1" s="86">
      <c r="T918" s="85" t="n"/>
      <c r="U918" s="85" t="n"/>
      <c r="V918" s="85" t="n"/>
      <c r="W918" s="85" t="n"/>
      <c r="X918" s="85" t="n"/>
      <c r="Y918" s="85" t="n"/>
      <c r="Z918" s="85" t="n"/>
    </row>
    <row r="919" ht="15.75" customHeight="1" s="86">
      <c r="T919" s="85" t="n"/>
      <c r="U919" s="85" t="n"/>
      <c r="V919" s="85" t="n"/>
      <c r="W919" s="85" t="n"/>
      <c r="X919" s="85" t="n"/>
      <c r="Y919" s="85" t="n"/>
      <c r="Z919" s="85" t="n"/>
    </row>
    <row r="920" ht="15.75" customHeight="1" s="86">
      <c r="T920" s="85" t="n"/>
      <c r="U920" s="85" t="n"/>
      <c r="V920" s="85" t="n"/>
      <c r="W920" s="85" t="n"/>
      <c r="X920" s="85" t="n"/>
      <c r="Y920" s="85" t="n"/>
      <c r="Z920" s="85" t="n"/>
    </row>
    <row r="921" ht="15.75" customHeight="1" s="86">
      <c r="T921" s="85" t="n"/>
      <c r="U921" s="85" t="n"/>
      <c r="V921" s="85" t="n"/>
      <c r="W921" s="85" t="n"/>
      <c r="X921" s="85" t="n"/>
      <c r="Y921" s="85" t="n"/>
      <c r="Z921" s="85" t="n"/>
    </row>
    <row r="922" ht="15.75" customHeight="1" s="86">
      <c r="T922" s="85" t="n"/>
      <c r="U922" s="85" t="n"/>
      <c r="V922" s="85" t="n"/>
      <c r="W922" s="85" t="n"/>
      <c r="X922" s="85" t="n"/>
      <c r="Y922" s="85" t="n"/>
      <c r="Z922" s="85" t="n"/>
    </row>
    <row r="923" ht="15.75" customHeight="1" s="86">
      <c r="T923" s="85" t="n"/>
      <c r="U923" s="85" t="n"/>
      <c r="V923" s="85" t="n"/>
      <c r="W923" s="85" t="n"/>
      <c r="X923" s="85" t="n"/>
      <c r="Y923" s="85" t="n"/>
      <c r="Z923" s="85" t="n"/>
    </row>
    <row r="924" ht="15.75" customHeight="1" s="86">
      <c r="T924" s="85" t="n"/>
      <c r="U924" s="85" t="n"/>
      <c r="V924" s="85" t="n"/>
      <c r="W924" s="85" t="n"/>
      <c r="X924" s="85" t="n"/>
      <c r="Y924" s="85" t="n"/>
      <c r="Z924" s="85" t="n"/>
    </row>
    <row r="925" ht="15.75" customHeight="1" s="86">
      <c r="T925" s="85" t="n"/>
      <c r="U925" s="85" t="n"/>
      <c r="V925" s="85" t="n"/>
      <c r="W925" s="85" t="n"/>
      <c r="X925" s="85" t="n"/>
      <c r="Y925" s="85" t="n"/>
      <c r="Z925" s="85" t="n"/>
    </row>
    <row r="926" ht="15.75" customHeight="1" s="86">
      <c r="T926" s="85" t="n"/>
      <c r="U926" s="85" t="n"/>
      <c r="V926" s="85" t="n"/>
      <c r="W926" s="85" t="n"/>
      <c r="X926" s="85" t="n"/>
      <c r="Y926" s="85" t="n"/>
      <c r="Z926" s="85" t="n"/>
    </row>
    <row r="927" ht="15.75" customHeight="1" s="86">
      <c r="T927" s="85" t="n"/>
      <c r="U927" s="85" t="n"/>
      <c r="V927" s="85" t="n"/>
      <c r="W927" s="85" t="n"/>
      <c r="X927" s="85" t="n"/>
      <c r="Y927" s="85" t="n"/>
      <c r="Z927" s="85" t="n"/>
    </row>
    <row r="928" ht="15.75" customHeight="1" s="86">
      <c r="T928" s="85" t="n"/>
      <c r="U928" s="85" t="n"/>
      <c r="V928" s="85" t="n"/>
      <c r="W928" s="85" t="n"/>
      <c r="X928" s="85" t="n"/>
      <c r="Y928" s="85" t="n"/>
      <c r="Z928" s="85" t="n"/>
    </row>
    <row r="929" ht="15.75" customHeight="1" s="86">
      <c r="T929" s="85" t="n"/>
      <c r="U929" s="85" t="n"/>
      <c r="V929" s="85" t="n"/>
      <c r="W929" s="85" t="n"/>
      <c r="X929" s="85" t="n"/>
      <c r="Y929" s="85" t="n"/>
      <c r="Z929" s="85" t="n"/>
    </row>
    <row r="930" ht="15.75" customHeight="1" s="86">
      <c r="T930" s="85" t="n"/>
      <c r="U930" s="85" t="n"/>
      <c r="V930" s="85" t="n"/>
      <c r="W930" s="85" t="n"/>
      <c r="X930" s="85" t="n"/>
      <c r="Y930" s="85" t="n"/>
      <c r="Z930" s="85" t="n"/>
    </row>
    <row r="931" ht="15.75" customHeight="1" s="86">
      <c r="T931" s="85" t="n"/>
      <c r="U931" s="85" t="n"/>
      <c r="V931" s="85" t="n"/>
      <c r="W931" s="85" t="n"/>
      <c r="X931" s="85" t="n"/>
      <c r="Y931" s="85" t="n"/>
      <c r="Z931" s="85" t="n"/>
    </row>
    <row r="932" ht="15.75" customHeight="1" s="86">
      <c r="T932" s="85" t="n"/>
      <c r="U932" s="85" t="n"/>
      <c r="V932" s="85" t="n"/>
      <c r="W932" s="85" t="n"/>
      <c r="X932" s="85" t="n"/>
      <c r="Y932" s="85" t="n"/>
      <c r="Z932" s="85" t="n"/>
    </row>
    <row r="933" ht="15.75" customHeight="1" s="86">
      <c r="T933" s="85" t="n"/>
      <c r="U933" s="85" t="n"/>
      <c r="V933" s="85" t="n"/>
      <c r="W933" s="85" t="n"/>
      <c r="X933" s="85" t="n"/>
      <c r="Y933" s="85" t="n"/>
      <c r="Z933" s="85" t="n"/>
    </row>
    <row r="934" ht="15.75" customHeight="1" s="86">
      <c r="T934" s="85" t="n"/>
      <c r="U934" s="85" t="n"/>
      <c r="V934" s="85" t="n"/>
      <c r="W934" s="85" t="n"/>
      <c r="X934" s="85" t="n"/>
      <c r="Y934" s="85" t="n"/>
      <c r="Z934" s="85" t="n"/>
    </row>
    <row r="935" ht="15.75" customHeight="1" s="86">
      <c r="T935" s="85" t="n"/>
      <c r="U935" s="85" t="n"/>
      <c r="V935" s="85" t="n"/>
      <c r="W935" s="85" t="n"/>
      <c r="X935" s="85" t="n"/>
      <c r="Y935" s="85" t="n"/>
      <c r="Z935" s="85" t="n"/>
    </row>
    <row r="936" ht="15.75" customHeight="1" s="86">
      <c r="T936" s="85" t="n"/>
      <c r="U936" s="85" t="n"/>
      <c r="V936" s="85" t="n"/>
      <c r="W936" s="85" t="n"/>
      <c r="X936" s="85" t="n"/>
      <c r="Y936" s="85" t="n"/>
      <c r="Z936" s="85" t="n"/>
    </row>
    <row r="937" ht="15.75" customHeight="1" s="86">
      <c r="T937" s="85" t="n"/>
      <c r="U937" s="85" t="n"/>
      <c r="V937" s="85" t="n"/>
      <c r="W937" s="85" t="n"/>
      <c r="X937" s="85" t="n"/>
      <c r="Y937" s="85" t="n"/>
      <c r="Z937" s="85" t="n"/>
    </row>
    <row r="938" ht="15.75" customHeight="1" s="86">
      <c r="T938" s="85" t="n"/>
      <c r="U938" s="85" t="n"/>
      <c r="V938" s="85" t="n"/>
      <c r="W938" s="85" t="n"/>
      <c r="X938" s="85" t="n"/>
      <c r="Y938" s="85" t="n"/>
      <c r="Z938" s="85" t="n"/>
    </row>
    <row r="939" ht="15.75" customHeight="1" s="86">
      <c r="T939" s="85" t="n"/>
      <c r="U939" s="85" t="n"/>
      <c r="V939" s="85" t="n"/>
      <c r="W939" s="85" t="n"/>
      <c r="X939" s="85" t="n"/>
      <c r="Y939" s="85" t="n"/>
      <c r="Z939" s="85" t="n"/>
    </row>
    <row r="940" ht="15.75" customHeight="1" s="86">
      <c r="T940" s="85" t="n"/>
      <c r="U940" s="85" t="n"/>
      <c r="V940" s="85" t="n"/>
      <c r="W940" s="85" t="n"/>
      <c r="X940" s="85" t="n"/>
      <c r="Y940" s="85" t="n"/>
      <c r="Z940" s="85" t="n"/>
    </row>
    <row r="941" ht="15.75" customHeight="1" s="86">
      <c r="T941" s="85" t="n"/>
      <c r="U941" s="85" t="n"/>
      <c r="V941" s="85" t="n"/>
      <c r="W941" s="85" t="n"/>
      <c r="X941" s="85" t="n"/>
      <c r="Y941" s="85" t="n"/>
      <c r="Z941" s="85" t="n"/>
    </row>
    <row r="942" ht="15.75" customHeight="1" s="86">
      <c r="T942" s="85" t="n"/>
      <c r="U942" s="85" t="n"/>
      <c r="V942" s="85" t="n"/>
      <c r="W942" s="85" t="n"/>
      <c r="X942" s="85" t="n"/>
      <c r="Y942" s="85" t="n"/>
      <c r="Z942" s="85" t="n"/>
    </row>
    <row r="943" ht="15.75" customHeight="1" s="86">
      <c r="T943" s="85" t="n"/>
      <c r="U943" s="85" t="n"/>
      <c r="V943" s="85" t="n"/>
      <c r="W943" s="85" t="n"/>
      <c r="X943" s="85" t="n"/>
      <c r="Y943" s="85" t="n"/>
      <c r="Z943" s="85" t="n"/>
    </row>
    <row r="944" ht="15.75" customHeight="1" s="86">
      <c r="T944" s="85" t="n"/>
      <c r="U944" s="85" t="n"/>
      <c r="V944" s="85" t="n"/>
      <c r="W944" s="85" t="n"/>
      <c r="X944" s="85" t="n"/>
      <c r="Y944" s="85" t="n"/>
      <c r="Z944" s="85" t="n"/>
    </row>
    <row r="945" ht="15.75" customHeight="1" s="86">
      <c r="T945" s="85" t="n"/>
      <c r="U945" s="85" t="n"/>
      <c r="V945" s="85" t="n"/>
      <c r="W945" s="85" t="n"/>
      <c r="X945" s="85" t="n"/>
      <c r="Y945" s="85" t="n"/>
      <c r="Z945" s="85" t="n"/>
    </row>
    <row r="946" ht="15.75" customHeight="1" s="86">
      <c r="T946" s="85" t="n"/>
      <c r="U946" s="85" t="n"/>
      <c r="V946" s="85" t="n"/>
      <c r="W946" s="85" t="n"/>
      <c r="X946" s="85" t="n"/>
      <c r="Y946" s="85" t="n"/>
      <c r="Z946" s="85" t="n"/>
    </row>
    <row r="947" ht="15.75" customHeight="1" s="86">
      <c r="T947" s="85" t="n"/>
      <c r="U947" s="85" t="n"/>
      <c r="V947" s="85" t="n"/>
      <c r="W947" s="85" t="n"/>
      <c r="X947" s="85" t="n"/>
      <c r="Y947" s="85" t="n"/>
      <c r="Z947" s="85" t="n"/>
    </row>
    <row r="948" ht="15.75" customHeight="1" s="86">
      <c r="T948" s="85" t="n"/>
      <c r="U948" s="85" t="n"/>
      <c r="V948" s="85" t="n"/>
      <c r="W948" s="85" t="n"/>
      <c r="X948" s="85" t="n"/>
      <c r="Y948" s="85" t="n"/>
      <c r="Z948" s="85" t="n"/>
    </row>
    <row r="949" ht="15.75" customHeight="1" s="86">
      <c r="T949" s="85" t="n"/>
      <c r="U949" s="85" t="n"/>
      <c r="V949" s="85" t="n"/>
      <c r="W949" s="85" t="n"/>
      <c r="X949" s="85" t="n"/>
      <c r="Y949" s="85" t="n"/>
      <c r="Z949" s="85" t="n"/>
    </row>
    <row r="950" ht="15.75" customHeight="1" s="86">
      <c r="T950" s="85" t="n"/>
      <c r="U950" s="85" t="n"/>
      <c r="V950" s="85" t="n"/>
      <c r="W950" s="85" t="n"/>
      <c r="X950" s="85" t="n"/>
      <c r="Y950" s="85" t="n"/>
      <c r="Z950" s="85" t="n"/>
    </row>
    <row r="951" ht="15.75" customHeight="1" s="86">
      <c r="T951" s="85" t="n"/>
      <c r="U951" s="85" t="n"/>
      <c r="V951" s="85" t="n"/>
      <c r="W951" s="85" t="n"/>
      <c r="X951" s="85" t="n"/>
      <c r="Y951" s="85" t="n"/>
      <c r="Z951" s="85" t="n"/>
    </row>
    <row r="952" ht="15.75" customHeight="1" s="86">
      <c r="T952" s="85" t="n"/>
      <c r="U952" s="85" t="n"/>
      <c r="V952" s="85" t="n"/>
      <c r="W952" s="85" t="n"/>
      <c r="X952" s="85" t="n"/>
      <c r="Y952" s="85" t="n"/>
      <c r="Z952" s="85" t="n"/>
    </row>
    <row r="953" ht="15.75" customHeight="1" s="86">
      <c r="T953" s="85" t="n"/>
      <c r="U953" s="85" t="n"/>
      <c r="V953" s="85" t="n"/>
      <c r="W953" s="85" t="n"/>
      <c r="X953" s="85" t="n"/>
      <c r="Y953" s="85" t="n"/>
      <c r="Z953" s="85" t="n"/>
    </row>
    <row r="954" ht="15.75" customHeight="1" s="86">
      <c r="T954" s="85" t="n"/>
      <c r="U954" s="85" t="n"/>
      <c r="V954" s="85" t="n"/>
      <c r="W954" s="85" t="n"/>
      <c r="X954" s="85" t="n"/>
      <c r="Y954" s="85" t="n"/>
      <c r="Z954" s="85" t="n"/>
    </row>
    <row r="955" ht="15.75" customHeight="1" s="86">
      <c r="T955" s="85" t="n"/>
      <c r="U955" s="85" t="n"/>
      <c r="V955" s="85" t="n"/>
      <c r="W955" s="85" t="n"/>
      <c r="X955" s="85" t="n"/>
      <c r="Y955" s="85" t="n"/>
      <c r="Z955" s="85" t="n"/>
    </row>
    <row r="956" ht="15.75" customHeight="1" s="86">
      <c r="T956" s="85" t="n"/>
      <c r="U956" s="85" t="n"/>
      <c r="V956" s="85" t="n"/>
      <c r="W956" s="85" t="n"/>
      <c r="X956" s="85" t="n"/>
      <c r="Y956" s="85" t="n"/>
      <c r="Z956" s="85" t="n"/>
    </row>
    <row r="957" ht="15.75" customHeight="1" s="86">
      <c r="T957" s="85" t="n"/>
      <c r="U957" s="85" t="n"/>
      <c r="V957" s="85" t="n"/>
      <c r="W957" s="85" t="n"/>
      <c r="X957" s="85" t="n"/>
      <c r="Y957" s="85" t="n"/>
      <c r="Z957" s="85" t="n"/>
    </row>
    <row r="958" ht="15.75" customHeight="1" s="86">
      <c r="T958" s="85" t="n"/>
      <c r="U958" s="85" t="n"/>
      <c r="V958" s="85" t="n"/>
      <c r="W958" s="85" t="n"/>
      <c r="X958" s="85" t="n"/>
      <c r="Y958" s="85" t="n"/>
      <c r="Z958" s="85" t="n"/>
    </row>
    <row r="959" ht="15.75" customHeight="1" s="86">
      <c r="T959" s="85" t="n"/>
      <c r="U959" s="85" t="n"/>
      <c r="V959" s="85" t="n"/>
      <c r="W959" s="85" t="n"/>
      <c r="X959" s="85" t="n"/>
      <c r="Y959" s="85" t="n"/>
      <c r="Z959" s="85" t="n"/>
    </row>
    <row r="960" ht="15.75" customHeight="1" s="86">
      <c r="T960" s="85" t="n"/>
      <c r="U960" s="85" t="n"/>
      <c r="V960" s="85" t="n"/>
      <c r="W960" s="85" t="n"/>
      <c r="X960" s="85" t="n"/>
      <c r="Y960" s="85" t="n"/>
      <c r="Z960" s="85" t="n"/>
    </row>
    <row r="961" ht="15.75" customHeight="1" s="86">
      <c r="T961" s="85" t="n"/>
      <c r="U961" s="85" t="n"/>
      <c r="V961" s="85" t="n"/>
      <c r="W961" s="85" t="n"/>
      <c r="X961" s="85" t="n"/>
      <c r="Y961" s="85" t="n"/>
      <c r="Z961" s="85" t="n"/>
    </row>
    <row r="962" ht="15.75" customHeight="1" s="86">
      <c r="T962" s="85" t="n"/>
      <c r="U962" s="85" t="n"/>
      <c r="V962" s="85" t="n"/>
      <c r="W962" s="85" t="n"/>
      <c r="X962" s="85" t="n"/>
      <c r="Y962" s="85" t="n"/>
      <c r="Z962" s="85" t="n"/>
    </row>
    <row r="963" ht="15.75" customHeight="1" s="86">
      <c r="T963" s="85" t="n"/>
      <c r="U963" s="85" t="n"/>
      <c r="V963" s="85" t="n"/>
      <c r="W963" s="85" t="n"/>
      <c r="X963" s="85" t="n"/>
      <c r="Y963" s="85" t="n"/>
      <c r="Z963" s="85" t="n"/>
    </row>
    <row r="964" ht="15.75" customHeight="1" s="86">
      <c r="T964" s="85" t="n"/>
      <c r="U964" s="85" t="n"/>
      <c r="V964" s="85" t="n"/>
      <c r="W964" s="85" t="n"/>
      <c r="X964" s="85" t="n"/>
      <c r="Y964" s="85" t="n"/>
      <c r="Z964" s="85" t="n"/>
    </row>
    <row r="965" ht="15.75" customHeight="1" s="86">
      <c r="T965" s="85" t="n"/>
      <c r="U965" s="85" t="n"/>
      <c r="V965" s="85" t="n"/>
      <c r="W965" s="85" t="n"/>
      <c r="X965" s="85" t="n"/>
      <c r="Y965" s="85" t="n"/>
      <c r="Z965" s="85" t="n"/>
    </row>
    <row r="966" ht="15.75" customHeight="1" s="86">
      <c r="T966" s="85" t="n"/>
      <c r="U966" s="85" t="n"/>
      <c r="V966" s="85" t="n"/>
      <c r="W966" s="85" t="n"/>
      <c r="X966" s="85" t="n"/>
      <c r="Y966" s="85" t="n"/>
      <c r="Z966" s="85" t="n"/>
    </row>
    <row r="967" ht="15.75" customHeight="1" s="86">
      <c r="T967" s="85" t="n"/>
      <c r="U967" s="85" t="n"/>
      <c r="V967" s="85" t="n"/>
      <c r="W967" s="85" t="n"/>
      <c r="X967" s="85" t="n"/>
      <c r="Y967" s="85" t="n"/>
      <c r="Z967" s="85" t="n"/>
    </row>
    <row r="968" ht="15.75" customHeight="1" s="86">
      <c r="T968" s="85" t="n"/>
      <c r="U968" s="85" t="n"/>
      <c r="V968" s="85" t="n"/>
      <c r="W968" s="85" t="n"/>
      <c r="X968" s="85" t="n"/>
      <c r="Y968" s="85" t="n"/>
      <c r="Z968" s="85" t="n"/>
    </row>
    <row r="969" ht="15.75" customHeight="1" s="86">
      <c r="T969" s="85" t="n"/>
      <c r="U969" s="85" t="n"/>
      <c r="V969" s="85" t="n"/>
      <c r="W969" s="85" t="n"/>
      <c r="X969" s="85" t="n"/>
      <c r="Y969" s="85" t="n"/>
      <c r="Z969" s="85" t="n"/>
    </row>
    <row r="970" ht="15.75" customHeight="1" s="86">
      <c r="T970" s="85" t="n"/>
      <c r="U970" s="85" t="n"/>
      <c r="V970" s="85" t="n"/>
      <c r="W970" s="85" t="n"/>
      <c r="X970" s="85" t="n"/>
      <c r="Y970" s="85" t="n"/>
      <c r="Z970" s="85" t="n"/>
    </row>
    <row r="971" ht="15.75" customHeight="1" s="86">
      <c r="T971" s="85" t="n"/>
      <c r="U971" s="85" t="n"/>
      <c r="V971" s="85" t="n"/>
      <c r="W971" s="85" t="n"/>
      <c r="X971" s="85" t="n"/>
      <c r="Y971" s="85" t="n"/>
      <c r="Z971" s="85" t="n"/>
    </row>
    <row r="972" ht="15.75" customHeight="1" s="86">
      <c r="T972" s="85" t="n"/>
      <c r="U972" s="85" t="n"/>
      <c r="V972" s="85" t="n"/>
      <c r="W972" s="85" t="n"/>
      <c r="X972" s="85" t="n"/>
      <c r="Y972" s="85" t="n"/>
      <c r="Z972" s="85" t="n"/>
    </row>
    <row r="973" ht="15.75" customHeight="1" s="86">
      <c r="T973" s="85" t="n"/>
      <c r="U973" s="85" t="n"/>
      <c r="V973" s="85" t="n"/>
      <c r="W973" s="85" t="n"/>
      <c r="X973" s="85" t="n"/>
      <c r="Y973" s="85" t="n"/>
      <c r="Z973" s="85" t="n"/>
    </row>
    <row r="974" ht="15.75" customHeight="1" s="86">
      <c r="T974" s="85" t="n"/>
      <c r="U974" s="85" t="n"/>
      <c r="V974" s="85" t="n"/>
      <c r="W974" s="85" t="n"/>
      <c r="X974" s="85" t="n"/>
      <c r="Y974" s="85" t="n"/>
      <c r="Z974" s="85" t="n"/>
    </row>
    <row r="975" ht="15.75" customHeight="1" s="86">
      <c r="T975" s="85" t="n"/>
      <c r="U975" s="85" t="n"/>
      <c r="V975" s="85" t="n"/>
      <c r="W975" s="85" t="n"/>
      <c r="X975" s="85" t="n"/>
      <c r="Y975" s="85" t="n"/>
      <c r="Z975" s="85" t="n"/>
    </row>
    <row r="976" ht="15.75" customHeight="1" s="86">
      <c r="T976" s="85" t="n"/>
      <c r="U976" s="85" t="n"/>
      <c r="V976" s="85" t="n"/>
      <c r="W976" s="85" t="n"/>
      <c r="X976" s="85" t="n"/>
      <c r="Y976" s="85" t="n"/>
      <c r="Z976" s="85" t="n"/>
    </row>
    <row r="977" ht="15.75" customHeight="1" s="86">
      <c r="T977" s="85" t="n"/>
      <c r="U977" s="85" t="n"/>
      <c r="V977" s="85" t="n"/>
      <c r="W977" s="85" t="n"/>
      <c r="X977" s="85" t="n"/>
      <c r="Y977" s="85" t="n"/>
      <c r="Z977" s="85" t="n"/>
    </row>
    <row r="978" ht="15.75" customHeight="1" s="86">
      <c r="T978" s="85" t="n"/>
      <c r="U978" s="85" t="n"/>
      <c r="V978" s="85" t="n"/>
      <c r="W978" s="85" t="n"/>
      <c r="X978" s="85" t="n"/>
      <c r="Y978" s="85" t="n"/>
      <c r="Z978" s="85" t="n"/>
    </row>
    <row r="979" ht="15.75" customHeight="1" s="86">
      <c r="T979" s="85" t="n"/>
      <c r="U979" s="85" t="n"/>
      <c r="V979" s="85" t="n"/>
      <c r="W979" s="85" t="n"/>
      <c r="X979" s="85" t="n"/>
      <c r="Y979" s="85" t="n"/>
      <c r="Z979" s="85" t="n"/>
    </row>
    <row r="980" ht="15.75" customHeight="1" s="86">
      <c r="T980" s="85" t="n"/>
      <c r="U980" s="85" t="n"/>
      <c r="V980" s="85" t="n"/>
      <c r="W980" s="85" t="n"/>
      <c r="X980" s="85" t="n"/>
      <c r="Y980" s="85" t="n"/>
      <c r="Z980" s="85" t="n"/>
    </row>
    <row r="981" ht="15.75" customHeight="1" s="86">
      <c r="T981" s="85" t="n"/>
      <c r="U981" s="85" t="n"/>
      <c r="V981" s="85" t="n"/>
      <c r="W981" s="85" t="n"/>
      <c r="X981" s="85" t="n"/>
      <c r="Y981" s="85" t="n"/>
      <c r="Z981" s="85" t="n"/>
    </row>
    <row r="982" ht="15.75" customHeight="1" s="86">
      <c r="T982" s="85" t="n"/>
      <c r="U982" s="85" t="n"/>
      <c r="V982" s="85" t="n"/>
      <c r="W982" s="85" t="n"/>
      <c r="X982" s="85" t="n"/>
      <c r="Y982" s="85" t="n"/>
      <c r="Z982" s="85" t="n"/>
    </row>
    <row r="983" ht="15.75" customHeight="1" s="86">
      <c r="T983" s="85" t="n"/>
      <c r="U983" s="85" t="n"/>
      <c r="V983" s="85" t="n"/>
      <c r="W983" s="85" t="n"/>
      <c r="X983" s="85" t="n"/>
      <c r="Y983" s="85" t="n"/>
      <c r="Z983" s="85" t="n"/>
    </row>
    <row r="984" ht="15.75" customHeight="1" s="86">
      <c r="T984" s="85" t="n"/>
      <c r="U984" s="85" t="n"/>
      <c r="V984" s="85" t="n"/>
      <c r="W984" s="85" t="n"/>
      <c r="X984" s="85" t="n"/>
      <c r="Y984" s="85" t="n"/>
      <c r="Z984" s="85" t="n"/>
    </row>
    <row r="985" ht="15.75" customHeight="1" s="86">
      <c r="T985" s="85" t="n"/>
      <c r="U985" s="85" t="n"/>
      <c r="V985" s="85" t="n"/>
      <c r="W985" s="85" t="n"/>
      <c r="X985" s="85" t="n"/>
      <c r="Y985" s="85" t="n"/>
      <c r="Z985" s="85" t="n"/>
    </row>
    <row r="986" ht="15.75" customHeight="1" s="86">
      <c r="T986" s="85" t="n"/>
      <c r="U986" s="85" t="n"/>
      <c r="V986" s="85" t="n"/>
      <c r="W986" s="85" t="n"/>
      <c r="X986" s="85" t="n"/>
      <c r="Y986" s="85" t="n"/>
      <c r="Z986" s="85" t="n"/>
    </row>
    <row r="987" ht="15.75" customHeight="1" s="86">
      <c r="T987" s="85" t="n"/>
      <c r="U987" s="85" t="n"/>
      <c r="V987" s="85" t="n"/>
      <c r="W987" s="85" t="n"/>
      <c r="X987" s="85" t="n"/>
      <c r="Y987" s="85" t="n"/>
      <c r="Z987" s="85" t="n"/>
    </row>
    <row r="988" ht="15.75" customHeight="1" s="86">
      <c r="T988" s="85" t="n"/>
      <c r="U988" s="85" t="n"/>
      <c r="V988" s="85" t="n"/>
      <c r="W988" s="85" t="n"/>
      <c r="X988" s="85" t="n"/>
      <c r="Y988" s="85" t="n"/>
      <c r="Z988" s="85" t="n"/>
    </row>
    <row r="989" ht="15.75" customHeight="1" s="86">
      <c r="T989" s="85" t="n"/>
      <c r="U989" s="85" t="n"/>
      <c r="V989" s="85" t="n"/>
      <c r="W989" s="85" t="n"/>
      <c r="X989" s="85" t="n"/>
      <c r="Y989" s="85" t="n"/>
      <c r="Z989" s="85" t="n"/>
    </row>
    <row r="990" ht="15.75" customHeight="1" s="86">
      <c r="T990" s="85" t="n"/>
      <c r="U990" s="85" t="n"/>
      <c r="V990" s="85" t="n"/>
      <c r="W990" s="85" t="n"/>
      <c r="X990" s="85" t="n"/>
      <c r="Y990" s="85" t="n"/>
      <c r="Z990" s="85" t="n"/>
    </row>
    <row r="991" ht="15.75" customHeight="1" s="86">
      <c r="T991" s="85" t="n"/>
      <c r="U991" s="85" t="n"/>
      <c r="V991" s="85" t="n"/>
      <c r="W991" s="85" t="n"/>
      <c r="X991" s="85" t="n"/>
      <c r="Y991" s="85" t="n"/>
      <c r="Z991" s="85" t="n"/>
    </row>
    <row r="992" ht="15.75" customHeight="1" s="86">
      <c r="T992" s="85" t="n"/>
      <c r="U992" s="85" t="n"/>
      <c r="V992" s="85" t="n"/>
      <c r="W992" s="85" t="n"/>
      <c r="X992" s="85" t="n"/>
      <c r="Y992" s="85" t="n"/>
      <c r="Z992" s="85" t="n"/>
    </row>
    <row r="993" ht="15.75" customHeight="1" s="86">
      <c r="T993" s="85" t="n"/>
      <c r="U993" s="85" t="n"/>
      <c r="V993" s="85" t="n"/>
      <c r="W993" s="85" t="n"/>
      <c r="X993" s="85" t="n"/>
      <c r="Y993" s="85" t="n"/>
      <c r="Z993" s="85" t="n"/>
    </row>
    <row r="994" ht="15.75" customHeight="1" s="86">
      <c r="T994" s="85" t="n"/>
      <c r="U994" s="85" t="n"/>
      <c r="V994" s="85" t="n"/>
      <c r="W994" s="85" t="n"/>
      <c r="X994" s="85" t="n"/>
      <c r="Y994" s="85" t="n"/>
      <c r="Z994" s="85" t="n"/>
    </row>
    <row r="995" ht="15.75" customHeight="1" s="86">
      <c r="T995" s="85" t="n"/>
      <c r="U995" s="85" t="n"/>
      <c r="V995" s="85" t="n"/>
      <c r="W995" s="85" t="n"/>
      <c r="X995" s="85" t="n"/>
      <c r="Y995" s="85" t="n"/>
      <c r="Z995" s="85" t="n"/>
    </row>
    <row r="996" ht="15.75" customHeight="1" s="86">
      <c r="T996" s="85" t="n"/>
      <c r="U996" s="85" t="n"/>
      <c r="V996" s="85" t="n"/>
      <c r="W996" s="85" t="n"/>
      <c r="X996" s="85" t="n"/>
      <c r="Y996" s="85" t="n"/>
      <c r="Z996" s="85" t="n"/>
    </row>
    <row r="997" ht="15.75" customHeight="1" s="86">
      <c r="T997" s="85" t="n"/>
      <c r="U997" s="85" t="n"/>
      <c r="V997" s="85" t="n"/>
      <c r="W997" s="85" t="n"/>
      <c r="X997" s="85" t="n"/>
      <c r="Y997" s="85" t="n"/>
      <c r="Z997" s="85" t="n"/>
    </row>
    <row r="998" ht="15.75" customHeight="1" s="86">
      <c r="T998" s="85" t="n"/>
      <c r="U998" s="85" t="n"/>
      <c r="V998" s="85" t="n"/>
      <c r="W998" s="85" t="n"/>
      <c r="X998" s="85" t="n"/>
      <c r="Y998" s="85" t="n"/>
      <c r="Z998" s="85" t="n"/>
    </row>
    <row r="999" ht="15.75" customHeight="1" s="86">
      <c r="T999" s="85" t="n"/>
      <c r="U999" s="85" t="n"/>
      <c r="V999" s="85" t="n"/>
      <c r="W999" s="85" t="n"/>
      <c r="X999" s="85" t="n"/>
      <c r="Y999" s="85" t="n"/>
      <c r="Z999" s="85" t="n"/>
    </row>
    <row r="1000" ht="15.75" customHeight="1" s="86">
      <c r="T1000" s="85" t="n"/>
      <c r="U1000" s="85" t="n"/>
      <c r="V1000" s="85" t="n"/>
      <c r="W1000" s="85" t="n"/>
      <c r="X1000" s="85" t="n"/>
      <c r="Y1000" s="85" t="n"/>
      <c r="Z1000" s="8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G2"/>
    <mergeCell ref="A1:G1"/>
  </mergeCells>
  <dataValidations count="2">
    <dataValidation sqref="C5:C18" showDropDown="0" showInputMessage="0" showErrorMessage="0" allowBlank="1" type="list" errorStyle="stop" operator="between">
      <formula1>"Weekly,Biweekly,Monthly,Quarterly,Yearly"</formula1>
      <formula2>0</formula2>
    </dataValidation>
    <dataValidation sqref="G5:G18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0" customWidth="1" style="85" min="1" max="1"/>
    <col width="12" customWidth="1" style="85" min="2" max="4"/>
    <col width="10" customWidth="1" style="85" min="5" max="5"/>
    <col width="2" customWidth="1" style="85" min="6" max="6"/>
    <col width="18" customWidth="1" style="85" min="7" max="7"/>
    <col width="15" customWidth="1" style="85" min="8" max="8"/>
    <col width="18" customWidth="1" style="85" min="9" max="9"/>
    <col width="15" customWidth="1" style="85" min="10" max="10"/>
    <col width="8.710000000000001" customWidth="1" style="85" min="11" max="19"/>
  </cols>
  <sheetData>
    <row r="1" ht="42" customHeight="1" s="86">
      <c r="A1" s="87" t="inlineStr">
        <is>
          <t>Savings &amp; Net Worth</t>
        </is>
      </c>
      <c r="K1" s="88" t="n"/>
      <c r="L1" s="88" t="n"/>
      <c r="M1" s="88" t="n"/>
      <c r="N1" s="88" t="n"/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  <c r="Z1" s="88" t="n"/>
    </row>
    <row r="2" ht="21.75" customHeight="1" s="86">
      <c r="A2" s="89" t="inlineStr">
        <is>
          <t>Track savings goals and your net worth. Saved pulls from Transfer transactions.</t>
        </is>
      </c>
      <c r="K2" s="88" t="n"/>
      <c r="L2" s="88" t="n"/>
      <c r="M2" s="88" t="n"/>
      <c r="N2" s="88" t="n"/>
      <c r="O2" s="88" t="n"/>
      <c r="P2" s="88" t="n"/>
      <c r="Q2" s="88" t="n"/>
      <c r="R2" s="88" t="n"/>
      <c r="S2" s="88" t="n"/>
      <c r="T2" s="88" t="n"/>
      <c r="U2" s="88" t="n"/>
      <c r="V2" s="88" t="n"/>
      <c r="W2" s="88" t="n"/>
      <c r="X2" s="88" t="n"/>
      <c r="Y2" s="88" t="n"/>
      <c r="Z2" s="88" t="n"/>
    </row>
    <row r="3" ht="15" customHeight="1" s="86">
      <c r="A3" s="88" t="n"/>
      <c r="B3" s="88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</row>
    <row r="4" ht="15" customHeight="1" s="86">
      <c r="A4" s="98" t="inlineStr">
        <is>
          <t>SAVINGS FUNDS</t>
        </is>
      </c>
      <c r="B4" s="131" t="n"/>
      <c r="C4" s="131" t="n"/>
      <c r="D4" s="131" t="n"/>
      <c r="E4" s="132" t="n"/>
      <c r="F4" s="88" t="n"/>
      <c r="G4" s="100" t="inlineStr">
        <is>
          <t>NET WORTH</t>
        </is>
      </c>
      <c r="H4" s="131" t="n"/>
      <c r="I4" s="131" t="n"/>
      <c r="J4" s="132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</row>
    <row r="5" ht="15" customHeight="1" s="86">
      <c r="A5" s="106" t="inlineStr">
        <is>
          <t>Fund</t>
        </is>
      </c>
      <c r="B5" s="106" t="inlineStr">
        <is>
          <t>Target</t>
        </is>
      </c>
      <c r="C5" s="106" t="inlineStr">
        <is>
          <t>Saved</t>
        </is>
      </c>
      <c r="D5" s="106" t="inlineStr">
        <is>
          <t>Left</t>
        </is>
      </c>
      <c r="E5" s="106" t="inlineStr">
        <is>
          <t>%</t>
        </is>
      </c>
      <c r="F5" s="88" t="n"/>
      <c r="G5" s="106" t="inlineStr">
        <is>
          <t>Assets</t>
        </is>
      </c>
      <c r="H5" s="106" t="inlineStr">
        <is>
          <t>Value</t>
        </is>
      </c>
      <c r="I5" s="106" t="inlineStr">
        <is>
          <t>Liabilities</t>
        </is>
      </c>
      <c r="J5" s="106" t="inlineStr">
        <is>
          <t>Value</t>
        </is>
      </c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</row>
    <row r="6" ht="15" customHeight="1" s="86">
      <c r="A6" s="102" t="inlineStr">
        <is>
          <t>Emergency Fund</t>
        </is>
      </c>
      <c r="B6" s="97">
        <v>20000</v>
      </c>
      <c r="C6" s="160">
        <f>IF($A6="","",SUMIFS(Transactions!$E$5:$E$504,Transactions!$B$5:$B$504,"Transfer",Transactions!$C$5:$C$504,$A6,Transactions!$J$5:$J$504,Setup!$F$4))</f>
        <v/>
      </c>
      <c r="D6" s="160">
        <f>IF($A6="","",B6-C6)</f>
        <v/>
      </c>
      <c r="E6" s="163">
        <f>IF(OR($A6="",B6=0),"",C6/B6)</f>
        <v/>
      </c>
      <c r="F6" s="88" t="n"/>
      <c r="G6" s="102" t="inlineStr">
        <is>
          <t>Checking</t>
        </is>
      </c>
      <c r="H6" s="97">
        <v>6400</v>
      </c>
      <c r="I6" s="102" t="inlineStr">
        <is>
          <t>Mortgage</t>
        </is>
      </c>
      <c r="J6" s="97">
        <v>298000</v>
      </c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</row>
    <row r="7" ht="15" customHeight="1" s="86">
      <c r="A7" s="102" t="inlineStr">
        <is>
          <t>Holiday Fund</t>
        </is>
      </c>
      <c r="B7" s="97">
        <v>6000</v>
      </c>
      <c r="C7" s="160">
        <f>IF($A7="","",SUMIFS(Transactions!$E$5:$E$504,Transactions!$B$5:$B$504,"Transfer",Transactions!$C$5:$C$504,$A7,Transactions!$J$5:$J$504,Setup!$F$4))</f>
        <v/>
      </c>
      <c r="D7" s="160">
        <f>IF($A7="","",B7-C7)</f>
        <v/>
      </c>
      <c r="E7" s="163">
        <f>IF(OR($A7="",B7=0),"",C7/B7)</f>
        <v/>
      </c>
      <c r="F7" s="88" t="n"/>
      <c r="G7" s="102" t="inlineStr">
        <is>
          <t>Savings</t>
        </is>
      </c>
      <c r="H7" s="97">
        <v>22560</v>
      </c>
      <c r="I7" s="102" t="inlineStr">
        <is>
          <t>Car loan</t>
        </is>
      </c>
      <c r="J7" s="97">
        <v>11200</v>
      </c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88" t="n"/>
      <c r="W7" s="88" t="n"/>
      <c r="X7" s="88" t="n"/>
      <c r="Y7" s="88" t="n"/>
      <c r="Z7" s="88" t="n"/>
    </row>
    <row r="8" ht="15" customHeight="1" s="86">
      <c r="A8" s="102" t="inlineStr">
        <is>
          <t>New Car</t>
        </is>
      </c>
      <c r="B8" s="97">
        <v>25000</v>
      </c>
      <c r="C8" s="160">
        <f>IF($A8="","",SUMIFS(Transactions!$E$5:$E$504,Transactions!$B$5:$B$504,"Transfer",Transactions!$C$5:$C$504,$A8,Transactions!$J$5:$J$504,Setup!$F$4))</f>
        <v/>
      </c>
      <c r="D8" s="160">
        <f>IF($A8="","",B8-C8)</f>
        <v/>
      </c>
      <c r="E8" s="163">
        <f>IF(OR($A8="",B8=0),"",C8/B8)</f>
        <v/>
      </c>
      <c r="F8" s="88" t="n"/>
      <c r="G8" s="102" t="inlineStr">
        <is>
          <t>Investments</t>
        </is>
      </c>
      <c r="H8" s="97">
        <v>42000</v>
      </c>
      <c r="I8" s="102" t="inlineStr">
        <is>
          <t>Credit card</t>
        </is>
      </c>
      <c r="J8" s="97">
        <v>2300</v>
      </c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8" t="n"/>
      <c r="U8" s="88" t="n"/>
      <c r="V8" s="88" t="n"/>
      <c r="W8" s="88" t="n"/>
      <c r="X8" s="88" t="n"/>
      <c r="Y8" s="88" t="n"/>
      <c r="Z8" s="88" t="n"/>
    </row>
    <row r="9" ht="15" customHeight="1" s="86">
      <c r="A9" s="102" t="n"/>
      <c r="B9" s="97" t="n"/>
      <c r="C9" s="160">
        <f>IF($A9="","",SUMIFS(Transactions!$E$5:$E$504,Transactions!$B$5:$B$504,"Transfer",Transactions!$C$5:$C$504,$A9,Transactions!$J$5:$J$504,Setup!$F$4))</f>
        <v/>
      </c>
      <c r="D9" s="160">
        <f>IF($A9="","",B9-C9)</f>
        <v/>
      </c>
      <c r="E9" s="163">
        <f>IF(OR($A9="",B9=0),"",C9/B9)</f>
        <v/>
      </c>
      <c r="F9" s="88" t="n"/>
      <c r="G9" s="102" t="inlineStr">
        <is>
          <t>Car</t>
        </is>
      </c>
      <c r="H9" s="97">
        <v>18500</v>
      </c>
      <c r="I9" s="102" t="n"/>
      <c r="J9" s="97" t="n"/>
      <c r="K9" s="88" t="n"/>
      <c r="L9" s="88" t="n"/>
      <c r="M9" s="88" t="n"/>
      <c r="N9" s="88" t="n"/>
      <c r="O9" s="88" t="n"/>
      <c r="P9" s="88" t="n"/>
      <c r="Q9" s="88" t="n"/>
      <c r="R9" s="88" t="n"/>
      <c r="S9" s="88" t="n"/>
      <c r="T9" s="88" t="n"/>
      <c r="U9" s="88" t="n"/>
      <c r="V9" s="88" t="n"/>
      <c r="W9" s="88" t="n"/>
      <c r="X9" s="88" t="n"/>
      <c r="Y9" s="88" t="n"/>
      <c r="Z9" s="88" t="n"/>
    </row>
    <row r="10" ht="15" customHeight="1" s="86">
      <c r="A10" s="102" t="n"/>
      <c r="B10" s="97" t="n"/>
      <c r="C10" s="160">
        <f>IF($A10="","",SUMIFS(Transactions!$E$5:$E$504,Transactions!$B$5:$B$504,"Transfer",Transactions!$C$5:$C$504,$A10,Transactions!$J$5:$J$504,Setup!$F$4))</f>
        <v/>
      </c>
      <c r="D10" s="160">
        <f>IF($A10="","",B10-C10)</f>
        <v/>
      </c>
      <c r="E10" s="163">
        <f>IF(OR($A10="",B10=0),"",C10/B10)</f>
        <v/>
      </c>
      <c r="F10" s="88" t="n"/>
      <c r="G10" s="102" t="inlineStr">
        <is>
          <t>Home</t>
        </is>
      </c>
      <c r="H10" s="97">
        <v>420000</v>
      </c>
      <c r="I10" s="102" t="n"/>
      <c r="J10" s="97" t="n"/>
      <c r="K10" s="88" t="n"/>
      <c r="L10" s="88" t="n"/>
      <c r="M10" s="88" t="n"/>
      <c r="N10" s="88" t="n"/>
      <c r="O10" s="88" t="n"/>
      <c r="P10" s="88" t="n"/>
      <c r="Q10" s="88" t="n"/>
      <c r="R10" s="88" t="n"/>
      <c r="S10" s="88" t="n"/>
      <c r="T10" s="88" t="n"/>
      <c r="U10" s="88" t="n"/>
      <c r="V10" s="88" t="n"/>
      <c r="W10" s="88" t="n"/>
      <c r="X10" s="88" t="n"/>
      <c r="Y10" s="88" t="n"/>
      <c r="Z10" s="88" t="n"/>
    </row>
    <row r="11" ht="15" customHeight="1" s="86">
      <c r="A11" s="102" t="n"/>
      <c r="B11" s="97" t="n"/>
      <c r="C11" s="160">
        <f>IF($A11="","",SUMIFS(Transactions!$E$5:$E$504,Transactions!$B$5:$B$504,"Transfer",Transactions!$C$5:$C$504,$A11,Transactions!$J$5:$J$504,Setup!$F$4))</f>
        <v/>
      </c>
      <c r="D11" s="160">
        <f>IF($A11="","",B11-C11)</f>
        <v/>
      </c>
      <c r="E11" s="163">
        <f>IF(OR($A11="",B11=0),"",C11/B11)</f>
        <v/>
      </c>
      <c r="F11" s="88" t="n"/>
      <c r="G11" s="102" t="n"/>
      <c r="H11" s="97" t="n"/>
      <c r="I11" s="102" t="n"/>
      <c r="J11" s="97" t="n"/>
      <c r="K11" s="88" t="n"/>
      <c r="L11" s="88" t="n"/>
      <c r="M11" s="88" t="n"/>
      <c r="N11" s="88" t="n"/>
      <c r="O11" s="88" t="n"/>
      <c r="P11" s="88" t="n"/>
      <c r="Q11" s="88" t="n"/>
      <c r="R11" s="88" t="n"/>
      <c r="S11" s="88" t="n"/>
      <c r="T11" s="88" t="n"/>
      <c r="U11" s="88" t="n"/>
      <c r="V11" s="88" t="n"/>
      <c r="W11" s="88" t="n"/>
      <c r="X11" s="88" t="n"/>
      <c r="Y11" s="88" t="n"/>
      <c r="Z11" s="88" t="n"/>
    </row>
    <row r="12" ht="15" customHeight="1" s="86">
      <c r="A12" s="102" t="n"/>
      <c r="B12" s="97" t="n"/>
      <c r="C12" s="160">
        <f>IF($A12="","",SUMIFS(Transactions!$E$5:$E$504,Transactions!$B$5:$B$504,"Transfer",Transactions!$C$5:$C$504,$A12,Transactions!$J$5:$J$504,Setup!$F$4))</f>
        <v/>
      </c>
      <c r="D12" s="160">
        <f>IF($A12="","",B12-C12)</f>
        <v/>
      </c>
      <c r="E12" s="163">
        <f>IF(OR($A12="",B12=0),"",C12/B12)</f>
        <v/>
      </c>
      <c r="F12" s="88" t="n"/>
      <c r="G12" s="88" t="n"/>
      <c r="H12" s="88" t="n"/>
      <c r="I12" s="88" t="n"/>
      <c r="J12" s="88" t="n"/>
      <c r="K12" s="88" t="n"/>
      <c r="L12" s="88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 t="n"/>
      <c r="Z12" s="88" t="n"/>
    </row>
    <row r="13" ht="15" customHeight="1" s="86">
      <c r="A13" s="102" t="n"/>
      <c r="B13" s="97" t="n"/>
      <c r="C13" s="160">
        <f>IF($A13="","",SUMIFS(Transactions!$E$5:$E$504,Transactions!$B$5:$B$504,"Transfer",Transactions!$C$5:$C$504,$A13,Transactions!$J$5:$J$504,Setup!$F$4))</f>
        <v/>
      </c>
      <c r="D13" s="160">
        <f>IF($A13="","",B13-C13)</f>
        <v/>
      </c>
      <c r="E13" s="163">
        <f>IF(OR($A13="",B13=0),"",C13/B13)</f>
        <v/>
      </c>
      <c r="F13" s="88" t="n"/>
      <c r="G13" s="91" t="inlineStr">
        <is>
          <t>Total assets</t>
        </is>
      </c>
      <c r="H13" s="164">
        <f>SUM(H6:H11)</f>
        <v/>
      </c>
      <c r="I13" s="88" t="n"/>
      <c r="J13" s="88" t="n"/>
      <c r="K13" s="88" t="n"/>
      <c r="L13" s="88" t="n"/>
      <c r="M13" s="88" t="n"/>
      <c r="N13" s="88" t="n"/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  <c r="Y13" s="88" t="n"/>
      <c r="Z13" s="88" t="n"/>
    </row>
    <row r="14" ht="15" customHeight="1" s="86">
      <c r="A14" s="88" t="n"/>
      <c r="B14" s="88" t="n"/>
      <c r="C14" s="88" t="n"/>
      <c r="D14" s="88" t="n"/>
      <c r="E14" s="88" t="n"/>
      <c r="F14" s="88" t="n"/>
      <c r="G14" s="91" t="inlineStr">
        <is>
          <t>Total liabilities</t>
        </is>
      </c>
      <c r="H14" s="164">
        <f>SUM(J6:J11)</f>
        <v/>
      </c>
      <c r="I14" s="88" t="n"/>
      <c r="J14" s="88" t="n"/>
      <c r="K14" s="88" t="n"/>
      <c r="L14" s="88" t="n"/>
      <c r="M14" s="88" t="n"/>
      <c r="N14" s="88" t="n"/>
      <c r="O14" s="88" t="n"/>
      <c r="P14" s="88" t="n"/>
      <c r="Q14" s="88" t="n"/>
      <c r="R14" s="88" t="n"/>
      <c r="S14" s="88" t="n"/>
      <c r="T14" s="88" t="n"/>
      <c r="U14" s="88" t="n"/>
      <c r="V14" s="88" t="n"/>
      <c r="W14" s="88" t="n"/>
      <c r="X14" s="88" t="n"/>
      <c r="Y14" s="88" t="n"/>
      <c r="Z14" s="88" t="n"/>
    </row>
    <row r="15" ht="15" customHeight="1" s="86">
      <c r="A15" s="88" t="n"/>
      <c r="B15" s="88" t="n"/>
      <c r="C15" s="88" t="n"/>
      <c r="D15" s="88" t="n"/>
      <c r="E15" s="88" t="n"/>
      <c r="F15" s="88" t="n"/>
      <c r="G15" s="90" t="inlineStr">
        <is>
          <t>NET WORTH</t>
        </is>
      </c>
      <c r="H15" s="165">
        <f>H13-H14</f>
        <v/>
      </c>
      <c r="I15" s="88" t="n"/>
      <c r="J15" s="88" t="n"/>
      <c r="K15" s="88" t="n"/>
      <c r="L15" s="88" t="n"/>
      <c r="M15" s="88" t="n"/>
      <c r="N15" s="88" t="n"/>
      <c r="O15" s="88" t="n"/>
      <c r="P15" s="88" t="n"/>
      <c r="Q15" s="88" t="n"/>
      <c r="R15" s="88" t="n"/>
      <c r="S15" s="88" t="n"/>
      <c r="T15" s="88" t="n"/>
      <c r="U15" s="88" t="n"/>
      <c r="V15" s="88" t="n"/>
      <c r="W15" s="88" t="n"/>
      <c r="X15" s="88" t="n"/>
      <c r="Y15" s="88" t="n"/>
      <c r="Z15" s="88" t="n"/>
    </row>
    <row r="16" ht="15" customHeight="1" s="86">
      <c r="A16" s="88" t="n"/>
      <c r="B16" s="88" t="n"/>
      <c r="C16" s="88" t="n"/>
      <c r="D16" s="88" t="n"/>
      <c r="E16" s="88" t="n"/>
      <c r="F16" s="88" t="n"/>
      <c r="G16" s="88" t="n"/>
      <c r="H16" s="88" t="n"/>
      <c r="I16" s="88" t="n"/>
      <c r="J16" s="88" t="n"/>
      <c r="K16" s="88" t="n"/>
      <c r="L16" s="88" t="n"/>
      <c r="M16" s="88" t="n"/>
      <c r="N16" s="88" t="n"/>
      <c r="O16" s="88" t="n"/>
      <c r="P16" s="88" t="n"/>
      <c r="Q16" s="88" t="n"/>
      <c r="R16" s="88" t="n"/>
      <c r="S16" s="88" t="n"/>
      <c r="T16" s="88" t="n"/>
      <c r="U16" s="88" t="n"/>
      <c r="V16" s="88" t="n"/>
      <c r="W16" s="88" t="n"/>
      <c r="X16" s="88" t="n"/>
      <c r="Y16" s="88" t="n"/>
      <c r="Z16" s="88" t="n"/>
    </row>
    <row r="17" ht="15" customHeight="1" s="86">
      <c r="A17" s="88" t="n"/>
      <c r="B17" s="88" t="n"/>
      <c r="C17" s="88" t="n"/>
      <c r="D17" s="88" t="n"/>
      <c r="E17" s="88" t="n"/>
      <c r="F17" s="88" t="n"/>
      <c r="G17" s="88" t="n"/>
      <c r="H17" s="88" t="n"/>
      <c r="I17" s="88" t="n"/>
      <c r="J17" s="88" t="n"/>
      <c r="K17" s="88" t="n"/>
      <c r="L17" s="88" t="n"/>
      <c r="M17" s="88" t="n"/>
      <c r="N17" s="88" t="n"/>
      <c r="O17" s="88" t="n"/>
      <c r="P17" s="88" t="n"/>
      <c r="Q17" s="88" t="n"/>
      <c r="R17" s="88" t="n"/>
      <c r="S17" s="88" t="n"/>
      <c r="T17" s="88" t="n"/>
      <c r="U17" s="88" t="n"/>
      <c r="V17" s="88" t="n"/>
      <c r="W17" s="88" t="n"/>
      <c r="X17" s="88" t="n"/>
      <c r="Y17" s="88" t="n"/>
      <c r="Z17" s="88" t="n"/>
    </row>
    <row r="18" ht="15" customHeight="1" s="86">
      <c r="A18" s="88" t="n"/>
      <c r="B18" s="88" t="n"/>
      <c r="C18" s="88" t="n"/>
      <c r="D18" s="88" t="n"/>
      <c r="E18" s="88" t="n"/>
      <c r="F18" s="88" t="n"/>
      <c r="G18" s="88" t="n"/>
      <c r="H18" s="88" t="n"/>
      <c r="I18" s="88" t="n"/>
      <c r="J18" s="88" t="n"/>
      <c r="K18" s="88" t="n"/>
      <c r="L18" s="88" t="n"/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  <c r="Y18" s="88" t="n"/>
      <c r="Z18" s="88" t="n"/>
    </row>
    <row r="19" ht="15" customHeight="1" s="86">
      <c r="A19" s="88" t="n"/>
      <c r="B19" s="88" t="n"/>
      <c r="C19" s="88" t="n"/>
      <c r="D19" s="88" t="n"/>
      <c r="E19" s="88" t="n"/>
      <c r="F19" s="88" t="n"/>
      <c r="G19" s="88" t="n"/>
      <c r="H19" s="88" t="n"/>
      <c r="I19" s="88" t="n"/>
      <c r="J19" s="88" t="n"/>
      <c r="K19" s="88" t="n"/>
      <c r="L19" s="88" t="n"/>
      <c r="M19" s="88" t="n"/>
      <c r="N19" s="88" t="n"/>
      <c r="O19" s="88" t="n"/>
      <c r="P19" s="88" t="n"/>
      <c r="Q19" s="88" t="n"/>
      <c r="R19" s="88" t="n"/>
      <c r="S19" s="88" t="n"/>
      <c r="T19" s="88" t="n"/>
      <c r="U19" s="88" t="n"/>
      <c r="V19" s="88" t="n"/>
      <c r="W19" s="88" t="n"/>
      <c r="X19" s="88" t="n"/>
      <c r="Y19" s="88" t="n"/>
      <c r="Z19" s="88" t="n"/>
    </row>
    <row r="20" ht="15" customHeight="1" s="86">
      <c r="A20" s="88" t="n"/>
      <c r="B20" s="88" t="n"/>
      <c r="C20" s="88" t="n"/>
      <c r="D20" s="88" t="n"/>
      <c r="E20" s="88" t="n"/>
      <c r="F20" s="88" t="n"/>
      <c r="G20" s="88" t="n"/>
      <c r="H20" s="88" t="n"/>
      <c r="I20" s="88" t="n"/>
      <c r="J20" s="88" t="n"/>
      <c r="K20" s="88" t="n"/>
      <c r="L20" s="88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  <c r="Z20" s="88" t="n"/>
    </row>
    <row r="21" ht="15" customHeight="1" s="86">
      <c r="A21" s="88" t="n"/>
      <c r="B21" s="88" t="n"/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</row>
    <row r="22" ht="15" customHeight="1" s="86">
      <c r="A22" s="88" t="n"/>
      <c r="B22" s="88" t="n"/>
      <c r="C22" s="88" t="n"/>
      <c r="D22" s="88" t="n"/>
      <c r="E22" s="88" t="n"/>
      <c r="F22" s="88" t="n"/>
      <c r="G22" s="88" t="n"/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</row>
    <row r="23" ht="15" customHeight="1" s="86">
      <c r="A23" s="88" t="n"/>
      <c r="B23" s="88" t="n"/>
      <c r="C23" s="88" t="n"/>
      <c r="D23" s="88" t="n"/>
      <c r="E23" s="88" t="n"/>
      <c r="F23" s="88" t="n"/>
      <c r="G23" s="88" t="n"/>
      <c r="H23" s="88" t="n"/>
      <c r="I23" s="88" t="n"/>
      <c r="J23" s="88" t="n"/>
      <c r="K23" s="88" t="n"/>
      <c r="L23" s="88" t="n"/>
      <c r="M23" s="88" t="n"/>
      <c r="N23" s="88" t="n"/>
      <c r="O23" s="88" t="n"/>
      <c r="P23" s="88" t="n"/>
      <c r="Q23" s="88" t="n"/>
      <c r="R23" s="88" t="n"/>
      <c r="S23" s="88" t="n"/>
      <c r="T23" s="88" t="n"/>
      <c r="U23" s="88" t="n"/>
      <c r="V23" s="88" t="n"/>
      <c r="W23" s="88" t="n"/>
      <c r="X23" s="88" t="n"/>
      <c r="Y23" s="88" t="n"/>
      <c r="Z23" s="88" t="n"/>
    </row>
    <row r="24" ht="15" customHeight="1" s="86">
      <c r="A24" s="88" t="n"/>
      <c r="B24" s="88" t="n"/>
      <c r="C24" s="88" t="n"/>
      <c r="D24" s="88" t="n"/>
      <c r="E24" s="88" t="n"/>
      <c r="F24" s="88" t="n"/>
      <c r="G24" s="88" t="n"/>
      <c r="H24" s="88" t="n"/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8" t="n"/>
      <c r="W24" s="88" t="n"/>
      <c r="X24" s="88" t="n"/>
      <c r="Y24" s="88" t="n"/>
      <c r="Z24" s="88" t="n"/>
    </row>
    <row r="25" ht="15" customHeight="1" s="86">
      <c r="A25" s="88" t="n"/>
      <c r="B25" s="88" t="n"/>
      <c r="C25" s="88" t="n"/>
      <c r="D25" s="88" t="n"/>
      <c r="E25" s="88" t="n"/>
      <c r="F25" s="88" t="n"/>
      <c r="G25" s="88" t="n"/>
      <c r="H25" s="88" t="n"/>
      <c r="I25" s="88" t="n"/>
      <c r="J25" s="88" t="n"/>
      <c r="K25" s="88" t="n"/>
      <c r="L25" s="88" t="n"/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8" t="n"/>
      <c r="W25" s="88" t="n"/>
      <c r="X25" s="88" t="n"/>
      <c r="Y25" s="88" t="n"/>
      <c r="Z25" s="88" t="n"/>
    </row>
    <row r="26" ht="15" customHeight="1" s="86">
      <c r="A26" s="88" t="n"/>
      <c r="B26" s="88" t="n"/>
      <c r="C26" s="88" t="n"/>
      <c r="D26" s="88" t="n"/>
      <c r="E26" s="88" t="n"/>
      <c r="F26" s="88" t="n"/>
      <c r="G26" s="88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8" t="n"/>
      <c r="W26" s="88" t="n"/>
      <c r="X26" s="88" t="n"/>
      <c r="Y26" s="88" t="n"/>
      <c r="Z26" s="88" t="n"/>
    </row>
    <row r="27" ht="15" customHeight="1" s="86">
      <c r="A27" s="88" t="n"/>
      <c r="B27" s="88" t="n"/>
      <c r="C27" s="88" t="n"/>
      <c r="D27" s="88" t="n"/>
      <c r="E27" s="88" t="n"/>
      <c r="F27" s="88" t="n"/>
      <c r="G27" s="88" t="n"/>
      <c r="H27" s="88" t="n"/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8" t="n"/>
      <c r="W27" s="88" t="n"/>
      <c r="X27" s="88" t="n"/>
      <c r="Y27" s="88" t="n"/>
      <c r="Z27" s="88" t="n"/>
    </row>
    <row r="28" ht="15" customHeight="1" s="86">
      <c r="A28" s="88" t="n"/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  <c r="Z28" s="88" t="n"/>
    </row>
    <row r="29" ht="15" customHeight="1" s="86">
      <c r="A29" s="88" t="n"/>
      <c r="B29" s="88" t="n"/>
      <c r="C29" s="88" t="n"/>
      <c r="D29" s="88" t="n"/>
      <c r="E29" s="88" t="n"/>
      <c r="F29" s="88" t="n"/>
      <c r="G29" s="88" t="n"/>
      <c r="H29" s="88" t="n"/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8" t="n"/>
      <c r="Z29" s="88" t="n"/>
    </row>
    <row r="30" ht="15" customHeight="1" s="86">
      <c r="A30" s="88" t="n"/>
      <c r="B30" s="88" t="n"/>
      <c r="C30" s="88" t="n"/>
      <c r="D30" s="88" t="n"/>
      <c r="E30" s="88" t="n"/>
      <c r="F30" s="88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  <c r="Y30" s="88" t="n"/>
      <c r="Z30" s="88" t="n"/>
    </row>
    <row r="31" ht="15" customHeight="1" s="86">
      <c r="A31" s="88" t="n"/>
      <c r="B31" s="88" t="n"/>
      <c r="C31" s="88" t="n"/>
      <c r="D31" s="88" t="n"/>
      <c r="E31" s="88" t="n"/>
      <c r="F31" s="88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  <c r="Y31" s="88" t="n"/>
      <c r="Z31" s="88" t="n"/>
    </row>
    <row r="32" ht="15" customHeight="1" s="86">
      <c r="A32" s="88" t="n"/>
      <c r="B32" s="88" t="n"/>
      <c r="C32" s="88" t="n"/>
      <c r="D32" s="88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8" t="n"/>
      <c r="W32" s="88" t="n"/>
      <c r="X32" s="88" t="n"/>
      <c r="Y32" s="88" t="n"/>
      <c r="Z32" s="88" t="n"/>
    </row>
    <row r="33" ht="15" customHeight="1" s="86">
      <c r="A33" s="88" t="n"/>
      <c r="B33" s="88" t="n"/>
      <c r="C33" s="88" t="n"/>
      <c r="D33" s="88" t="n"/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8" t="n"/>
      <c r="W33" s="88" t="n"/>
      <c r="X33" s="88" t="n"/>
      <c r="Y33" s="88" t="n"/>
      <c r="Z33" s="88" t="n"/>
    </row>
    <row r="34" ht="15" customHeight="1" s="86">
      <c r="A34" s="88" t="n"/>
      <c r="B34" s="88" t="n"/>
      <c r="C34" s="88" t="n"/>
      <c r="D34" s="88" t="n"/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8" t="n"/>
      <c r="W34" s="88" t="n"/>
      <c r="X34" s="88" t="n"/>
      <c r="Y34" s="88" t="n"/>
      <c r="Z34" s="88" t="n"/>
    </row>
    <row r="35" ht="15" customHeight="1" s="86">
      <c r="A35" s="88" t="n"/>
      <c r="B35" s="88" t="n"/>
      <c r="C35" s="88" t="n"/>
      <c r="D35" s="88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8" t="n"/>
      <c r="X35" s="88" t="n"/>
      <c r="Y35" s="88" t="n"/>
      <c r="Z35" s="88" t="n"/>
    </row>
    <row r="36" ht="15" customHeight="1" s="86">
      <c r="A36" s="88" t="n"/>
      <c r="B36" s="88" t="n"/>
      <c r="C36" s="88" t="n"/>
      <c r="D36" s="88" t="n"/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  <c r="Y36" s="88" t="n"/>
      <c r="Z36" s="88" t="n"/>
    </row>
    <row r="37" ht="15" customHeight="1" s="86">
      <c r="A37" s="88" t="n"/>
      <c r="B37" s="88" t="n"/>
      <c r="C37" s="88" t="n"/>
      <c r="D37" s="88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8" t="n"/>
      <c r="X37" s="88" t="n"/>
      <c r="Y37" s="88" t="n"/>
      <c r="Z37" s="88" t="n"/>
    </row>
    <row r="38" ht="15" customHeight="1" s="86">
      <c r="A38" s="88" t="n"/>
      <c r="B38" s="88" t="n"/>
      <c r="C38" s="88" t="n"/>
      <c r="D38" s="88" t="n"/>
      <c r="E38" s="88" t="n"/>
      <c r="F38" s="88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8" t="n"/>
      <c r="W38" s="88" t="n"/>
      <c r="X38" s="88" t="n"/>
      <c r="Y38" s="88" t="n"/>
      <c r="Z38" s="88" t="n"/>
    </row>
    <row r="39" ht="15" customHeight="1" s="86">
      <c r="A39" s="88" t="n"/>
      <c r="B39" s="88" t="n"/>
      <c r="C39" s="88" t="n"/>
      <c r="D39" s="88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8" t="n"/>
      <c r="X39" s="88" t="n"/>
      <c r="Y39" s="88" t="n"/>
      <c r="Z39" s="88" t="n"/>
    </row>
    <row r="40" ht="15" customHeight="1" s="86">
      <c r="A40" s="88" t="n"/>
      <c r="B40" s="88" t="n"/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8" t="n"/>
      <c r="X40" s="88" t="n"/>
      <c r="Y40" s="88" t="n"/>
      <c r="Z40" s="88" t="n"/>
    </row>
    <row r="41" ht="15" customHeight="1" s="86">
      <c r="A41" s="88" t="n"/>
      <c r="B41" s="88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8" t="n"/>
      <c r="X41" s="88" t="n"/>
      <c r="Y41" s="88" t="n"/>
      <c r="Z41" s="88" t="n"/>
    </row>
    <row r="42" ht="15" customHeight="1" s="86">
      <c r="A42" s="88" t="n"/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8" t="n"/>
      <c r="X42" s="88" t="n"/>
      <c r="Y42" s="88" t="n"/>
      <c r="Z42" s="88" t="n"/>
    </row>
    <row r="43" ht="15" customHeight="1" s="86">
      <c r="A43" s="88" t="n"/>
      <c r="B43" s="88" t="n"/>
      <c r="C43" s="88" t="n"/>
      <c r="D43" s="88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8" t="n"/>
      <c r="W43" s="88" t="n"/>
      <c r="X43" s="88" t="n"/>
      <c r="Y43" s="88" t="n"/>
      <c r="Z43" s="88" t="n"/>
    </row>
    <row r="44" ht="15" customHeight="1" s="86">
      <c r="A44" s="88" t="n"/>
      <c r="B44" s="88" t="n"/>
      <c r="C44" s="88" t="n"/>
      <c r="D44" s="88" t="n"/>
      <c r="E44" s="88" t="n"/>
      <c r="F44" s="88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8" t="n"/>
      <c r="W44" s="88" t="n"/>
      <c r="X44" s="88" t="n"/>
      <c r="Y44" s="88" t="n"/>
      <c r="Z44" s="88" t="n"/>
    </row>
    <row r="45" ht="15" customHeight="1" s="86">
      <c r="A45" s="88" t="n"/>
      <c r="B45" s="88" t="n"/>
      <c r="C45" s="88" t="n"/>
      <c r="D45" s="88" t="n"/>
      <c r="E45" s="88" t="n"/>
      <c r="F45" s="88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8" t="n"/>
      <c r="W45" s="88" t="n"/>
      <c r="X45" s="88" t="n"/>
      <c r="Y45" s="88" t="n"/>
      <c r="Z45" s="88" t="n"/>
    </row>
    <row r="46" ht="15" customHeight="1" s="86">
      <c r="A46" s="88" t="n"/>
      <c r="B46" s="88" t="n"/>
      <c r="C46" s="88" t="n"/>
      <c r="D46" s="88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8" t="n"/>
      <c r="W46" s="88" t="n"/>
      <c r="X46" s="88" t="n"/>
      <c r="Y46" s="88" t="n"/>
      <c r="Z46" s="88" t="n"/>
    </row>
    <row r="47" ht="15" customHeight="1" s="86">
      <c r="A47" s="88" t="n"/>
      <c r="B47" s="88" t="n"/>
      <c r="C47" s="88" t="n"/>
      <c r="D47" s="88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8" t="n"/>
      <c r="X47" s="88" t="n"/>
      <c r="Y47" s="88" t="n"/>
      <c r="Z47" s="88" t="n"/>
    </row>
    <row r="48" ht="15" customHeight="1" s="86">
      <c r="A48" s="88" t="n"/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</row>
    <row r="49" ht="15" customHeight="1" s="86">
      <c r="A49" s="88" t="n"/>
      <c r="B49" s="88" t="n"/>
      <c r="C49" s="88" t="n"/>
      <c r="D49" s="88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8" t="n"/>
      <c r="X49" s="88" t="n"/>
      <c r="Y49" s="88" t="n"/>
      <c r="Z49" s="88" t="n"/>
    </row>
    <row r="50" ht="15" customHeight="1" s="86">
      <c r="A50" s="88" t="n"/>
      <c r="B50" s="88" t="n"/>
      <c r="C50" s="88" t="n"/>
      <c r="D50" s="88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8" t="n"/>
      <c r="X50" s="88" t="n"/>
      <c r="Y50" s="88" t="n"/>
      <c r="Z50" s="88" t="n"/>
    </row>
    <row r="51" ht="15" customHeight="1" s="86">
      <c r="A51" s="88" t="n"/>
      <c r="B51" s="88" t="n"/>
      <c r="C51" s="88" t="n"/>
      <c r="D51" s="88" t="n"/>
      <c r="E51" s="88" t="n"/>
      <c r="F51" s="88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8" t="n"/>
      <c r="X51" s="88" t="n"/>
      <c r="Y51" s="88" t="n"/>
      <c r="Z51" s="88" t="n"/>
    </row>
    <row r="52" ht="15" customHeight="1" s="86">
      <c r="A52" s="88" t="n"/>
      <c r="B52" s="88" t="n"/>
      <c r="C52" s="88" t="n"/>
      <c r="D52" s="88" t="n"/>
      <c r="E52" s="88" t="n"/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8" t="n"/>
      <c r="X52" s="88" t="n"/>
      <c r="Y52" s="88" t="n"/>
      <c r="Z52" s="88" t="n"/>
    </row>
    <row r="53" ht="15" customHeight="1" s="86">
      <c r="A53" s="88" t="n"/>
      <c r="B53" s="88" t="n"/>
      <c r="C53" s="88" t="n"/>
      <c r="D53" s="88" t="n"/>
      <c r="E53" s="88" t="n"/>
      <c r="F53" s="88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8" t="n"/>
      <c r="W53" s="88" t="n"/>
      <c r="X53" s="88" t="n"/>
      <c r="Y53" s="88" t="n"/>
      <c r="Z53" s="88" t="n"/>
    </row>
    <row r="54" ht="15" customHeight="1" s="86">
      <c r="A54" s="88" t="n"/>
      <c r="B54" s="88" t="n"/>
      <c r="C54" s="88" t="n"/>
      <c r="D54" s="88" t="n"/>
      <c r="E54" s="88" t="n"/>
      <c r="F54" s="88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8" t="n"/>
      <c r="W54" s="88" t="n"/>
      <c r="X54" s="88" t="n"/>
      <c r="Y54" s="88" t="n"/>
      <c r="Z54" s="88" t="n"/>
    </row>
    <row r="55" ht="15" customHeight="1" s="86">
      <c r="A55" s="88" t="n"/>
      <c r="B55" s="88" t="n"/>
      <c r="C55" s="88" t="n"/>
      <c r="D55" s="88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8" t="n"/>
      <c r="Y55" s="88" t="n"/>
      <c r="Z55" s="88" t="n"/>
    </row>
    <row r="56" ht="15" customHeight="1" s="86">
      <c r="A56" s="88" t="n"/>
      <c r="B56" s="88" t="n"/>
      <c r="C56" s="88" t="n"/>
      <c r="D56" s="88" t="n"/>
      <c r="E56" s="88" t="n"/>
      <c r="F56" s="88" t="n"/>
      <c r="G56" s="88" t="n"/>
      <c r="H56" s="88" t="n"/>
      <c r="I56" s="88" t="n"/>
      <c r="J56" s="88" t="n"/>
      <c r="K56" s="88" t="n"/>
      <c r="L56" s="88" t="n"/>
      <c r="M56" s="88" t="n"/>
      <c r="N56" s="88" t="n"/>
      <c r="O56" s="88" t="n"/>
      <c r="P56" s="88" t="n"/>
      <c r="Q56" s="88" t="n"/>
      <c r="R56" s="88" t="n"/>
      <c r="S56" s="88" t="n"/>
      <c r="T56" s="88" t="n"/>
      <c r="U56" s="88" t="n"/>
      <c r="V56" s="88" t="n"/>
      <c r="W56" s="88" t="n"/>
      <c r="X56" s="88" t="n"/>
      <c r="Y56" s="88" t="n"/>
      <c r="Z56" s="88" t="n"/>
    </row>
    <row r="57" ht="15" customHeight="1" s="86">
      <c r="A57" s="88" t="n"/>
      <c r="B57" s="88" t="n"/>
      <c r="C57" s="88" t="n"/>
      <c r="D57" s="88" t="n"/>
      <c r="E57" s="88" t="n"/>
      <c r="F57" s="88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88" t="n"/>
      <c r="Q57" s="88" t="n"/>
      <c r="R57" s="88" t="n"/>
      <c r="S57" s="88" t="n"/>
      <c r="T57" s="88" t="n"/>
      <c r="U57" s="88" t="n"/>
      <c r="V57" s="88" t="n"/>
      <c r="W57" s="88" t="n"/>
      <c r="X57" s="88" t="n"/>
      <c r="Y57" s="88" t="n"/>
      <c r="Z57" s="88" t="n"/>
    </row>
    <row r="58" ht="15" customHeight="1" s="86">
      <c r="A58" s="88" t="n"/>
      <c r="B58" s="88" t="n"/>
      <c r="C58" s="88" t="n"/>
      <c r="D58" s="88" t="n"/>
      <c r="E58" s="88" t="n"/>
      <c r="F58" s="88" t="n"/>
      <c r="G58" s="88" t="n"/>
      <c r="H58" s="88" t="n"/>
      <c r="I58" s="88" t="n"/>
      <c r="J58" s="88" t="n"/>
      <c r="K58" s="88" t="n"/>
      <c r="L58" s="88" t="n"/>
      <c r="M58" s="88" t="n"/>
      <c r="N58" s="88" t="n"/>
      <c r="O58" s="88" t="n"/>
      <c r="P58" s="88" t="n"/>
      <c r="Q58" s="88" t="n"/>
      <c r="R58" s="88" t="n"/>
      <c r="S58" s="88" t="n"/>
      <c r="T58" s="88" t="n"/>
      <c r="U58" s="88" t="n"/>
      <c r="V58" s="88" t="n"/>
      <c r="W58" s="88" t="n"/>
      <c r="X58" s="88" t="n"/>
      <c r="Y58" s="88" t="n"/>
      <c r="Z58" s="88" t="n"/>
    </row>
    <row r="59" ht="15" customHeight="1" s="86">
      <c r="A59" s="88" t="n"/>
      <c r="B59" s="88" t="n"/>
      <c r="C59" s="88" t="n"/>
      <c r="D59" s="88" t="n"/>
      <c r="E59" s="88" t="n"/>
      <c r="F59" s="88" t="n"/>
      <c r="G59" s="88" t="n"/>
      <c r="H59" s="88" t="n"/>
      <c r="I59" s="88" t="n"/>
      <c r="J59" s="88" t="n"/>
      <c r="K59" s="88" t="n"/>
      <c r="L59" s="88" t="n"/>
      <c r="M59" s="88" t="n"/>
      <c r="N59" s="88" t="n"/>
      <c r="O59" s="88" t="n"/>
      <c r="P59" s="88" t="n"/>
      <c r="Q59" s="88" t="n"/>
      <c r="R59" s="88" t="n"/>
      <c r="S59" s="88" t="n"/>
      <c r="T59" s="88" t="n"/>
      <c r="U59" s="88" t="n"/>
      <c r="V59" s="88" t="n"/>
      <c r="W59" s="88" t="n"/>
      <c r="X59" s="88" t="n"/>
      <c r="Y59" s="88" t="n"/>
      <c r="Z59" s="88" t="n"/>
    </row>
    <row r="60" ht="15" customHeight="1" s="86">
      <c r="A60" s="88" t="n"/>
      <c r="B60" s="88" t="n"/>
      <c r="C60" s="88" t="n"/>
      <c r="D60" s="88" t="n"/>
      <c r="E60" s="88" t="n"/>
      <c r="F60" s="88" t="n"/>
      <c r="G60" s="88" t="n"/>
      <c r="H60" s="88" t="n"/>
      <c r="I60" s="88" t="n"/>
      <c r="J60" s="88" t="n"/>
      <c r="K60" s="88" t="n"/>
      <c r="L60" s="88" t="n"/>
      <c r="M60" s="88" t="n"/>
      <c r="N60" s="88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  <c r="Y60" s="88" t="n"/>
      <c r="Z60" s="88" t="n"/>
    </row>
    <row r="61" ht="15" customHeight="1" s="86">
      <c r="A61" s="88" t="n"/>
      <c r="B61" s="88" t="n"/>
      <c r="C61" s="88" t="n"/>
      <c r="D61" s="88" t="n"/>
      <c r="E61" s="88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8" t="n"/>
      <c r="Y61" s="88" t="n"/>
      <c r="Z61" s="88" t="n"/>
    </row>
    <row r="62" ht="15" customHeight="1" s="86">
      <c r="A62" s="88" t="n"/>
      <c r="B62" s="88" t="n"/>
      <c r="C62" s="88" t="n"/>
      <c r="D62" s="88" t="n"/>
      <c r="E62" s="88" t="n"/>
      <c r="F62" s="88" t="n"/>
      <c r="G62" s="88" t="n"/>
      <c r="H62" s="88" t="n"/>
      <c r="I62" s="88" t="n"/>
      <c r="J62" s="88" t="n"/>
      <c r="K62" s="88" t="n"/>
      <c r="L62" s="88" t="n"/>
      <c r="M62" s="88" t="n"/>
      <c r="N62" s="88" t="n"/>
      <c r="O62" s="88" t="n"/>
      <c r="P62" s="88" t="n"/>
      <c r="Q62" s="88" t="n"/>
      <c r="R62" s="88" t="n"/>
      <c r="S62" s="88" t="n"/>
      <c r="T62" s="88" t="n"/>
      <c r="U62" s="88" t="n"/>
      <c r="V62" s="88" t="n"/>
      <c r="W62" s="88" t="n"/>
      <c r="X62" s="88" t="n"/>
      <c r="Y62" s="88" t="n"/>
      <c r="Z62" s="88" t="n"/>
    </row>
    <row r="63" ht="15" customHeight="1" s="86">
      <c r="A63" s="88" t="n"/>
      <c r="B63" s="88" t="n"/>
      <c r="C63" s="88" t="n"/>
      <c r="D63" s="88" t="n"/>
      <c r="E63" s="88" t="n"/>
      <c r="F63" s="88" t="n"/>
      <c r="G63" s="88" t="n"/>
      <c r="H63" s="88" t="n"/>
      <c r="I63" s="88" t="n"/>
      <c r="J63" s="88" t="n"/>
      <c r="K63" s="88" t="n"/>
      <c r="L63" s="88" t="n"/>
      <c r="M63" s="88" t="n"/>
      <c r="N63" s="88" t="n"/>
      <c r="O63" s="88" t="n"/>
      <c r="P63" s="88" t="n"/>
      <c r="Q63" s="88" t="n"/>
      <c r="R63" s="88" t="n"/>
      <c r="S63" s="88" t="n"/>
      <c r="T63" s="88" t="n"/>
      <c r="U63" s="88" t="n"/>
      <c r="V63" s="88" t="n"/>
      <c r="W63" s="88" t="n"/>
      <c r="X63" s="88" t="n"/>
      <c r="Y63" s="88" t="n"/>
      <c r="Z63" s="88" t="n"/>
    </row>
    <row r="64" ht="15.75" customHeight="1" s="86">
      <c r="T64" s="85" t="n"/>
      <c r="U64" s="85" t="n"/>
      <c r="V64" s="85" t="n"/>
      <c r="W64" s="85" t="n"/>
      <c r="X64" s="85" t="n"/>
      <c r="Y64" s="85" t="n"/>
      <c r="Z64" s="85" t="n"/>
    </row>
    <row r="65" ht="15.75" customHeight="1" s="86">
      <c r="T65" s="85" t="n"/>
      <c r="U65" s="85" t="n"/>
      <c r="V65" s="85" t="n"/>
      <c r="W65" s="85" t="n"/>
      <c r="X65" s="85" t="n"/>
      <c r="Y65" s="85" t="n"/>
      <c r="Z65" s="85" t="n"/>
    </row>
    <row r="66" ht="15.75" customHeight="1" s="86">
      <c r="T66" s="85" t="n"/>
      <c r="U66" s="85" t="n"/>
      <c r="V66" s="85" t="n"/>
      <c r="W66" s="85" t="n"/>
      <c r="X66" s="85" t="n"/>
      <c r="Y66" s="85" t="n"/>
      <c r="Z66" s="85" t="n"/>
    </row>
    <row r="67" ht="15.75" customHeight="1" s="86">
      <c r="T67" s="85" t="n"/>
      <c r="U67" s="85" t="n"/>
      <c r="V67" s="85" t="n"/>
      <c r="W67" s="85" t="n"/>
      <c r="X67" s="85" t="n"/>
      <c r="Y67" s="85" t="n"/>
      <c r="Z67" s="85" t="n"/>
    </row>
    <row r="68" ht="15.75" customHeight="1" s="86">
      <c r="T68" s="85" t="n"/>
      <c r="U68" s="85" t="n"/>
      <c r="V68" s="85" t="n"/>
      <c r="W68" s="85" t="n"/>
      <c r="X68" s="85" t="n"/>
      <c r="Y68" s="85" t="n"/>
      <c r="Z68" s="85" t="n"/>
    </row>
    <row r="69" ht="15.75" customHeight="1" s="86">
      <c r="T69" s="85" t="n"/>
      <c r="U69" s="85" t="n"/>
      <c r="V69" s="85" t="n"/>
      <c r="W69" s="85" t="n"/>
      <c r="X69" s="85" t="n"/>
      <c r="Y69" s="85" t="n"/>
      <c r="Z69" s="85" t="n"/>
    </row>
    <row r="70" ht="15.75" customHeight="1" s="86">
      <c r="T70" s="85" t="n"/>
      <c r="U70" s="85" t="n"/>
      <c r="V70" s="85" t="n"/>
      <c r="W70" s="85" t="n"/>
      <c r="X70" s="85" t="n"/>
      <c r="Y70" s="85" t="n"/>
      <c r="Z70" s="85" t="n"/>
    </row>
    <row r="71" ht="15.75" customHeight="1" s="86">
      <c r="T71" s="85" t="n"/>
      <c r="U71" s="85" t="n"/>
      <c r="V71" s="85" t="n"/>
      <c r="W71" s="85" t="n"/>
      <c r="X71" s="85" t="n"/>
      <c r="Y71" s="85" t="n"/>
      <c r="Z71" s="85" t="n"/>
    </row>
    <row r="72" ht="15.75" customHeight="1" s="86">
      <c r="T72" s="85" t="n"/>
      <c r="U72" s="85" t="n"/>
      <c r="V72" s="85" t="n"/>
      <c r="W72" s="85" t="n"/>
      <c r="X72" s="85" t="n"/>
      <c r="Y72" s="85" t="n"/>
      <c r="Z72" s="85" t="n"/>
    </row>
    <row r="73" ht="15.75" customHeight="1" s="86">
      <c r="T73" s="85" t="n"/>
      <c r="U73" s="85" t="n"/>
      <c r="V73" s="85" t="n"/>
      <c r="W73" s="85" t="n"/>
      <c r="X73" s="85" t="n"/>
      <c r="Y73" s="85" t="n"/>
      <c r="Z73" s="85" t="n"/>
    </row>
    <row r="74" ht="15.75" customHeight="1" s="86">
      <c r="T74" s="85" t="n"/>
      <c r="U74" s="85" t="n"/>
      <c r="V74" s="85" t="n"/>
      <c r="W74" s="85" t="n"/>
      <c r="X74" s="85" t="n"/>
      <c r="Y74" s="85" t="n"/>
      <c r="Z74" s="85" t="n"/>
    </row>
    <row r="75" ht="15.75" customHeight="1" s="86">
      <c r="T75" s="85" t="n"/>
      <c r="U75" s="85" t="n"/>
      <c r="V75" s="85" t="n"/>
      <c r="W75" s="85" t="n"/>
      <c r="X75" s="85" t="n"/>
      <c r="Y75" s="85" t="n"/>
      <c r="Z75" s="85" t="n"/>
    </row>
    <row r="76" ht="15.75" customHeight="1" s="86">
      <c r="T76" s="85" t="n"/>
      <c r="U76" s="85" t="n"/>
      <c r="V76" s="85" t="n"/>
      <c r="W76" s="85" t="n"/>
      <c r="X76" s="85" t="n"/>
      <c r="Y76" s="85" t="n"/>
      <c r="Z76" s="85" t="n"/>
    </row>
    <row r="77" ht="15.75" customHeight="1" s="86">
      <c r="T77" s="85" t="n"/>
      <c r="U77" s="85" t="n"/>
      <c r="V77" s="85" t="n"/>
      <c r="W77" s="85" t="n"/>
      <c r="X77" s="85" t="n"/>
      <c r="Y77" s="85" t="n"/>
      <c r="Z77" s="85" t="n"/>
    </row>
    <row r="78" ht="15.75" customHeight="1" s="86">
      <c r="T78" s="85" t="n"/>
      <c r="U78" s="85" t="n"/>
      <c r="V78" s="85" t="n"/>
      <c r="W78" s="85" t="n"/>
      <c r="X78" s="85" t="n"/>
      <c r="Y78" s="85" t="n"/>
      <c r="Z78" s="85" t="n"/>
    </row>
    <row r="79" ht="15.75" customHeight="1" s="86">
      <c r="T79" s="85" t="n"/>
      <c r="U79" s="85" t="n"/>
      <c r="V79" s="85" t="n"/>
      <c r="W79" s="85" t="n"/>
      <c r="X79" s="85" t="n"/>
      <c r="Y79" s="85" t="n"/>
      <c r="Z79" s="85" t="n"/>
    </row>
    <row r="80" ht="15.75" customHeight="1" s="86">
      <c r="T80" s="85" t="n"/>
      <c r="U80" s="85" t="n"/>
      <c r="V80" s="85" t="n"/>
      <c r="W80" s="85" t="n"/>
      <c r="X80" s="85" t="n"/>
      <c r="Y80" s="85" t="n"/>
      <c r="Z80" s="85" t="n"/>
    </row>
    <row r="81" ht="15.75" customHeight="1" s="86">
      <c r="T81" s="85" t="n"/>
      <c r="U81" s="85" t="n"/>
      <c r="V81" s="85" t="n"/>
      <c r="W81" s="85" t="n"/>
      <c r="X81" s="85" t="n"/>
      <c r="Y81" s="85" t="n"/>
      <c r="Z81" s="85" t="n"/>
    </row>
    <row r="82" ht="15.75" customHeight="1" s="86">
      <c r="T82" s="85" t="n"/>
      <c r="U82" s="85" t="n"/>
      <c r="V82" s="85" t="n"/>
      <c r="W82" s="85" t="n"/>
      <c r="X82" s="85" t="n"/>
      <c r="Y82" s="85" t="n"/>
      <c r="Z82" s="85" t="n"/>
    </row>
    <row r="83" ht="15.75" customHeight="1" s="86">
      <c r="T83" s="85" t="n"/>
      <c r="U83" s="85" t="n"/>
      <c r="V83" s="85" t="n"/>
      <c r="W83" s="85" t="n"/>
      <c r="X83" s="85" t="n"/>
      <c r="Y83" s="85" t="n"/>
      <c r="Z83" s="85" t="n"/>
    </row>
    <row r="84" ht="15.75" customHeight="1" s="86">
      <c r="T84" s="85" t="n"/>
      <c r="U84" s="85" t="n"/>
      <c r="V84" s="85" t="n"/>
      <c r="W84" s="85" t="n"/>
      <c r="X84" s="85" t="n"/>
      <c r="Y84" s="85" t="n"/>
      <c r="Z84" s="85" t="n"/>
    </row>
    <row r="85" ht="15.75" customHeight="1" s="86">
      <c r="T85" s="85" t="n"/>
      <c r="U85" s="85" t="n"/>
      <c r="V85" s="85" t="n"/>
      <c r="W85" s="85" t="n"/>
      <c r="X85" s="85" t="n"/>
      <c r="Y85" s="85" t="n"/>
      <c r="Z85" s="85" t="n"/>
    </row>
    <row r="86" ht="15.75" customHeight="1" s="86">
      <c r="T86" s="85" t="n"/>
      <c r="U86" s="85" t="n"/>
      <c r="V86" s="85" t="n"/>
      <c r="W86" s="85" t="n"/>
      <c r="X86" s="85" t="n"/>
      <c r="Y86" s="85" t="n"/>
      <c r="Z86" s="85" t="n"/>
    </row>
    <row r="87" ht="15.75" customHeight="1" s="86">
      <c r="T87" s="85" t="n"/>
      <c r="U87" s="85" t="n"/>
      <c r="V87" s="85" t="n"/>
      <c r="W87" s="85" t="n"/>
      <c r="X87" s="85" t="n"/>
      <c r="Y87" s="85" t="n"/>
      <c r="Z87" s="85" t="n"/>
    </row>
    <row r="88" ht="15.75" customHeight="1" s="86">
      <c r="T88" s="85" t="n"/>
      <c r="U88" s="85" t="n"/>
      <c r="V88" s="85" t="n"/>
      <c r="W88" s="85" t="n"/>
      <c r="X88" s="85" t="n"/>
      <c r="Y88" s="85" t="n"/>
      <c r="Z88" s="85" t="n"/>
    </row>
    <row r="89" ht="15.75" customHeight="1" s="86">
      <c r="T89" s="85" t="n"/>
      <c r="U89" s="85" t="n"/>
      <c r="V89" s="85" t="n"/>
      <c r="W89" s="85" t="n"/>
      <c r="X89" s="85" t="n"/>
      <c r="Y89" s="85" t="n"/>
      <c r="Z89" s="85" t="n"/>
    </row>
    <row r="90" ht="15.75" customHeight="1" s="86">
      <c r="T90" s="85" t="n"/>
      <c r="U90" s="85" t="n"/>
      <c r="V90" s="85" t="n"/>
      <c r="W90" s="85" t="n"/>
      <c r="X90" s="85" t="n"/>
      <c r="Y90" s="85" t="n"/>
      <c r="Z90" s="85" t="n"/>
    </row>
    <row r="91" ht="15.75" customHeight="1" s="86">
      <c r="T91" s="85" t="n"/>
      <c r="U91" s="85" t="n"/>
      <c r="V91" s="85" t="n"/>
      <c r="W91" s="85" t="n"/>
      <c r="X91" s="85" t="n"/>
      <c r="Y91" s="85" t="n"/>
      <c r="Z91" s="85" t="n"/>
    </row>
    <row r="92" ht="15.75" customHeight="1" s="86">
      <c r="T92" s="85" t="n"/>
      <c r="U92" s="85" t="n"/>
      <c r="V92" s="85" t="n"/>
      <c r="W92" s="85" t="n"/>
      <c r="X92" s="85" t="n"/>
      <c r="Y92" s="85" t="n"/>
      <c r="Z92" s="85" t="n"/>
    </row>
    <row r="93" ht="15.75" customHeight="1" s="86">
      <c r="T93" s="85" t="n"/>
      <c r="U93" s="85" t="n"/>
      <c r="V93" s="85" t="n"/>
      <c r="W93" s="85" t="n"/>
      <c r="X93" s="85" t="n"/>
      <c r="Y93" s="85" t="n"/>
      <c r="Z93" s="85" t="n"/>
    </row>
    <row r="94" ht="15.75" customHeight="1" s="86">
      <c r="T94" s="85" t="n"/>
      <c r="U94" s="85" t="n"/>
      <c r="V94" s="85" t="n"/>
      <c r="W94" s="85" t="n"/>
      <c r="X94" s="85" t="n"/>
      <c r="Y94" s="85" t="n"/>
      <c r="Z94" s="85" t="n"/>
    </row>
    <row r="95" ht="15.75" customHeight="1" s="86">
      <c r="T95" s="85" t="n"/>
      <c r="U95" s="85" t="n"/>
      <c r="V95" s="85" t="n"/>
      <c r="W95" s="85" t="n"/>
      <c r="X95" s="85" t="n"/>
      <c r="Y95" s="85" t="n"/>
      <c r="Z95" s="85" t="n"/>
    </row>
    <row r="96" ht="15.75" customHeight="1" s="86">
      <c r="T96" s="85" t="n"/>
      <c r="U96" s="85" t="n"/>
      <c r="V96" s="85" t="n"/>
      <c r="W96" s="85" t="n"/>
      <c r="X96" s="85" t="n"/>
      <c r="Y96" s="85" t="n"/>
      <c r="Z96" s="85" t="n"/>
    </row>
    <row r="97" ht="15.75" customHeight="1" s="86">
      <c r="T97" s="85" t="n"/>
      <c r="U97" s="85" t="n"/>
      <c r="V97" s="85" t="n"/>
      <c r="W97" s="85" t="n"/>
      <c r="X97" s="85" t="n"/>
      <c r="Y97" s="85" t="n"/>
      <c r="Z97" s="85" t="n"/>
    </row>
    <row r="98" ht="15.75" customHeight="1" s="86">
      <c r="T98" s="85" t="n"/>
      <c r="U98" s="85" t="n"/>
      <c r="V98" s="85" t="n"/>
      <c r="W98" s="85" t="n"/>
      <c r="X98" s="85" t="n"/>
      <c r="Y98" s="85" t="n"/>
      <c r="Z98" s="85" t="n"/>
    </row>
    <row r="99" ht="15.75" customHeight="1" s="86">
      <c r="T99" s="85" t="n"/>
      <c r="U99" s="85" t="n"/>
      <c r="V99" s="85" t="n"/>
      <c r="W99" s="85" t="n"/>
      <c r="X99" s="85" t="n"/>
      <c r="Y99" s="85" t="n"/>
      <c r="Z99" s="85" t="n"/>
    </row>
    <row r="100" ht="15.75" customHeight="1" s="86">
      <c r="T100" s="85" t="n"/>
      <c r="U100" s="85" t="n"/>
      <c r="V100" s="85" t="n"/>
      <c r="W100" s="85" t="n"/>
      <c r="X100" s="85" t="n"/>
      <c r="Y100" s="85" t="n"/>
      <c r="Z100" s="85" t="n"/>
    </row>
    <row r="101" ht="15.75" customHeight="1" s="86">
      <c r="T101" s="85" t="n"/>
      <c r="U101" s="85" t="n"/>
      <c r="V101" s="85" t="n"/>
      <c r="W101" s="85" t="n"/>
      <c r="X101" s="85" t="n"/>
      <c r="Y101" s="85" t="n"/>
      <c r="Z101" s="85" t="n"/>
    </row>
    <row r="102" ht="15.75" customHeight="1" s="86">
      <c r="T102" s="85" t="n"/>
      <c r="U102" s="85" t="n"/>
      <c r="V102" s="85" t="n"/>
      <c r="W102" s="85" t="n"/>
      <c r="X102" s="85" t="n"/>
      <c r="Y102" s="85" t="n"/>
      <c r="Z102" s="85" t="n"/>
    </row>
    <row r="103" ht="15.75" customHeight="1" s="86">
      <c r="T103" s="85" t="n"/>
      <c r="U103" s="85" t="n"/>
      <c r="V103" s="85" t="n"/>
      <c r="W103" s="85" t="n"/>
      <c r="X103" s="85" t="n"/>
      <c r="Y103" s="85" t="n"/>
      <c r="Z103" s="85" t="n"/>
    </row>
    <row r="104" ht="15.75" customHeight="1" s="86">
      <c r="T104" s="85" t="n"/>
      <c r="U104" s="85" t="n"/>
      <c r="V104" s="85" t="n"/>
      <c r="W104" s="85" t="n"/>
      <c r="X104" s="85" t="n"/>
      <c r="Y104" s="85" t="n"/>
      <c r="Z104" s="85" t="n"/>
    </row>
    <row r="105" ht="15.75" customHeight="1" s="86">
      <c r="T105" s="85" t="n"/>
      <c r="U105" s="85" t="n"/>
      <c r="V105" s="85" t="n"/>
      <c r="W105" s="85" t="n"/>
      <c r="X105" s="85" t="n"/>
      <c r="Y105" s="85" t="n"/>
      <c r="Z105" s="85" t="n"/>
    </row>
    <row r="106" ht="15.75" customHeight="1" s="86">
      <c r="T106" s="85" t="n"/>
      <c r="U106" s="85" t="n"/>
      <c r="V106" s="85" t="n"/>
      <c r="W106" s="85" t="n"/>
      <c r="X106" s="85" t="n"/>
      <c r="Y106" s="85" t="n"/>
      <c r="Z106" s="85" t="n"/>
    </row>
    <row r="107" ht="15.75" customHeight="1" s="86">
      <c r="T107" s="85" t="n"/>
      <c r="U107" s="85" t="n"/>
      <c r="V107" s="85" t="n"/>
      <c r="W107" s="85" t="n"/>
      <c r="X107" s="85" t="n"/>
      <c r="Y107" s="85" t="n"/>
      <c r="Z107" s="85" t="n"/>
    </row>
    <row r="108" ht="15.75" customHeight="1" s="86">
      <c r="T108" s="85" t="n"/>
      <c r="U108" s="85" t="n"/>
      <c r="V108" s="85" t="n"/>
      <c r="W108" s="85" t="n"/>
      <c r="X108" s="85" t="n"/>
      <c r="Y108" s="85" t="n"/>
      <c r="Z108" s="85" t="n"/>
    </row>
    <row r="109" ht="15.75" customHeight="1" s="86">
      <c r="T109" s="85" t="n"/>
      <c r="U109" s="85" t="n"/>
      <c r="V109" s="85" t="n"/>
      <c r="W109" s="85" t="n"/>
      <c r="X109" s="85" t="n"/>
      <c r="Y109" s="85" t="n"/>
      <c r="Z109" s="85" t="n"/>
    </row>
    <row r="110" ht="15.75" customHeight="1" s="86">
      <c r="T110" s="85" t="n"/>
      <c r="U110" s="85" t="n"/>
      <c r="V110" s="85" t="n"/>
      <c r="W110" s="85" t="n"/>
      <c r="X110" s="85" t="n"/>
      <c r="Y110" s="85" t="n"/>
      <c r="Z110" s="85" t="n"/>
    </row>
    <row r="111" ht="15.75" customHeight="1" s="86">
      <c r="T111" s="85" t="n"/>
      <c r="U111" s="85" t="n"/>
      <c r="V111" s="85" t="n"/>
      <c r="W111" s="85" t="n"/>
      <c r="X111" s="85" t="n"/>
      <c r="Y111" s="85" t="n"/>
      <c r="Z111" s="85" t="n"/>
    </row>
    <row r="112" ht="15.75" customHeight="1" s="86">
      <c r="T112" s="85" t="n"/>
      <c r="U112" s="85" t="n"/>
      <c r="V112" s="85" t="n"/>
      <c r="W112" s="85" t="n"/>
      <c r="X112" s="85" t="n"/>
      <c r="Y112" s="85" t="n"/>
      <c r="Z112" s="85" t="n"/>
    </row>
    <row r="113" ht="15.75" customHeight="1" s="86">
      <c r="T113" s="85" t="n"/>
      <c r="U113" s="85" t="n"/>
      <c r="V113" s="85" t="n"/>
      <c r="W113" s="85" t="n"/>
      <c r="X113" s="85" t="n"/>
      <c r="Y113" s="85" t="n"/>
      <c r="Z113" s="85" t="n"/>
    </row>
    <row r="114" ht="15.75" customHeight="1" s="86">
      <c r="T114" s="85" t="n"/>
      <c r="U114" s="85" t="n"/>
      <c r="V114" s="85" t="n"/>
      <c r="W114" s="85" t="n"/>
      <c r="X114" s="85" t="n"/>
      <c r="Y114" s="85" t="n"/>
      <c r="Z114" s="85" t="n"/>
    </row>
    <row r="115" ht="15.75" customHeight="1" s="86">
      <c r="T115" s="85" t="n"/>
      <c r="U115" s="85" t="n"/>
      <c r="V115" s="85" t="n"/>
      <c r="W115" s="85" t="n"/>
      <c r="X115" s="85" t="n"/>
      <c r="Y115" s="85" t="n"/>
      <c r="Z115" s="85" t="n"/>
    </row>
    <row r="116" ht="15.75" customHeight="1" s="86">
      <c r="T116" s="85" t="n"/>
      <c r="U116" s="85" t="n"/>
      <c r="V116" s="85" t="n"/>
      <c r="W116" s="85" t="n"/>
      <c r="X116" s="85" t="n"/>
      <c r="Y116" s="85" t="n"/>
      <c r="Z116" s="85" t="n"/>
    </row>
    <row r="117" ht="15.75" customHeight="1" s="86">
      <c r="T117" s="85" t="n"/>
      <c r="U117" s="85" t="n"/>
      <c r="V117" s="85" t="n"/>
      <c r="W117" s="85" t="n"/>
      <c r="X117" s="85" t="n"/>
      <c r="Y117" s="85" t="n"/>
      <c r="Z117" s="85" t="n"/>
    </row>
    <row r="118" ht="15.75" customHeight="1" s="86">
      <c r="T118" s="85" t="n"/>
      <c r="U118" s="85" t="n"/>
      <c r="V118" s="85" t="n"/>
      <c r="W118" s="85" t="n"/>
      <c r="X118" s="85" t="n"/>
      <c r="Y118" s="85" t="n"/>
      <c r="Z118" s="85" t="n"/>
    </row>
    <row r="119" ht="15.75" customHeight="1" s="86">
      <c r="T119" s="85" t="n"/>
      <c r="U119" s="85" t="n"/>
      <c r="V119" s="85" t="n"/>
      <c r="W119" s="85" t="n"/>
      <c r="X119" s="85" t="n"/>
      <c r="Y119" s="85" t="n"/>
      <c r="Z119" s="85" t="n"/>
    </row>
    <row r="120" ht="15.75" customHeight="1" s="86">
      <c r="T120" s="85" t="n"/>
      <c r="U120" s="85" t="n"/>
      <c r="V120" s="85" t="n"/>
      <c r="W120" s="85" t="n"/>
      <c r="X120" s="85" t="n"/>
      <c r="Y120" s="85" t="n"/>
      <c r="Z120" s="85" t="n"/>
    </row>
    <row r="121" ht="15.75" customHeight="1" s="86">
      <c r="T121" s="85" t="n"/>
      <c r="U121" s="85" t="n"/>
      <c r="V121" s="85" t="n"/>
      <c r="W121" s="85" t="n"/>
      <c r="X121" s="85" t="n"/>
      <c r="Y121" s="85" t="n"/>
      <c r="Z121" s="85" t="n"/>
    </row>
    <row r="122" ht="15.75" customHeight="1" s="86">
      <c r="T122" s="85" t="n"/>
      <c r="U122" s="85" t="n"/>
      <c r="V122" s="85" t="n"/>
      <c r="W122" s="85" t="n"/>
      <c r="X122" s="85" t="n"/>
      <c r="Y122" s="85" t="n"/>
      <c r="Z122" s="85" t="n"/>
    </row>
    <row r="123" ht="15.75" customHeight="1" s="86">
      <c r="T123" s="85" t="n"/>
      <c r="U123" s="85" t="n"/>
      <c r="V123" s="85" t="n"/>
      <c r="W123" s="85" t="n"/>
      <c r="X123" s="85" t="n"/>
      <c r="Y123" s="85" t="n"/>
      <c r="Z123" s="85" t="n"/>
    </row>
    <row r="124" ht="15.75" customHeight="1" s="86">
      <c r="T124" s="85" t="n"/>
      <c r="U124" s="85" t="n"/>
      <c r="V124" s="85" t="n"/>
      <c r="W124" s="85" t="n"/>
      <c r="X124" s="85" t="n"/>
      <c r="Y124" s="85" t="n"/>
      <c r="Z124" s="85" t="n"/>
    </row>
    <row r="125" ht="15.75" customHeight="1" s="86">
      <c r="T125" s="85" t="n"/>
      <c r="U125" s="85" t="n"/>
      <c r="V125" s="85" t="n"/>
      <c r="W125" s="85" t="n"/>
      <c r="X125" s="85" t="n"/>
      <c r="Y125" s="85" t="n"/>
      <c r="Z125" s="85" t="n"/>
    </row>
    <row r="126" ht="15.75" customHeight="1" s="86">
      <c r="T126" s="85" t="n"/>
      <c r="U126" s="85" t="n"/>
      <c r="V126" s="85" t="n"/>
      <c r="W126" s="85" t="n"/>
      <c r="X126" s="85" t="n"/>
      <c r="Y126" s="85" t="n"/>
      <c r="Z126" s="85" t="n"/>
    </row>
    <row r="127" ht="15.75" customHeight="1" s="86">
      <c r="T127" s="85" t="n"/>
      <c r="U127" s="85" t="n"/>
      <c r="V127" s="85" t="n"/>
      <c r="W127" s="85" t="n"/>
      <c r="X127" s="85" t="n"/>
      <c r="Y127" s="85" t="n"/>
      <c r="Z127" s="85" t="n"/>
    </row>
    <row r="128" ht="15.75" customHeight="1" s="86">
      <c r="T128" s="85" t="n"/>
      <c r="U128" s="85" t="n"/>
      <c r="V128" s="85" t="n"/>
      <c r="W128" s="85" t="n"/>
      <c r="X128" s="85" t="n"/>
      <c r="Y128" s="85" t="n"/>
      <c r="Z128" s="85" t="n"/>
    </row>
    <row r="129" ht="15.75" customHeight="1" s="86">
      <c r="T129" s="85" t="n"/>
      <c r="U129" s="85" t="n"/>
      <c r="V129" s="85" t="n"/>
      <c r="W129" s="85" t="n"/>
      <c r="X129" s="85" t="n"/>
      <c r="Y129" s="85" t="n"/>
      <c r="Z129" s="85" t="n"/>
    </row>
    <row r="130" ht="15.75" customHeight="1" s="86">
      <c r="T130" s="85" t="n"/>
      <c r="U130" s="85" t="n"/>
      <c r="V130" s="85" t="n"/>
      <c r="W130" s="85" t="n"/>
      <c r="X130" s="85" t="n"/>
      <c r="Y130" s="85" t="n"/>
      <c r="Z130" s="85" t="n"/>
    </row>
    <row r="131" ht="15.75" customHeight="1" s="86">
      <c r="T131" s="85" t="n"/>
      <c r="U131" s="85" t="n"/>
      <c r="V131" s="85" t="n"/>
      <c r="W131" s="85" t="n"/>
      <c r="X131" s="85" t="n"/>
      <c r="Y131" s="85" t="n"/>
      <c r="Z131" s="85" t="n"/>
    </row>
    <row r="132" ht="15.75" customHeight="1" s="86">
      <c r="T132" s="85" t="n"/>
      <c r="U132" s="85" t="n"/>
      <c r="V132" s="85" t="n"/>
      <c r="W132" s="85" t="n"/>
      <c r="X132" s="85" t="n"/>
      <c r="Y132" s="85" t="n"/>
      <c r="Z132" s="85" t="n"/>
    </row>
    <row r="133" ht="15.75" customHeight="1" s="86">
      <c r="T133" s="85" t="n"/>
      <c r="U133" s="85" t="n"/>
      <c r="V133" s="85" t="n"/>
      <c r="W133" s="85" t="n"/>
      <c r="X133" s="85" t="n"/>
      <c r="Y133" s="85" t="n"/>
      <c r="Z133" s="85" t="n"/>
    </row>
    <row r="134" ht="15.75" customHeight="1" s="86">
      <c r="T134" s="85" t="n"/>
      <c r="U134" s="85" t="n"/>
      <c r="V134" s="85" t="n"/>
      <c r="W134" s="85" t="n"/>
      <c r="X134" s="85" t="n"/>
      <c r="Y134" s="85" t="n"/>
      <c r="Z134" s="85" t="n"/>
    </row>
    <row r="135" ht="15.75" customHeight="1" s="86">
      <c r="T135" s="85" t="n"/>
      <c r="U135" s="85" t="n"/>
      <c r="V135" s="85" t="n"/>
      <c r="W135" s="85" t="n"/>
      <c r="X135" s="85" t="n"/>
      <c r="Y135" s="85" t="n"/>
      <c r="Z135" s="85" t="n"/>
    </row>
    <row r="136" ht="15.75" customHeight="1" s="86">
      <c r="T136" s="85" t="n"/>
      <c r="U136" s="85" t="n"/>
      <c r="V136" s="85" t="n"/>
      <c r="W136" s="85" t="n"/>
      <c r="X136" s="85" t="n"/>
      <c r="Y136" s="85" t="n"/>
      <c r="Z136" s="85" t="n"/>
    </row>
    <row r="137" ht="15.75" customHeight="1" s="86">
      <c r="T137" s="85" t="n"/>
      <c r="U137" s="85" t="n"/>
      <c r="V137" s="85" t="n"/>
      <c r="W137" s="85" t="n"/>
      <c r="X137" s="85" t="n"/>
      <c r="Y137" s="85" t="n"/>
      <c r="Z137" s="85" t="n"/>
    </row>
    <row r="138" ht="15.75" customHeight="1" s="86">
      <c r="T138" s="85" t="n"/>
      <c r="U138" s="85" t="n"/>
      <c r="V138" s="85" t="n"/>
      <c r="W138" s="85" t="n"/>
      <c r="X138" s="85" t="n"/>
      <c r="Y138" s="85" t="n"/>
      <c r="Z138" s="85" t="n"/>
    </row>
    <row r="139" ht="15.75" customHeight="1" s="86">
      <c r="T139" s="85" t="n"/>
      <c r="U139" s="85" t="n"/>
      <c r="V139" s="85" t="n"/>
      <c r="W139" s="85" t="n"/>
      <c r="X139" s="85" t="n"/>
      <c r="Y139" s="85" t="n"/>
      <c r="Z139" s="85" t="n"/>
    </row>
    <row r="140" ht="15.75" customHeight="1" s="86">
      <c r="T140" s="85" t="n"/>
      <c r="U140" s="85" t="n"/>
      <c r="V140" s="85" t="n"/>
      <c r="W140" s="85" t="n"/>
      <c r="X140" s="85" t="n"/>
      <c r="Y140" s="85" t="n"/>
      <c r="Z140" s="85" t="n"/>
    </row>
    <row r="141" ht="15.75" customHeight="1" s="86">
      <c r="T141" s="85" t="n"/>
      <c r="U141" s="85" t="n"/>
      <c r="V141" s="85" t="n"/>
      <c r="W141" s="85" t="n"/>
      <c r="X141" s="85" t="n"/>
      <c r="Y141" s="85" t="n"/>
      <c r="Z141" s="85" t="n"/>
    </row>
    <row r="142" ht="15.75" customHeight="1" s="86">
      <c r="T142" s="85" t="n"/>
      <c r="U142" s="85" t="n"/>
      <c r="V142" s="85" t="n"/>
      <c r="W142" s="85" t="n"/>
      <c r="X142" s="85" t="n"/>
      <c r="Y142" s="85" t="n"/>
      <c r="Z142" s="85" t="n"/>
    </row>
    <row r="143" ht="15.75" customHeight="1" s="86">
      <c r="T143" s="85" t="n"/>
      <c r="U143" s="85" t="n"/>
      <c r="V143" s="85" t="n"/>
      <c r="W143" s="85" t="n"/>
      <c r="X143" s="85" t="n"/>
      <c r="Y143" s="85" t="n"/>
      <c r="Z143" s="85" t="n"/>
    </row>
    <row r="144" ht="15.75" customHeight="1" s="86">
      <c r="T144" s="85" t="n"/>
      <c r="U144" s="85" t="n"/>
      <c r="V144" s="85" t="n"/>
      <c r="W144" s="85" t="n"/>
      <c r="X144" s="85" t="n"/>
      <c r="Y144" s="85" t="n"/>
      <c r="Z144" s="85" t="n"/>
    </row>
    <row r="145" ht="15.75" customHeight="1" s="86">
      <c r="T145" s="85" t="n"/>
      <c r="U145" s="85" t="n"/>
      <c r="V145" s="85" t="n"/>
      <c r="W145" s="85" t="n"/>
      <c r="X145" s="85" t="n"/>
      <c r="Y145" s="85" t="n"/>
      <c r="Z145" s="85" t="n"/>
    </row>
    <row r="146" ht="15.75" customHeight="1" s="86">
      <c r="T146" s="85" t="n"/>
      <c r="U146" s="85" t="n"/>
      <c r="V146" s="85" t="n"/>
      <c r="W146" s="85" t="n"/>
      <c r="X146" s="85" t="n"/>
      <c r="Y146" s="85" t="n"/>
      <c r="Z146" s="85" t="n"/>
    </row>
    <row r="147" ht="15.75" customHeight="1" s="86">
      <c r="T147" s="85" t="n"/>
      <c r="U147" s="85" t="n"/>
      <c r="V147" s="85" t="n"/>
      <c r="W147" s="85" t="n"/>
      <c r="X147" s="85" t="n"/>
      <c r="Y147" s="85" t="n"/>
      <c r="Z147" s="85" t="n"/>
    </row>
    <row r="148" ht="15.75" customHeight="1" s="86">
      <c r="T148" s="85" t="n"/>
      <c r="U148" s="85" t="n"/>
      <c r="V148" s="85" t="n"/>
      <c r="W148" s="85" t="n"/>
      <c r="X148" s="85" t="n"/>
      <c r="Y148" s="85" t="n"/>
      <c r="Z148" s="85" t="n"/>
    </row>
    <row r="149" ht="15.75" customHeight="1" s="86">
      <c r="T149" s="85" t="n"/>
      <c r="U149" s="85" t="n"/>
      <c r="V149" s="85" t="n"/>
      <c r="W149" s="85" t="n"/>
      <c r="X149" s="85" t="n"/>
      <c r="Y149" s="85" t="n"/>
      <c r="Z149" s="85" t="n"/>
    </row>
    <row r="150" ht="15.75" customHeight="1" s="86">
      <c r="T150" s="85" t="n"/>
      <c r="U150" s="85" t="n"/>
      <c r="V150" s="85" t="n"/>
      <c r="W150" s="85" t="n"/>
      <c r="X150" s="85" t="n"/>
      <c r="Y150" s="85" t="n"/>
      <c r="Z150" s="85" t="n"/>
    </row>
    <row r="151" ht="15.75" customHeight="1" s="86">
      <c r="T151" s="85" t="n"/>
      <c r="U151" s="85" t="n"/>
      <c r="V151" s="85" t="n"/>
      <c r="W151" s="85" t="n"/>
      <c r="X151" s="85" t="n"/>
      <c r="Y151" s="85" t="n"/>
      <c r="Z151" s="85" t="n"/>
    </row>
    <row r="152" ht="15.75" customHeight="1" s="86">
      <c r="T152" s="85" t="n"/>
      <c r="U152" s="85" t="n"/>
      <c r="V152" s="85" t="n"/>
      <c r="W152" s="85" t="n"/>
      <c r="X152" s="85" t="n"/>
      <c r="Y152" s="85" t="n"/>
      <c r="Z152" s="85" t="n"/>
    </row>
    <row r="153" ht="15.75" customHeight="1" s="86">
      <c r="T153" s="85" t="n"/>
      <c r="U153" s="85" t="n"/>
      <c r="V153" s="85" t="n"/>
      <c r="W153" s="85" t="n"/>
      <c r="X153" s="85" t="n"/>
      <c r="Y153" s="85" t="n"/>
      <c r="Z153" s="85" t="n"/>
    </row>
    <row r="154" ht="15.75" customHeight="1" s="86">
      <c r="T154" s="85" t="n"/>
      <c r="U154" s="85" t="n"/>
      <c r="V154" s="85" t="n"/>
      <c r="W154" s="85" t="n"/>
      <c r="X154" s="85" t="n"/>
      <c r="Y154" s="85" t="n"/>
      <c r="Z154" s="85" t="n"/>
    </row>
    <row r="155" ht="15.75" customHeight="1" s="86">
      <c r="T155" s="85" t="n"/>
      <c r="U155" s="85" t="n"/>
      <c r="V155" s="85" t="n"/>
      <c r="W155" s="85" t="n"/>
      <c r="X155" s="85" t="n"/>
      <c r="Y155" s="85" t="n"/>
      <c r="Z155" s="85" t="n"/>
    </row>
    <row r="156" ht="15.75" customHeight="1" s="86">
      <c r="T156" s="85" t="n"/>
      <c r="U156" s="85" t="n"/>
      <c r="V156" s="85" t="n"/>
      <c r="W156" s="85" t="n"/>
      <c r="X156" s="85" t="n"/>
      <c r="Y156" s="85" t="n"/>
      <c r="Z156" s="85" t="n"/>
    </row>
    <row r="157" ht="15.75" customHeight="1" s="86">
      <c r="T157" s="85" t="n"/>
      <c r="U157" s="85" t="n"/>
      <c r="V157" s="85" t="n"/>
      <c r="W157" s="85" t="n"/>
      <c r="X157" s="85" t="n"/>
      <c r="Y157" s="85" t="n"/>
      <c r="Z157" s="85" t="n"/>
    </row>
    <row r="158" ht="15.75" customHeight="1" s="86">
      <c r="T158" s="85" t="n"/>
      <c r="U158" s="85" t="n"/>
      <c r="V158" s="85" t="n"/>
      <c r="W158" s="85" t="n"/>
      <c r="X158" s="85" t="n"/>
      <c r="Y158" s="85" t="n"/>
      <c r="Z158" s="85" t="n"/>
    </row>
    <row r="159" ht="15.75" customHeight="1" s="86">
      <c r="T159" s="85" t="n"/>
      <c r="U159" s="85" t="n"/>
      <c r="V159" s="85" t="n"/>
      <c r="W159" s="85" t="n"/>
      <c r="X159" s="85" t="n"/>
      <c r="Y159" s="85" t="n"/>
      <c r="Z159" s="85" t="n"/>
    </row>
    <row r="160" ht="15.75" customHeight="1" s="86">
      <c r="T160" s="85" t="n"/>
      <c r="U160" s="85" t="n"/>
      <c r="V160" s="85" t="n"/>
      <c r="W160" s="85" t="n"/>
      <c r="X160" s="85" t="n"/>
      <c r="Y160" s="85" t="n"/>
      <c r="Z160" s="85" t="n"/>
    </row>
    <row r="161" ht="15.75" customHeight="1" s="86">
      <c r="T161" s="85" t="n"/>
      <c r="U161" s="85" t="n"/>
      <c r="V161" s="85" t="n"/>
      <c r="W161" s="85" t="n"/>
      <c r="X161" s="85" t="n"/>
      <c r="Y161" s="85" t="n"/>
      <c r="Z161" s="85" t="n"/>
    </row>
    <row r="162" ht="15.75" customHeight="1" s="86">
      <c r="T162" s="85" t="n"/>
      <c r="U162" s="85" t="n"/>
      <c r="V162" s="85" t="n"/>
      <c r="W162" s="85" t="n"/>
      <c r="X162" s="85" t="n"/>
      <c r="Y162" s="85" t="n"/>
      <c r="Z162" s="85" t="n"/>
    </row>
    <row r="163" ht="15.75" customHeight="1" s="86">
      <c r="T163" s="85" t="n"/>
      <c r="U163" s="85" t="n"/>
      <c r="V163" s="85" t="n"/>
      <c r="W163" s="85" t="n"/>
      <c r="X163" s="85" t="n"/>
      <c r="Y163" s="85" t="n"/>
      <c r="Z163" s="85" t="n"/>
    </row>
    <row r="164" ht="15.75" customHeight="1" s="86">
      <c r="T164" s="85" t="n"/>
      <c r="U164" s="85" t="n"/>
      <c r="V164" s="85" t="n"/>
      <c r="W164" s="85" t="n"/>
      <c r="X164" s="85" t="n"/>
      <c r="Y164" s="85" t="n"/>
      <c r="Z164" s="85" t="n"/>
    </row>
    <row r="165" ht="15.75" customHeight="1" s="86">
      <c r="T165" s="85" t="n"/>
      <c r="U165" s="85" t="n"/>
      <c r="V165" s="85" t="n"/>
      <c r="W165" s="85" t="n"/>
      <c r="X165" s="85" t="n"/>
      <c r="Y165" s="85" t="n"/>
      <c r="Z165" s="85" t="n"/>
    </row>
    <row r="166" ht="15.75" customHeight="1" s="86">
      <c r="T166" s="85" t="n"/>
      <c r="U166" s="85" t="n"/>
      <c r="V166" s="85" t="n"/>
      <c r="W166" s="85" t="n"/>
      <c r="X166" s="85" t="n"/>
      <c r="Y166" s="85" t="n"/>
      <c r="Z166" s="85" t="n"/>
    </row>
    <row r="167" ht="15.75" customHeight="1" s="86">
      <c r="T167" s="85" t="n"/>
      <c r="U167" s="85" t="n"/>
      <c r="V167" s="85" t="n"/>
      <c r="W167" s="85" t="n"/>
      <c r="X167" s="85" t="n"/>
      <c r="Y167" s="85" t="n"/>
      <c r="Z167" s="85" t="n"/>
    </row>
    <row r="168" ht="15.75" customHeight="1" s="86">
      <c r="T168" s="85" t="n"/>
      <c r="U168" s="85" t="n"/>
      <c r="V168" s="85" t="n"/>
      <c r="W168" s="85" t="n"/>
      <c r="X168" s="85" t="n"/>
      <c r="Y168" s="85" t="n"/>
      <c r="Z168" s="85" t="n"/>
    </row>
    <row r="169" ht="15.75" customHeight="1" s="86">
      <c r="T169" s="85" t="n"/>
      <c r="U169" s="85" t="n"/>
      <c r="V169" s="85" t="n"/>
      <c r="W169" s="85" t="n"/>
      <c r="X169" s="85" t="n"/>
      <c r="Y169" s="85" t="n"/>
      <c r="Z169" s="85" t="n"/>
    </row>
    <row r="170" ht="15.75" customHeight="1" s="86">
      <c r="T170" s="85" t="n"/>
      <c r="U170" s="85" t="n"/>
      <c r="V170" s="85" t="n"/>
      <c r="W170" s="85" t="n"/>
      <c r="X170" s="85" t="n"/>
      <c r="Y170" s="85" t="n"/>
      <c r="Z170" s="85" t="n"/>
    </row>
    <row r="171" ht="15.75" customHeight="1" s="86">
      <c r="T171" s="85" t="n"/>
      <c r="U171" s="85" t="n"/>
      <c r="V171" s="85" t="n"/>
      <c r="W171" s="85" t="n"/>
      <c r="X171" s="85" t="n"/>
      <c r="Y171" s="85" t="n"/>
      <c r="Z171" s="85" t="n"/>
    </row>
    <row r="172" ht="15.75" customHeight="1" s="86">
      <c r="T172" s="85" t="n"/>
      <c r="U172" s="85" t="n"/>
      <c r="V172" s="85" t="n"/>
      <c r="W172" s="85" t="n"/>
      <c r="X172" s="85" t="n"/>
      <c r="Y172" s="85" t="n"/>
      <c r="Z172" s="85" t="n"/>
    </row>
    <row r="173" ht="15.75" customHeight="1" s="86">
      <c r="T173" s="85" t="n"/>
      <c r="U173" s="85" t="n"/>
      <c r="V173" s="85" t="n"/>
      <c r="W173" s="85" t="n"/>
      <c r="X173" s="85" t="n"/>
      <c r="Y173" s="85" t="n"/>
      <c r="Z173" s="85" t="n"/>
    </row>
    <row r="174" ht="15.75" customHeight="1" s="86">
      <c r="T174" s="85" t="n"/>
      <c r="U174" s="85" t="n"/>
      <c r="V174" s="85" t="n"/>
      <c r="W174" s="85" t="n"/>
      <c r="X174" s="85" t="n"/>
      <c r="Y174" s="85" t="n"/>
      <c r="Z174" s="85" t="n"/>
    </row>
    <row r="175" ht="15.75" customHeight="1" s="86">
      <c r="T175" s="85" t="n"/>
      <c r="U175" s="85" t="n"/>
      <c r="V175" s="85" t="n"/>
      <c r="W175" s="85" t="n"/>
      <c r="X175" s="85" t="n"/>
      <c r="Y175" s="85" t="n"/>
      <c r="Z175" s="85" t="n"/>
    </row>
    <row r="176" ht="15.75" customHeight="1" s="86">
      <c r="T176" s="85" t="n"/>
      <c r="U176" s="85" t="n"/>
      <c r="V176" s="85" t="n"/>
      <c r="W176" s="85" t="n"/>
      <c r="X176" s="85" t="n"/>
      <c r="Y176" s="85" t="n"/>
      <c r="Z176" s="85" t="n"/>
    </row>
    <row r="177" ht="15.75" customHeight="1" s="86">
      <c r="T177" s="85" t="n"/>
      <c r="U177" s="85" t="n"/>
      <c r="V177" s="85" t="n"/>
      <c r="W177" s="85" t="n"/>
      <c r="X177" s="85" t="n"/>
      <c r="Y177" s="85" t="n"/>
      <c r="Z177" s="85" t="n"/>
    </row>
    <row r="178" ht="15.75" customHeight="1" s="86">
      <c r="T178" s="85" t="n"/>
      <c r="U178" s="85" t="n"/>
      <c r="V178" s="85" t="n"/>
      <c r="W178" s="85" t="n"/>
      <c r="X178" s="85" t="n"/>
      <c r="Y178" s="85" t="n"/>
      <c r="Z178" s="85" t="n"/>
    </row>
    <row r="179" ht="15.75" customHeight="1" s="86">
      <c r="T179" s="85" t="n"/>
      <c r="U179" s="85" t="n"/>
      <c r="V179" s="85" t="n"/>
      <c r="W179" s="85" t="n"/>
      <c r="X179" s="85" t="n"/>
      <c r="Y179" s="85" t="n"/>
      <c r="Z179" s="85" t="n"/>
    </row>
    <row r="180" ht="15.75" customHeight="1" s="86">
      <c r="T180" s="85" t="n"/>
      <c r="U180" s="85" t="n"/>
      <c r="V180" s="85" t="n"/>
      <c r="W180" s="85" t="n"/>
      <c r="X180" s="85" t="n"/>
      <c r="Y180" s="85" t="n"/>
      <c r="Z180" s="85" t="n"/>
    </row>
    <row r="181" ht="15.75" customHeight="1" s="86">
      <c r="T181" s="85" t="n"/>
      <c r="U181" s="85" t="n"/>
      <c r="V181" s="85" t="n"/>
      <c r="W181" s="85" t="n"/>
      <c r="X181" s="85" t="n"/>
      <c r="Y181" s="85" t="n"/>
      <c r="Z181" s="85" t="n"/>
    </row>
    <row r="182" ht="15.75" customHeight="1" s="86">
      <c r="T182" s="85" t="n"/>
      <c r="U182" s="85" t="n"/>
      <c r="V182" s="85" t="n"/>
      <c r="W182" s="85" t="n"/>
      <c r="X182" s="85" t="n"/>
      <c r="Y182" s="85" t="n"/>
      <c r="Z182" s="85" t="n"/>
    </row>
    <row r="183" ht="15.75" customHeight="1" s="86">
      <c r="T183" s="85" t="n"/>
      <c r="U183" s="85" t="n"/>
      <c r="V183" s="85" t="n"/>
      <c r="W183" s="85" t="n"/>
      <c r="X183" s="85" t="n"/>
      <c r="Y183" s="85" t="n"/>
      <c r="Z183" s="85" t="n"/>
    </row>
    <row r="184" ht="15.75" customHeight="1" s="86">
      <c r="T184" s="85" t="n"/>
      <c r="U184" s="85" t="n"/>
      <c r="V184" s="85" t="n"/>
      <c r="W184" s="85" t="n"/>
      <c r="X184" s="85" t="n"/>
      <c r="Y184" s="85" t="n"/>
      <c r="Z184" s="85" t="n"/>
    </row>
    <row r="185" ht="15.75" customHeight="1" s="86">
      <c r="T185" s="85" t="n"/>
      <c r="U185" s="85" t="n"/>
      <c r="V185" s="85" t="n"/>
      <c r="W185" s="85" t="n"/>
      <c r="X185" s="85" t="n"/>
      <c r="Y185" s="85" t="n"/>
      <c r="Z185" s="85" t="n"/>
    </row>
    <row r="186" ht="15.75" customHeight="1" s="86">
      <c r="T186" s="85" t="n"/>
      <c r="U186" s="85" t="n"/>
      <c r="V186" s="85" t="n"/>
      <c r="W186" s="85" t="n"/>
      <c r="X186" s="85" t="n"/>
      <c r="Y186" s="85" t="n"/>
      <c r="Z186" s="85" t="n"/>
    </row>
    <row r="187" ht="15.75" customHeight="1" s="86">
      <c r="T187" s="85" t="n"/>
      <c r="U187" s="85" t="n"/>
      <c r="V187" s="85" t="n"/>
      <c r="W187" s="85" t="n"/>
      <c r="X187" s="85" t="n"/>
      <c r="Y187" s="85" t="n"/>
      <c r="Z187" s="85" t="n"/>
    </row>
    <row r="188" ht="15.75" customHeight="1" s="86">
      <c r="T188" s="85" t="n"/>
      <c r="U188" s="85" t="n"/>
      <c r="V188" s="85" t="n"/>
      <c r="W188" s="85" t="n"/>
      <c r="X188" s="85" t="n"/>
      <c r="Y188" s="85" t="n"/>
      <c r="Z188" s="85" t="n"/>
    </row>
    <row r="189" ht="15.75" customHeight="1" s="86">
      <c r="T189" s="85" t="n"/>
      <c r="U189" s="85" t="n"/>
      <c r="V189" s="85" t="n"/>
      <c r="W189" s="85" t="n"/>
      <c r="X189" s="85" t="n"/>
      <c r="Y189" s="85" t="n"/>
      <c r="Z189" s="85" t="n"/>
    </row>
    <row r="190" ht="15.75" customHeight="1" s="86">
      <c r="T190" s="85" t="n"/>
      <c r="U190" s="85" t="n"/>
      <c r="V190" s="85" t="n"/>
      <c r="W190" s="85" t="n"/>
      <c r="X190" s="85" t="n"/>
      <c r="Y190" s="85" t="n"/>
      <c r="Z190" s="85" t="n"/>
    </row>
    <row r="191" ht="15.75" customHeight="1" s="86">
      <c r="T191" s="85" t="n"/>
      <c r="U191" s="85" t="n"/>
      <c r="V191" s="85" t="n"/>
      <c r="W191" s="85" t="n"/>
      <c r="X191" s="85" t="n"/>
      <c r="Y191" s="85" t="n"/>
      <c r="Z191" s="85" t="n"/>
    </row>
    <row r="192" ht="15.75" customHeight="1" s="86">
      <c r="T192" s="85" t="n"/>
      <c r="U192" s="85" t="n"/>
      <c r="V192" s="85" t="n"/>
      <c r="W192" s="85" t="n"/>
      <c r="X192" s="85" t="n"/>
      <c r="Y192" s="85" t="n"/>
      <c r="Z192" s="85" t="n"/>
    </row>
    <row r="193" ht="15.75" customHeight="1" s="86">
      <c r="T193" s="85" t="n"/>
      <c r="U193" s="85" t="n"/>
      <c r="V193" s="85" t="n"/>
      <c r="W193" s="85" t="n"/>
      <c r="X193" s="85" t="n"/>
      <c r="Y193" s="85" t="n"/>
      <c r="Z193" s="85" t="n"/>
    </row>
    <row r="194" ht="15.75" customHeight="1" s="86">
      <c r="T194" s="85" t="n"/>
      <c r="U194" s="85" t="n"/>
      <c r="V194" s="85" t="n"/>
      <c r="W194" s="85" t="n"/>
      <c r="X194" s="85" t="n"/>
      <c r="Y194" s="85" t="n"/>
      <c r="Z194" s="85" t="n"/>
    </row>
    <row r="195" ht="15.75" customHeight="1" s="86">
      <c r="T195" s="85" t="n"/>
      <c r="U195" s="85" t="n"/>
      <c r="V195" s="85" t="n"/>
      <c r="W195" s="85" t="n"/>
      <c r="X195" s="85" t="n"/>
      <c r="Y195" s="85" t="n"/>
      <c r="Z195" s="85" t="n"/>
    </row>
    <row r="196" ht="15.75" customHeight="1" s="86">
      <c r="T196" s="85" t="n"/>
      <c r="U196" s="85" t="n"/>
      <c r="V196" s="85" t="n"/>
      <c r="W196" s="85" t="n"/>
      <c r="X196" s="85" t="n"/>
      <c r="Y196" s="85" t="n"/>
      <c r="Z196" s="85" t="n"/>
    </row>
    <row r="197" ht="15.75" customHeight="1" s="86">
      <c r="T197" s="85" t="n"/>
      <c r="U197" s="85" t="n"/>
      <c r="V197" s="85" t="n"/>
      <c r="W197" s="85" t="n"/>
      <c r="X197" s="85" t="n"/>
      <c r="Y197" s="85" t="n"/>
      <c r="Z197" s="85" t="n"/>
    </row>
    <row r="198" ht="15.75" customHeight="1" s="86">
      <c r="T198" s="85" t="n"/>
      <c r="U198" s="85" t="n"/>
      <c r="V198" s="85" t="n"/>
      <c r="W198" s="85" t="n"/>
      <c r="X198" s="85" t="n"/>
      <c r="Y198" s="85" t="n"/>
      <c r="Z198" s="85" t="n"/>
    </row>
    <row r="199" ht="15.75" customHeight="1" s="86">
      <c r="T199" s="85" t="n"/>
      <c r="U199" s="85" t="n"/>
      <c r="V199" s="85" t="n"/>
      <c r="W199" s="85" t="n"/>
      <c r="X199" s="85" t="n"/>
      <c r="Y199" s="85" t="n"/>
      <c r="Z199" s="85" t="n"/>
    </row>
    <row r="200" ht="15.75" customHeight="1" s="86">
      <c r="T200" s="85" t="n"/>
      <c r="U200" s="85" t="n"/>
      <c r="V200" s="85" t="n"/>
      <c r="W200" s="85" t="n"/>
      <c r="X200" s="85" t="n"/>
      <c r="Y200" s="85" t="n"/>
      <c r="Z200" s="85" t="n"/>
    </row>
    <row r="201" ht="15.75" customHeight="1" s="86">
      <c r="T201" s="85" t="n"/>
      <c r="U201" s="85" t="n"/>
      <c r="V201" s="85" t="n"/>
      <c r="W201" s="85" t="n"/>
      <c r="X201" s="85" t="n"/>
      <c r="Y201" s="85" t="n"/>
      <c r="Z201" s="85" t="n"/>
    </row>
    <row r="202" ht="15.75" customHeight="1" s="86">
      <c r="T202" s="85" t="n"/>
      <c r="U202" s="85" t="n"/>
      <c r="V202" s="85" t="n"/>
      <c r="W202" s="85" t="n"/>
      <c r="X202" s="85" t="n"/>
      <c r="Y202" s="85" t="n"/>
      <c r="Z202" s="85" t="n"/>
    </row>
    <row r="203" ht="15.75" customHeight="1" s="86">
      <c r="T203" s="85" t="n"/>
      <c r="U203" s="85" t="n"/>
      <c r="V203" s="85" t="n"/>
      <c r="W203" s="85" t="n"/>
      <c r="X203" s="85" t="n"/>
      <c r="Y203" s="85" t="n"/>
      <c r="Z203" s="85" t="n"/>
    </row>
    <row r="204" ht="15.75" customHeight="1" s="86">
      <c r="T204" s="85" t="n"/>
      <c r="U204" s="85" t="n"/>
      <c r="V204" s="85" t="n"/>
      <c r="W204" s="85" t="n"/>
      <c r="X204" s="85" t="n"/>
      <c r="Y204" s="85" t="n"/>
      <c r="Z204" s="85" t="n"/>
    </row>
    <row r="205" ht="15.75" customHeight="1" s="86">
      <c r="T205" s="85" t="n"/>
      <c r="U205" s="85" t="n"/>
      <c r="V205" s="85" t="n"/>
      <c r="W205" s="85" t="n"/>
      <c r="X205" s="85" t="n"/>
      <c r="Y205" s="85" t="n"/>
      <c r="Z205" s="85" t="n"/>
    </row>
    <row r="206" ht="15.75" customHeight="1" s="86">
      <c r="T206" s="85" t="n"/>
      <c r="U206" s="85" t="n"/>
      <c r="V206" s="85" t="n"/>
      <c r="W206" s="85" t="n"/>
      <c r="X206" s="85" t="n"/>
      <c r="Y206" s="85" t="n"/>
      <c r="Z206" s="85" t="n"/>
    </row>
    <row r="207" ht="15.75" customHeight="1" s="86">
      <c r="T207" s="85" t="n"/>
      <c r="U207" s="85" t="n"/>
      <c r="V207" s="85" t="n"/>
      <c r="W207" s="85" t="n"/>
      <c r="X207" s="85" t="n"/>
      <c r="Y207" s="85" t="n"/>
      <c r="Z207" s="85" t="n"/>
    </row>
    <row r="208" ht="15.75" customHeight="1" s="86">
      <c r="T208" s="85" t="n"/>
      <c r="U208" s="85" t="n"/>
      <c r="V208" s="85" t="n"/>
      <c r="W208" s="85" t="n"/>
      <c r="X208" s="85" t="n"/>
      <c r="Y208" s="85" t="n"/>
      <c r="Z208" s="85" t="n"/>
    </row>
    <row r="209" ht="15.75" customHeight="1" s="86">
      <c r="T209" s="85" t="n"/>
      <c r="U209" s="85" t="n"/>
      <c r="V209" s="85" t="n"/>
      <c r="W209" s="85" t="n"/>
      <c r="X209" s="85" t="n"/>
      <c r="Y209" s="85" t="n"/>
      <c r="Z209" s="85" t="n"/>
    </row>
    <row r="210" ht="15.75" customHeight="1" s="86">
      <c r="T210" s="85" t="n"/>
      <c r="U210" s="85" t="n"/>
      <c r="V210" s="85" t="n"/>
      <c r="W210" s="85" t="n"/>
      <c r="X210" s="85" t="n"/>
      <c r="Y210" s="85" t="n"/>
      <c r="Z210" s="85" t="n"/>
    </row>
    <row r="211" ht="15.75" customHeight="1" s="86">
      <c r="T211" s="85" t="n"/>
      <c r="U211" s="85" t="n"/>
      <c r="V211" s="85" t="n"/>
      <c r="W211" s="85" t="n"/>
      <c r="X211" s="85" t="n"/>
      <c r="Y211" s="85" t="n"/>
      <c r="Z211" s="85" t="n"/>
    </row>
    <row r="212" ht="15.75" customHeight="1" s="86">
      <c r="T212" s="85" t="n"/>
      <c r="U212" s="85" t="n"/>
      <c r="V212" s="85" t="n"/>
      <c r="W212" s="85" t="n"/>
      <c r="X212" s="85" t="n"/>
      <c r="Y212" s="85" t="n"/>
      <c r="Z212" s="85" t="n"/>
    </row>
    <row r="213" ht="15.75" customHeight="1" s="86">
      <c r="T213" s="85" t="n"/>
      <c r="U213" s="85" t="n"/>
      <c r="V213" s="85" t="n"/>
      <c r="W213" s="85" t="n"/>
      <c r="X213" s="85" t="n"/>
      <c r="Y213" s="85" t="n"/>
      <c r="Z213" s="85" t="n"/>
    </row>
    <row r="214" ht="15.75" customHeight="1" s="86">
      <c r="T214" s="85" t="n"/>
      <c r="U214" s="85" t="n"/>
      <c r="V214" s="85" t="n"/>
      <c r="W214" s="85" t="n"/>
      <c r="X214" s="85" t="n"/>
      <c r="Y214" s="85" t="n"/>
      <c r="Z214" s="85" t="n"/>
    </row>
    <row r="215" ht="15.75" customHeight="1" s="86">
      <c r="T215" s="85" t="n"/>
      <c r="U215" s="85" t="n"/>
      <c r="V215" s="85" t="n"/>
      <c r="W215" s="85" t="n"/>
      <c r="X215" s="85" t="n"/>
      <c r="Y215" s="85" t="n"/>
      <c r="Z215" s="85" t="n"/>
    </row>
    <row r="216" ht="15.75" customHeight="1" s="86">
      <c r="T216" s="85" t="n"/>
      <c r="U216" s="85" t="n"/>
      <c r="V216" s="85" t="n"/>
      <c r="W216" s="85" t="n"/>
      <c r="X216" s="85" t="n"/>
      <c r="Y216" s="85" t="n"/>
      <c r="Z216" s="85" t="n"/>
    </row>
    <row r="217" ht="15.75" customHeight="1" s="86">
      <c r="T217" s="85" t="n"/>
      <c r="U217" s="85" t="n"/>
      <c r="V217" s="85" t="n"/>
      <c r="W217" s="85" t="n"/>
      <c r="X217" s="85" t="n"/>
      <c r="Y217" s="85" t="n"/>
      <c r="Z217" s="85" t="n"/>
    </row>
    <row r="218" ht="15.75" customHeight="1" s="86">
      <c r="T218" s="85" t="n"/>
      <c r="U218" s="85" t="n"/>
      <c r="V218" s="85" t="n"/>
      <c r="W218" s="85" t="n"/>
      <c r="X218" s="85" t="n"/>
      <c r="Y218" s="85" t="n"/>
      <c r="Z218" s="85" t="n"/>
    </row>
    <row r="219" ht="15.75" customHeight="1" s="86">
      <c r="T219" s="85" t="n"/>
      <c r="U219" s="85" t="n"/>
      <c r="V219" s="85" t="n"/>
      <c r="W219" s="85" t="n"/>
      <c r="X219" s="85" t="n"/>
      <c r="Y219" s="85" t="n"/>
      <c r="Z219" s="85" t="n"/>
    </row>
    <row r="220" ht="15.75" customHeight="1" s="86">
      <c r="T220" s="85" t="n"/>
      <c r="U220" s="85" t="n"/>
      <c r="V220" s="85" t="n"/>
      <c r="W220" s="85" t="n"/>
      <c r="X220" s="85" t="n"/>
      <c r="Y220" s="85" t="n"/>
      <c r="Z220" s="85" t="n"/>
    </row>
    <row r="221" ht="15.75" customHeight="1" s="86">
      <c r="T221" s="85" t="n"/>
      <c r="U221" s="85" t="n"/>
      <c r="V221" s="85" t="n"/>
      <c r="W221" s="85" t="n"/>
      <c r="X221" s="85" t="n"/>
      <c r="Y221" s="85" t="n"/>
      <c r="Z221" s="85" t="n"/>
    </row>
    <row r="222" ht="15.75" customHeight="1" s="86">
      <c r="T222" s="85" t="n"/>
      <c r="U222" s="85" t="n"/>
      <c r="V222" s="85" t="n"/>
      <c r="W222" s="85" t="n"/>
      <c r="X222" s="85" t="n"/>
      <c r="Y222" s="85" t="n"/>
      <c r="Z222" s="85" t="n"/>
    </row>
    <row r="223" ht="15.75" customHeight="1" s="86">
      <c r="T223" s="85" t="n"/>
      <c r="U223" s="85" t="n"/>
      <c r="V223" s="85" t="n"/>
      <c r="W223" s="85" t="n"/>
      <c r="X223" s="85" t="n"/>
      <c r="Y223" s="85" t="n"/>
      <c r="Z223" s="85" t="n"/>
    </row>
    <row r="224" ht="15.75" customHeight="1" s="86">
      <c r="T224" s="85" t="n"/>
      <c r="U224" s="85" t="n"/>
      <c r="V224" s="85" t="n"/>
      <c r="W224" s="85" t="n"/>
      <c r="X224" s="85" t="n"/>
      <c r="Y224" s="85" t="n"/>
      <c r="Z224" s="85" t="n"/>
    </row>
    <row r="225" ht="15.75" customHeight="1" s="86">
      <c r="T225" s="85" t="n"/>
      <c r="U225" s="85" t="n"/>
      <c r="V225" s="85" t="n"/>
      <c r="W225" s="85" t="n"/>
      <c r="X225" s="85" t="n"/>
      <c r="Y225" s="85" t="n"/>
      <c r="Z225" s="85" t="n"/>
    </row>
    <row r="226" ht="15.75" customHeight="1" s="86">
      <c r="T226" s="85" t="n"/>
      <c r="U226" s="85" t="n"/>
      <c r="V226" s="85" t="n"/>
      <c r="W226" s="85" t="n"/>
      <c r="X226" s="85" t="n"/>
      <c r="Y226" s="85" t="n"/>
      <c r="Z226" s="85" t="n"/>
    </row>
    <row r="227" ht="15.75" customHeight="1" s="86">
      <c r="T227" s="85" t="n"/>
      <c r="U227" s="85" t="n"/>
      <c r="V227" s="85" t="n"/>
      <c r="W227" s="85" t="n"/>
      <c r="X227" s="85" t="n"/>
      <c r="Y227" s="85" t="n"/>
      <c r="Z227" s="85" t="n"/>
    </row>
    <row r="228" ht="15.75" customHeight="1" s="86">
      <c r="T228" s="85" t="n"/>
      <c r="U228" s="85" t="n"/>
      <c r="V228" s="85" t="n"/>
      <c r="W228" s="85" t="n"/>
      <c r="X228" s="85" t="n"/>
      <c r="Y228" s="85" t="n"/>
      <c r="Z228" s="85" t="n"/>
    </row>
    <row r="229" ht="15.75" customHeight="1" s="86">
      <c r="T229" s="85" t="n"/>
      <c r="U229" s="85" t="n"/>
      <c r="V229" s="85" t="n"/>
      <c r="W229" s="85" t="n"/>
      <c r="X229" s="85" t="n"/>
      <c r="Y229" s="85" t="n"/>
      <c r="Z229" s="85" t="n"/>
    </row>
    <row r="230" ht="15.75" customHeight="1" s="86">
      <c r="T230" s="85" t="n"/>
      <c r="U230" s="85" t="n"/>
      <c r="V230" s="85" t="n"/>
      <c r="W230" s="85" t="n"/>
      <c r="X230" s="85" t="n"/>
      <c r="Y230" s="85" t="n"/>
      <c r="Z230" s="85" t="n"/>
    </row>
    <row r="231" ht="15.75" customHeight="1" s="86">
      <c r="T231" s="85" t="n"/>
      <c r="U231" s="85" t="n"/>
      <c r="V231" s="85" t="n"/>
      <c r="W231" s="85" t="n"/>
      <c r="X231" s="85" t="n"/>
      <c r="Y231" s="85" t="n"/>
      <c r="Z231" s="85" t="n"/>
    </row>
    <row r="232" ht="15.75" customHeight="1" s="86">
      <c r="T232" s="85" t="n"/>
      <c r="U232" s="85" t="n"/>
      <c r="V232" s="85" t="n"/>
      <c r="W232" s="85" t="n"/>
      <c r="X232" s="85" t="n"/>
      <c r="Y232" s="85" t="n"/>
      <c r="Z232" s="85" t="n"/>
    </row>
    <row r="233" ht="15.75" customHeight="1" s="86">
      <c r="T233" s="85" t="n"/>
      <c r="U233" s="85" t="n"/>
      <c r="V233" s="85" t="n"/>
      <c r="W233" s="85" t="n"/>
      <c r="X233" s="85" t="n"/>
      <c r="Y233" s="85" t="n"/>
      <c r="Z233" s="85" t="n"/>
    </row>
    <row r="234" ht="15.75" customHeight="1" s="86">
      <c r="T234" s="85" t="n"/>
      <c r="U234" s="85" t="n"/>
      <c r="V234" s="85" t="n"/>
      <c r="W234" s="85" t="n"/>
      <c r="X234" s="85" t="n"/>
      <c r="Y234" s="85" t="n"/>
      <c r="Z234" s="85" t="n"/>
    </row>
    <row r="235" ht="15.75" customHeight="1" s="86">
      <c r="T235" s="85" t="n"/>
      <c r="U235" s="85" t="n"/>
      <c r="V235" s="85" t="n"/>
      <c r="W235" s="85" t="n"/>
      <c r="X235" s="85" t="n"/>
      <c r="Y235" s="85" t="n"/>
      <c r="Z235" s="85" t="n"/>
    </row>
    <row r="236" ht="15.75" customHeight="1" s="86">
      <c r="T236" s="85" t="n"/>
      <c r="U236" s="85" t="n"/>
      <c r="V236" s="85" t="n"/>
      <c r="W236" s="85" t="n"/>
      <c r="X236" s="85" t="n"/>
      <c r="Y236" s="85" t="n"/>
      <c r="Z236" s="85" t="n"/>
    </row>
    <row r="237" ht="15.75" customHeight="1" s="86">
      <c r="T237" s="85" t="n"/>
      <c r="U237" s="85" t="n"/>
      <c r="V237" s="85" t="n"/>
      <c r="W237" s="85" t="n"/>
      <c r="X237" s="85" t="n"/>
      <c r="Y237" s="85" t="n"/>
      <c r="Z237" s="85" t="n"/>
    </row>
    <row r="238" ht="15.75" customHeight="1" s="86">
      <c r="T238" s="85" t="n"/>
      <c r="U238" s="85" t="n"/>
      <c r="V238" s="85" t="n"/>
      <c r="W238" s="85" t="n"/>
      <c r="X238" s="85" t="n"/>
      <c r="Y238" s="85" t="n"/>
      <c r="Z238" s="85" t="n"/>
    </row>
    <row r="239" ht="15.75" customHeight="1" s="86">
      <c r="T239" s="85" t="n"/>
      <c r="U239" s="85" t="n"/>
      <c r="V239" s="85" t="n"/>
      <c r="W239" s="85" t="n"/>
      <c r="X239" s="85" t="n"/>
      <c r="Y239" s="85" t="n"/>
      <c r="Z239" s="85" t="n"/>
    </row>
    <row r="240" ht="15.75" customHeight="1" s="86">
      <c r="T240" s="85" t="n"/>
      <c r="U240" s="85" t="n"/>
      <c r="V240" s="85" t="n"/>
      <c r="W240" s="85" t="n"/>
      <c r="X240" s="85" t="n"/>
      <c r="Y240" s="85" t="n"/>
      <c r="Z240" s="85" t="n"/>
    </row>
    <row r="241" ht="15.75" customHeight="1" s="86">
      <c r="T241" s="85" t="n"/>
      <c r="U241" s="85" t="n"/>
      <c r="V241" s="85" t="n"/>
      <c r="W241" s="85" t="n"/>
      <c r="X241" s="85" t="n"/>
      <c r="Y241" s="85" t="n"/>
      <c r="Z241" s="85" t="n"/>
    </row>
    <row r="242" ht="15.75" customHeight="1" s="86">
      <c r="T242" s="85" t="n"/>
      <c r="U242" s="85" t="n"/>
      <c r="V242" s="85" t="n"/>
      <c r="W242" s="85" t="n"/>
      <c r="X242" s="85" t="n"/>
      <c r="Y242" s="85" t="n"/>
      <c r="Z242" s="85" t="n"/>
    </row>
    <row r="243" ht="15.75" customHeight="1" s="86">
      <c r="T243" s="85" t="n"/>
      <c r="U243" s="85" t="n"/>
      <c r="V243" s="85" t="n"/>
      <c r="W243" s="85" t="n"/>
      <c r="X243" s="85" t="n"/>
      <c r="Y243" s="85" t="n"/>
      <c r="Z243" s="85" t="n"/>
    </row>
    <row r="244" ht="15.75" customHeight="1" s="86">
      <c r="T244" s="85" t="n"/>
      <c r="U244" s="85" t="n"/>
      <c r="V244" s="85" t="n"/>
      <c r="W244" s="85" t="n"/>
      <c r="X244" s="85" t="n"/>
      <c r="Y244" s="85" t="n"/>
      <c r="Z244" s="85" t="n"/>
    </row>
    <row r="245" ht="15.75" customHeight="1" s="86">
      <c r="T245" s="85" t="n"/>
      <c r="U245" s="85" t="n"/>
      <c r="V245" s="85" t="n"/>
      <c r="W245" s="85" t="n"/>
      <c r="X245" s="85" t="n"/>
      <c r="Y245" s="85" t="n"/>
      <c r="Z245" s="85" t="n"/>
    </row>
    <row r="246" ht="15.75" customHeight="1" s="86">
      <c r="T246" s="85" t="n"/>
      <c r="U246" s="85" t="n"/>
      <c r="V246" s="85" t="n"/>
      <c r="W246" s="85" t="n"/>
      <c r="X246" s="85" t="n"/>
      <c r="Y246" s="85" t="n"/>
      <c r="Z246" s="85" t="n"/>
    </row>
    <row r="247" ht="15.75" customHeight="1" s="86">
      <c r="T247" s="85" t="n"/>
      <c r="U247" s="85" t="n"/>
      <c r="V247" s="85" t="n"/>
      <c r="W247" s="85" t="n"/>
      <c r="X247" s="85" t="n"/>
      <c r="Y247" s="85" t="n"/>
      <c r="Z247" s="85" t="n"/>
    </row>
    <row r="248" ht="15.75" customHeight="1" s="86">
      <c r="T248" s="85" t="n"/>
      <c r="U248" s="85" t="n"/>
      <c r="V248" s="85" t="n"/>
      <c r="W248" s="85" t="n"/>
      <c r="X248" s="85" t="n"/>
      <c r="Y248" s="85" t="n"/>
      <c r="Z248" s="85" t="n"/>
    </row>
    <row r="249" ht="15.75" customHeight="1" s="86">
      <c r="T249" s="85" t="n"/>
      <c r="U249" s="85" t="n"/>
      <c r="V249" s="85" t="n"/>
      <c r="W249" s="85" t="n"/>
      <c r="X249" s="85" t="n"/>
      <c r="Y249" s="85" t="n"/>
      <c r="Z249" s="85" t="n"/>
    </row>
    <row r="250" ht="15.75" customHeight="1" s="86">
      <c r="T250" s="85" t="n"/>
      <c r="U250" s="85" t="n"/>
      <c r="V250" s="85" t="n"/>
      <c r="W250" s="85" t="n"/>
      <c r="X250" s="85" t="n"/>
      <c r="Y250" s="85" t="n"/>
      <c r="Z250" s="85" t="n"/>
    </row>
    <row r="251" ht="15.75" customHeight="1" s="86">
      <c r="T251" s="85" t="n"/>
      <c r="U251" s="85" t="n"/>
      <c r="V251" s="85" t="n"/>
      <c r="W251" s="85" t="n"/>
      <c r="X251" s="85" t="n"/>
      <c r="Y251" s="85" t="n"/>
      <c r="Z251" s="85" t="n"/>
    </row>
    <row r="252" ht="15.75" customHeight="1" s="86">
      <c r="T252" s="85" t="n"/>
      <c r="U252" s="85" t="n"/>
      <c r="V252" s="85" t="n"/>
      <c r="W252" s="85" t="n"/>
      <c r="X252" s="85" t="n"/>
      <c r="Y252" s="85" t="n"/>
      <c r="Z252" s="85" t="n"/>
    </row>
    <row r="253" ht="15.75" customHeight="1" s="86">
      <c r="T253" s="85" t="n"/>
      <c r="U253" s="85" t="n"/>
      <c r="V253" s="85" t="n"/>
      <c r="W253" s="85" t="n"/>
      <c r="X253" s="85" t="n"/>
      <c r="Y253" s="85" t="n"/>
      <c r="Z253" s="85" t="n"/>
    </row>
    <row r="254" ht="15.75" customHeight="1" s="86">
      <c r="T254" s="85" t="n"/>
      <c r="U254" s="85" t="n"/>
      <c r="V254" s="85" t="n"/>
      <c r="W254" s="85" t="n"/>
      <c r="X254" s="85" t="n"/>
      <c r="Y254" s="85" t="n"/>
      <c r="Z254" s="85" t="n"/>
    </row>
    <row r="255" ht="15.75" customHeight="1" s="86">
      <c r="T255" s="85" t="n"/>
      <c r="U255" s="85" t="n"/>
      <c r="V255" s="85" t="n"/>
      <c r="W255" s="85" t="n"/>
      <c r="X255" s="85" t="n"/>
      <c r="Y255" s="85" t="n"/>
      <c r="Z255" s="85" t="n"/>
    </row>
    <row r="256" ht="15.75" customHeight="1" s="86">
      <c r="T256" s="85" t="n"/>
      <c r="U256" s="85" t="n"/>
      <c r="V256" s="85" t="n"/>
      <c r="W256" s="85" t="n"/>
      <c r="X256" s="85" t="n"/>
      <c r="Y256" s="85" t="n"/>
      <c r="Z256" s="85" t="n"/>
    </row>
    <row r="257" ht="15.75" customHeight="1" s="86">
      <c r="T257" s="85" t="n"/>
      <c r="U257" s="85" t="n"/>
      <c r="V257" s="85" t="n"/>
      <c r="W257" s="85" t="n"/>
      <c r="X257" s="85" t="n"/>
      <c r="Y257" s="85" t="n"/>
      <c r="Z257" s="85" t="n"/>
    </row>
    <row r="258" ht="15.75" customHeight="1" s="86">
      <c r="T258" s="85" t="n"/>
      <c r="U258" s="85" t="n"/>
      <c r="V258" s="85" t="n"/>
      <c r="W258" s="85" t="n"/>
      <c r="X258" s="85" t="n"/>
      <c r="Y258" s="85" t="n"/>
      <c r="Z258" s="85" t="n"/>
    </row>
    <row r="259" ht="15.75" customHeight="1" s="86">
      <c r="T259" s="85" t="n"/>
      <c r="U259" s="85" t="n"/>
      <c r="V259" s="85" t="n"/>
      <c r="W259" s="85" t="n"/>
      <c r="X259" s="85" t="n"/>
      <c r="Y259" s="85" t="n"/>
      <c r="Z259" s="85" t="n"/>
    </row>
    <row r="260" ht="15.75" customHeight="1" s="86">
      <c r="T260" s="85" t="n"/>
      <c r="U260" s="85" t="n"/>
      <c r="V260" s="85" t="n"/>
      <c r="W260" s="85" t="n"/>
      <c r="X260" s="85" t="n"/>
      <c r="Y260" s="85" t="n"/>
      <c r="Z260" s="85" t="n"/>
    </row>
    <row r="261" ht="15.75" customHeight="1" s="86">
      <c r="T261" s="85" t="n"/>
      <c r="U261" s="85" t="n"/>
      <c r="V261" s="85" t="n"/>
      <c r="W261" s="85" t="n"/>
      <c r="X261" s="85" t="n"/>
      <c r="Y261" s="85" t="n"/>
      <c r="Z261" s="85" t="n"/>
    </row>
    <row r="262" ht="15.75" customHeight="1" s="86">
      <c r="T262" s="85" t="n"/>
      <c r="U262" s="85" t="n"/>
      <c r="V262" s="85" t="n"/>
      <c r="W262" s="85" t="n"/>
      <c r="X262" s="85" t="n"/>
      <c r="Y262" s="85" t="n"/>
      <c r="Z262" s="85" t="n"/>
    </row>
    <row r="263" ht="15.75" customHeight="1" s="86">
      <c r="T263" s="85" t="n"/>
      <c r="U263" s="85" t="n"/>
      <c r="V263" s="85" t="n"/>
      <c r="W263" s="85" t="n"/>
      <c r="X263" s="85" t="n"/>
      <c r="Y263" s="85" t="n"/>
      <c r="Z263" s="85" t="n"/>
    </row>
    <row r="264" ht="15.75" customHeight="1" s="86">
      <c r="T264" s="85" t="n"/>
      <c r="U264" s="85" t="n"/>
      <c r="V264" s="85" t="n"/>
      <c r="W264" s="85" t="n"/>
      <c r="X264" s="85" t="n"/>
      <c r="Y264" s="85" t="n"/>
      <c r="Z264" s="85" t="n"/>
    </row>
    <row r="265" ht="15.75" customHeight="1" s="86">
      <c r="T265" s="85" t="n"/>
      <c r="U265" s="85" t="n"/>
      <c r="V265" s="85" t="n"/>
      <c r="W265" s="85" t="n"/>
      <c r="X265" s="85" t="n"/>
      <c r="Y265" s="85" t="n"/>
      <c r="Z265" s="85" t="n"/>
    </row>
    <row r="266" ht="15.75" customHeight="1" s="86">
      <c r="T266" s="85" t="n"/>
      <c r="U266" s="85" t="n"/>
      <c r="V266" s="85" t="n"/>
      <c r="W266" s="85" t="n"/>
      <c r="X266" s="85" t="n"/>
      <c r="Y266" s="85" t="n"/>
      <c r="Z266" s="85" t="n"/>
    </row>
    <row r="267" ht="15.75" customHeight="1" s="86">
      <c r="T267" s="85" t="n"/>
      <c r="U267" s="85" t="n"/>
      <c r="V267" s="85" t="n"/>
      <c r="W267" s="85" t="n"/>
      <c r="X267" s="85" t="n"/>
      <c r="Y267" s="85" t="n"/>
      <c r="Z267" s="85" t="n"/>
    </row>
    <row r="268" ht="15.75" customHeight="1" s="86">
      <c r="T268" s="85" t="n"/>
      <c r="U268" s="85" t="n"/>
      <c r="V268" s="85" t="n"/>
      <c r="W268" s="85" t="n"/>
      <c r="X268" s="85" t="n"/>
      <c r="Y268" s="85" t="n"/>
      <c r="Z268" s="85" t="n"/>
    </row>
    <row r="269" ht="15.75" customHeight="1" s="86">
      <c r="T269" s="85" t="n"/>
      <c r="U269" s="85" t="n"/>
      <c r="V269" s="85" t="n"/>
      <c r="W269" s="85" t="n"/>
      <c r="X269" s="85" t="n"/>
      <c r="Y269" s="85" t="n"/>
      <c r="Z269" s="85" t="n"/>
    </row>
    <row r="270" ht="15.75" customHeight="1" s="86">
      <c r="T270" s="85" t="n"/>
      <c r="U270" s="85" t="n"/>
      <c r="V270" s="85" t="n"/>
      <c r="W270" s="85" t="n"/>
      <c r="X270" s="85" t="n"/>
      <c r="Y270" s="85" t="n"/>
      <c r="Z270" s="85" t="n"/>
    </row>
    <row r="271" ht="15.75" customHeight="1" s="86">
      <c r="T271" s="85" t="n"/>
      <c r="U271" s="85" t="n"/>
      <c r="V271" s="85" t="n"/>
      <c r="W271" s="85" t="n"/>
      <c r="X271" s="85" t="n"/>
      <c r="Y271" s="85" t="n"/>
      <c r="Z271" s="85" t="n"/>
    </row>
    <row r="272" ht="15.75" customHeight="1" s="86">
      <c r="T272" s="85" t="n"/>
      <c r="U272" s="85" t="n"/>
      <c r="V272" s="85" t="n"/>
      <c r="W272" s="85" t="n"/>
      <c r="X272" s="85" t="n"/>
      <c r="Y272" s="85" t="n"/>
      <c r="Z272" s="85" t="n"/>
    </row>
    <row r="273" ht="15.75" customHeight="1" s="86">
      <c r="T273" s="85" t="n"/>
      <c r="U273" s="85" t="n"/>
      <c r="V273" s="85" t="n"/>
      <c r="W273" s="85" t="n"/>
      <c r="X273" s="85" t="n"/>
      <c r="Y273" s="85" t="n"/>
      <c r="Z273" s="85" t="n"/>
    </row>
    <row r="274" ht="15.75" customHeight="1" s="86">
      <c r="T274" s="85" t="n"/>
      <c r="U274" s="85" t="n"/>
      <c r="V274" s="85" t="n"/>
      <c r="W274" s="85" t="n"/>
      <c r="X274" s="85" t="n"/>
      <c r="Y274" s="85" t="n"/>
      <c r="Z274" s="85" t="n"/>
    </row>
    <row r="275" ht="15.75" customHeight="1" s="86">
      <c r="T275" s="85" t="n"/>
      <c r="U275" s="85" t="n"/>
      <c r="V275" s="85" t="n"/>
      <c r="W275" s="85" t="n"/>
      <c r="X275" s="85" t="n"/>
      <c r="Y275" s="85" t="n"/>
      <c r="Z275" s="85" t="n"/>
    </row>
    <row r="276" ht="15.75" customHeight="1" s="86">
      <c r="T276" s="85" t="n"/>
      <c r="U276" s="85" t="n"/>
      <c r="V276" s="85" t="n"/>
      <c r="W276" s="85" t="n"/>
      <c r="X276" s="85" t="n"/>
      <c r="Y276" s="85" t="n"/>
      <c r="Z276" s="85" t="n"/>
    </row>
    <row r="277" ht="15.75" customHeight="1" s="86">
      <c r="T277" s="85" t="n"/>
      <c r="U277" s="85" t="n"/>
      <c r="V277" s="85" t="n"/>
      <c r="W277" s="85" t="n"/>
      <c r="X277" s="85" t="n"/>
      <c r="Y277" s="85" t="n"/>
      <c r="Z277" s="85" t="n"/>
    </row>
    <row r="278" ht="15.75" customHeight="1" s="86">
      <c r="T278" s="85" t="n"/>
      <c r="U278" s="85" t="n"/>
      <c r="V278" s="85" t="n"/>
      <c r="W278" s="85" t="n"/>
      <c r="X278" s="85" t="n"/>
      <c r="Y278" s="85" t="n"/>
      <c r="Z278" s="85" t="n"/>
    </row>
    <row r="279" ht="15.75" customHeight="1" s="86">
      <c r="T279" s="85" t="n"/>
      <c r="U279" s="85" t="n"/>
      <c r="V279" s="85" t="n"/>
      <c r="W279" s="85" t="n"/>
      <c r="X279" s="85" t="n"/>
      <c r="Y279" s="85" t="n"/>
      <c r="Z279" s="85" t="n"/>
    </row>
    <row r="280" ht="15.75" customHeight="1" s="86">
      <c r="T280" s="85" t="n"/>
      <c r="U280" s="85" t="n"/>
      <c r="V280" s="85" t="n"/>
      <c r="W280" s="85" t="n"/>
      <c r="X280" s="85" t="n"/>
      <c r="Y280" s="85" t="n"/>
      <c r="Z280" s="85" t="n"/>
    </row>
    <row r="281" ht="15.75" customHeight="1" s="86">
      <c r="T281" s="85" t="n"/>
      <c r="U281" s="85" t="n"/>
      <c r="V281" s="85" t="n"/>
      <c r="W281" s="85" t="n"/>
      <c r="X281" s="85" t="n"/>
      <c r="Y281" s="85" t="n"/>
      <c r="Z281" s="85" t="n"/>
    </row>
    <row r="282" ht="15.75" customHeight="1" s="86">
      <c r="T282" s="85" t="n"/>
      <c r="U282" s="85" t="n"/>
      <c r="V282" s="85" t="n"/>
      <c r="W282" s="85" t="n"/>
      <c r="X282" s="85" t="n"/>
      <c r="Y282" s="85" t="n"/>
      <c r="Z282" s="85" t="n"/>
    </row>
    <row r="283" ht="15.75" customHeight="1" s="86">
      <c r="T283" s="85" t="n"/>
      <c r="U283" s="85" t="n"/>
      <c r="V283" s="85" t="n"/>
      <c r="W283" s="85" t="n"/>
      <c r="X283" s="85" t="n"/>
      <c r="Y283" s="85" t="n"/>
      <c r="Z283" s="85" t="n"/>
    </row>
    <row r="284" ht="15.75" customHeight="1" s="86">
      <c r="T284" s="85" t="n"/>
      <c r="U284" s="85" t="n"/>
      <c r="V284" s="85" t="n"/>
      <c r="W284" s="85" t="n"/>
      <c r="X284" s="85" t="n"/>
      <c r="Y284" s="85" t="n"/>
      <c r="Z284" s="85" t="n"/>
    </row>
    <row r="285" ht="15.75" customHeight="1" s="86">
      <c r="T285" s="85" t="n"/>
      <c r="U285" s="85" t="n"/>
      <c r="V285" s="85" t="n"/>
      <c r="W285" s="85" t="n"/>
      <c r="X285" s="85" t="n"/>
      <c r="Y285" s="85" t="n"/>
      <c r="Z285" s="85" t="n"/>
    </row>
    <row r="286" ht="15.75" customHeight="1" s="86">
      <c r="T286" s="85" t="n"/>
      <c r="U286" s="85" t="n"/>
      <c r="V286" s="85" t="n"/>
      <c r="W286" s="85" t="n"/>
      <c r="X286" s="85" t="n"/>
      <c r="Y286" s="85" t="n"/>
      <c r="Z286" s="85" t="n"/>
    </row>
    <row r="287" ht="15.75" customHeight="1" s="86">
      <c r="T287" s="85" t="n"/>
      <c r="U287" s="85" t="n"/>
      <c r="V287" s="85" t="n"/>
      <c r="W287" s="85" t="n"/>
      <c r="X287" s="85" t="n"/>
      <c r="Y287" s="85" t="n"/>
      <c r="Z287" s="85" t="n"/>
    </row>
    <row r="288" ht="15.75" customHeight="1" s="86">
      <c r="T288" s="85" t="n"/>
      <c r="U288" s="85" t="n"/>
      <c r="V288" s="85" t="n"/>
      <c r="W288" s="85" t="n"/>
      <c r="X288" s="85" t="n"/>
      <c r="Y288" s="85" t="n"/>
      <c r="Z288" s="85" t="n"/>
    </row>
    <row r="289" ht="15.75" customHeight="1" s="86">
      <c r="T289" s="85" t="n"/>
      <c r="U289" s="85" t="n"/>
      <c r="V289" s="85" t="n"/>
      <c r="W289" s="85" t="n"/>
      <c r="X289" s="85" t="n"/>
      <c r="Y289" s="85" t="n"/>
      <c r="Z289" s="85" t="n"/>
    </row>
    <row r="290" ht="15.75" customHeight="1" s="86">
      <c r="T290" s="85" t="n"/>
      <c r="U290" s="85" t="n"/>
      <c r="V290" s="85" t="n"/>
      <c r="W290" s="85" t="n"/>
      <c r="X290" s="85" t="n"/>
      <c r="Y290" s="85" t="n"/>
      <c r="Z290" s="85" t="n"/>
    </row>
    <row r="291" ht="15.75" customHeight="1" s="86">
      <c r="T291" s="85" t="n"/>
      <c r="U291" s="85" t="n"/>
      <c r="V291" s="85" t="n"/>
      <c r="W291" s="85" t="n"/>
      <c r="X291" s="85" t="n"/>
      <c r="Y291" s="85" t="n"/>
      <c r="Z291" s="85" t="n"/>
    </row>
    <row r="292" ht="15.75" customHeight="1" s="86">
      <c r="T292" s="85" t="n"/>
      <c r="U292" s="85" t="n"/>
      <c r="V292" s="85" t="n"/>
      <c r="W292" s="85" t="n"/>
      <c r="X292" s="85" t="n"/>
      <c r="Y292" s="85" t="n"/>
      <c r="Z292" s="85" t="n"/>
    </row>
    <row r="293" ht="15.75" customHeight="1" s="86">
      <c r="T293" s="85" t="n"/>
      <c r="U293" s="85" t="n"/>
      <c r="V293" s="85" t="n"/>
      <c r="W293" s="85" t="n"/>
      <c r="X293" s="85" t="n"/>
      <c r="Y293" s="85" t="n"/>
      <c r="Z293" s="85" t="n"/>
    </row>
    <row r="294" ht="15.75" customHeight="1" s="86">
      <c r="T294" s="85" t="n"/>
      <c r="U294" s="85" t="n"/>
      <c r="V294" s="85" t="n"/>
      <c r="W294" s="85" t="n"/>
      <c r="X294" s="85" t="n"/>
      <c r="Y294" s="85" t="n"/>
      <c r="Z294" s="85" t="n"/>
    </row>
    <row r="295" ht="15.75" customHeight="1" s="86">
      <c r="T295" s="85" t="n"/>
      <c r="U295" s="85" t="n"/>
      <c r="V295" s="85" t="n"/>
      <c r="W295" s="85" t="n"/>
      <c r="X295" s="85" t="n"/>
      <c r="Y295" s="85" t="n"/>
      <c r="Z295" s="85" t="n"/>
    </row>
    <row r="296" ht="15.75" customHeight="1" s="86">
      <c r="T296" s="85" t="n"/>
      <c r="U296" s="85" t="n"/>
      <c r="V296" s="85" t="n"/>
      <c r="W296" s="85" t="n"/>
      <c r="X296" s="85" t="n"/>
      <c r="Y296" s="85" t="n"/>
      <c r="Z296" s="85" t="n"/>
    </row>
    <row r="297" ht="15.75" customHeight="1" s="86">
      <c r="T297" s="85" t="n"/>
      <c r="U297" s="85" t="n"/>
      <c r="V297" s="85" t="n"/>
      <c r="W297" s="85" t="n"/>
      <c r="X297" s="85" t="n"/>
      <c r="Y297" s="85" t="n"/>
      <c r="Z297" s="85" t="n"/>
    </row>
    <row r="298" ht="15.75" customHeight="1" s="86">
      <c r="T298" s="85" t="n"/>
      <c r="U298" s="85" t="n"/>
      <c r="V298" s="85" t="n"/>
      <c r="W298" s="85" t="n"/>
      <c r="X298" s="85" t="n"/>
      <c r="Y298" s="85" t="n"/>
      <c r="Z298" s="85" t="n"/>
    </row>
    <row r="299" ht="15.75" customHeight="1" s="86">
      <c r="T299" s="85" t="n"/>
      <c r="U299" s="85" t="n"/>
      <c r="V299" s="85" t="n"/>
      <c r="W299" s="85" t="n"/>
      <c r="X299" s="85" t="n"/>
      <c r="Y299" s="85" t="n"/>
      <c r="Z299" s="85" t="n"/>
    </row>
    <row r="300" ht="15.75" customHeight="1" s="86">
      <c r="T300" s="85" t="n"/>
      <c r="U300" s="85" t="n"/>
      <c r="V300" s="85" t="n"/>
      <c r="W300" s="85" t="n"/>
      <c r="X300" s="85" t="n"/>
      <c r="Y300" s="85" t="n"/>
      <c r="Z300" s="85" t="n"/>
    </row>
    <row r="301" ht="15.75" customHeight="1" s="86">
      <c r="T301" s="85" t="n"/>
      <c r="U301" s="85" t="n"/>
      <c r="V301" s="85" t="n"/>
      <c r="W301" s="85" t="n"/>
      <c r="X301" s="85" t="n"/>
      <c r="Y301" s="85" t="n"/>
      <c r="Z301" s="85" t="n"/>
    </row>
    <row r="302" ht="15.75" customHeight="1" s="86">
      <c r="T302" s="85" t="n"/>
      <c r="U302" s="85" t="n"/>
      <c r="V302" s="85" t="n"/>
      <c r="W302" s="85" t="n"/>
      <c r="X302" s="85" t="n"/>
      <c r="Y302" s="85" t="n"/>
      <c r="Z302" s="85" t="n"/>
    </row>
    <row r="303" ht="15.75" customHeight="1" s="86">
      <c r="T303" s="85" t="n"/>
      <c r="U303" s="85" t="n"/>
      <c r="V303" s="85" t="n"/>
      <c r="W303" s="85" t="n"/>
      <c r="X303" s="85" t="n"/>
      <c r="Y303" s="85" t="n"/>
      <c r="Z303" s="85" t="n"/>
    </row>
    <row r="304" ht="15.75" customHeight="1" s="86">
      <c r="T304" s="85" t="n"/>
      <c r="U304" s="85" t="n"/>
      <c r="V304" s="85" t="n"/>
      <c r="W304" s="85" t="n"/>
      <c r="X304" s="85" t="n"/>
      <c r="Y304" s="85" t="n"/>
      <c r="Z304" s="85" t="n"/>
    </row>
    <row r="305" ht="15.75" customHeight="1" s="86">
      <c r="T305" s="85" t="n"/>
      <c r="U305" s="85" t="n"/>
      <c r="V305" s="85" t="n"/>
      <c r="W305" s="85" t="n"/>
      <c r="X305" s="85" t="n"/>
      <c r="Y305" s="85" t="n"/>
      <c r="Z305" s="85" t="n"/>
    </row>
    <row r="306" ht="15.75" customHeight="1" s="86">
      <c r="T306" s="85" t="n"/>
      <c r="U306" s="85" t="n"/>
      <c r="V306" s="85" t="n"/>
      <c r="W306" s="85" t="n"/>
      <c r="X306" s="85" t="n"/>
      <c r="Y306" s="85" t="n"/>
      <c r="Z306" s="85" t="n"/>
    </row>
    <row r="307" ht="15.75" customHeight="1" s="86">
      <c r="T307" s="85" t="n"/>
      <c r="U307" s="85" t="n"/>
      <c r="V307" s="85" t="n"/>
      <c r="W307" s="85" t="n"/>
      <c r="X307" s="85" t="n"/>
      <c r="Y307" s="85" t="n"/>
      <c r="Z307" s="85" t="n"/>
    </row>
    <row r="308" ht="15.75" customHeight="1" s="86">
      <c r="T308" s="85" t="n"/>
      <c r="U308" s="85" t="n"/>
      <c r="V308" s="85" t="n"/>
      <c r="W308" s="85" t="n"/>
      <c r="X308" s="85" t="n"/>
      <c r="Y308" s="85" t="n"/>
      <c r="Z308" s="85" t="n"/>
    </row>
    <row r="309" ht="15.75" customHeight="1" s="86">
      <c r="T309" s="85" t="n"/>
      <c r="U309" s="85" t="n"/>
      <c r="V309" s="85" t="n"/>
      <c r="W309" s="85" t="n"/>
      <c r="X309" s="85" t="n"/>
      <c r="Y309" s="85" t="n"/>
      <c r="Z309" s="85" t="n"/>
    </row>
    <row r="310" ht="15.75" customHeight="1" s="86">
      <c r="T310" s="85" t="n"/>
      <c r="U310" s="85" t="n"/>
      <c r="V310" s="85" t="n"/>
      <c r="W310" s="85" t="n"/>
      <c r="X310" s="85" t="n"/>
      <c r="Y310" s="85" t="n"/>
      <c r="Z310" s="85" t="n"/>
    </row>
    <row r="311" ht="15.75" customHeight="1" s="86">
      <c r="T311" s="85" t="n"/>
      <c r="U311" s="85" t="n"/>
      <c r="V311" s="85" t="n"/>
      <c r="W311" s="85" t="n"/>
      <c r="X311" s="85" t="n"/>
      <c r="Y311" s="85" t="n"/>
      <c r="Z311" s="85" t="n"/>
    </row>
    <row r="312" ht="15.75" customHeight="1" s="86">
      <c r="T312" s="85" t="n"/>
      <c r="U312" s="85" t="n"/>
      <c r="V312" s="85" t="n"/>
      <c r="W312" s="85" t="n"/>
      <c r="X312" s="85" t="n"/>
      <c r="Y312" s="85" t="n"/>
      <c r="Z312" s="85" t="n"/>
    </row>
    <row r="313" ht="15.75" customHeight="1" s="86">
      <c r="T313" s="85" t="n"/>
      <c r="U313" s="85" t="n"/>
      <c r="V313" s="85" t="n"/>
      <c r="W313" s="85" t="n"/>
      <c r="X313" s="85" t="n"/>
      <c r="Y313" s="85" t="n"/>
      <c r="Z313" s="85" t="n"/>
    </row>
    <row r="314" ht="15.75" customHeight="1" s="86">
      <c r="T314" s="85" t="n"/>
      <c r="U314" s="85" t="n"/>
      <c r="V314" s="85" t="n"/>
      <c r="W314" s="85" t="n"/>
      <c r="X314" s="85" t="n"/>
      <c r="Y314" s="85" t="n"/>
      <c r="Z314" s="85" t="n"/>
    </row>
    <row r="315" ht="15.75" customHeight="1" s="86">
      <c r="T315" s="85" t="n"/>
      <c r="U315" s="85" t="n"/>
      <c r="V315" s="85" t="n"/>
      <c r="W315" s="85" t="n"/>
      <c r="X315" s="85" t="n"/>
      <c r="Y315" s="85" t="n"/>
      <c r="Z315" s="85" t="n"/>
    </row>
    <row r="316" ht="15.75" customHeight="1" s="86">
      <c r="T316" s="85" t="n"/>
      <c r="U316" s="85" t="n"/>
      <c r="V316" s="85" t="n"/>
      <c r="W316" s="85" t="n"/>
      <c r="X316" s="85" t="n"/>
      <c r="Y316" s="85" t="n"/>
      <c r="Z316" s="85" t="n"/>
    </row>
    <row r="317" ht="15.75" customHeight="1" s="86">
      <c r="T317" s="85" t="n"/>
      <c r="U317" s="85" t="n"/>
      <c r="V317" s="85" t="n"/>
      <c r="W317" s="85" t="n"/>
      <c r="X317" s="85" t="n"/>
      <c r="Y317" s="85" t="n"/>
      <c r="Z317" s="85" t="n"/>
    </row>
    <row r="318" ht="15.75" customHeight="1" s="86">
      <c r="T318" s="85" t="n"/>
      <c r="U318" s="85" t="n"/>
      <c r="V318" s="85" t="n"/>
      <c r="W318" s="85" t="n"/>
      <c r="X318" s="85" t="n"/>
      <c r="Y318" s="85" t="n"/>
      <c r="Z318" s="85" t="n"/>
    </row>
    <row r="319" ht="15.75" customHeight="1" s="86">
      <c r="T319" s="85" t="n"/>
      <c r="U319" s="85" t="n"/>
      <c r="V319" s="85" t="n"/>
      <c r="W319" s="85" t="n"/>
      <c r="X319" s="85" t="n"/>
      <c r="Y319" s="85" t="n"/>
      <c r="Z319" s="85" t="n"/>
    </row>
    <row r="320" ht="15.75" customHeight="1" s="86">
      <c r="T320" s="85" t="n"/>
      <c r="U320" s="85" t="n"/>
      <c r="V320" s="85" t="n"/>
      <c r="W320" s="85" t="n"/>
      <c r="X320" s="85" t="n"/>
      <c r="Y320" s="85" t="n"/>
      <c r="Z320" s="85" t="n"/>
    </row>
    <row r="321" ht="15.75" customHeight="1" s="86">
      <c r="T321" s="85" t="n"/>
      <c r="U321" s="85" t="n"/>
      <c r="V321" s="85" t="n"/>
      <c r="W321" s="85" t="n"/>
      <c r="X321" s="85" t="n"/>
      <c r="Y321" s="85" t="n"/>
      <c r="Z321" s="85" t="n"/>
    </row>
    <row r="322" ht="15.75" customHeight="1" s="86">
      <c r="T322" s="85" t="n"/>
      <c r="U322" s="85" t="n"/>
      <c r="V322" s="85" t="n"/>
      <c r="W322" s="85" t="n"/>
      <c r="X322" s="85" t="n"/>
      <c r="Y322" s="85" t="n"/>
      <c r="Z322" s="85" t="n"/>
    </row>
    <row r="323" ht="15.75" customHeight="1" s="86">
      <c r="T323" s="85" t="n"/>
      <c r="U323" s="85" t="n"/>
      <c r="V323" s="85" t="n"/>
      <c r="W323" s="85" t="n"/>
      <c r="X323" s="85" t="n"/>
      <c r="Y323" s="85" t="n"/>
      <c r="Z323" s="85" t="n"/>
    </row>
    <row r="324" ht="15.75" customHeight="1" s="86">
      <c r="T324" s="85" t="n"/>
      <c r="U324" s="85" t="n"/>
      <c r="V324" s="85" t="n"/>
      <c r="W324" s="85" t="n"/>
      <c r="X324" s="85" t="n"/>
      <c r="Y324" s="85" t="n"/>
      <c r="Z324" s="85" t="n"/>
    </row>
    <row r="325" ht="15.75" customHeight="1" s="86">
      <c r="T325" s="85" t="n"/>
      <c r="U325" s="85" t="n"/>
      <c r="V325" s="85" t="n"/>
      <c r="W325" s="85" t="n"/>
      <c r="X325" s="85" t="n"/>
      <c r="Y325" s="85" t="n"/>
      <c r="Z325" s="85" t="n"/>
    </row>
    <row r="326" ht="15.75" customHeight="1" s="86">
      <c r="T326" s="85" t="n"/>
      <c r="U326" s="85" t="n"/>
      <c r="V326" s="85" t="n"/>
      <c r="W326" s="85" t="n"/>
      <c r="X326" s="85" t="n"/>
      <c r="Y326" s="85" t="n"/>
      <c r="Z326" s="85" t="n"/>
    </row>
    <row r="327" ht="15.75" customHeight="1" s="86">
      <c r="T327" s="85" t="n"/>
      <c r="U327" s="85" t="n"/>
      <c r="V327" s="85" t="n"/>
      <c r="W327" s="85" t="n"/>
      <c r="X327" s="85" t="n"/>
      <c r="Y327" s="85" t="n"/>
      <c r="Z327" s="85" t="n"/>
    </row>
    <row r="328" ht="15.75" customHeight="1" s="86">
      <c r="T328" s="85" t="n"/>
      <c r="U328" s="85" t="n"/>
      <c r="V328" s="85" t="n"/>
      <c r="W328" s="85" t="n"/>
      <c r="X328" s="85" t="n"/>
      <c r="Y328" s="85" t="n"/>
      <c r="Z328" s="85" t="n"/>
    </row>
    <row r="329" ht="15.75" customHeight="1" s="86">
      <c r="T329" s="85" t="n"/>
      <c r="U329" s="85" t="n"/>
      <c r="V329" s="85" t="n"/>
      <c r="W329" s="85" t="n"/>
      <c r="X329" s="85" t="n"/>
      <c r="Y329" s="85" t="n"/>
      <c r="Z329" s="85" t="n"/>
    </row>
    <row r="330" ht="15.75" customHeight="1" s="86">
      <c r="T330" s="85" t="n"/>
      <c r="U330" s="85" t="n"/>
      <c r="V330" s="85" t="n"/>
      <c r="W330" s="85" t="n"/>
      <c r="X330" s="85" t="n"/>
      <c r="Y330" s="85" t="n"/>
      <c r="Z330" s="85" t="n"/>
    </row>
    <row r="331" ht="15.75" customHeight="1" s="86">
      <c r="T331" s="85" t="n"/>
      <c r="U331" s="85" t="n"/>
      <c r="V331" s="85" t="n"/>
      <c r="W331" s="85" t="n"/>
      <c r="X331" s="85" t="n"/>
      <c r="Y331" s="85" t="n"/>
      <c r="Z331" s="85" t="n"/>
    </row>
    <row r="332" ht="15.75" customHeight="1" s="86">
      <c r="T332" s="85" t="n"/>
      <c r="U332" s="85" t="n"/>
      <c r="V332" s="85" t="n"/>
      <c r="W332" s="85" t="n"/>
      <c r="X332" s="85" t="n"/>
      <c r="Y332" s="85" t="n"/>
      <c r="Z332" s="85" t="n"/>
    </row>
    <row r="333" ht="15.75" customHeight="1" s="86">
      <c r="T333" s="85" t="n"/>
      <c r="U333" s="85" t="n"/>
      <c r="V333" s="85" t="n"/>
      <c r="W333" s="85" t="n"/>
      <c r="X333" s="85" t="n"/>
      <c r="Y333" s="85" t="n"/>
      <c r="Z333" s="85" t="n"/>
    </row>
    <row r="334" ht="15.75" customHeight="1" s="86">
      <c r="T334" s="85" t="n"/>
      <c r="U334" s="85" t="n"/>
      <c r="V334" s="85" t="n"/>
      <c r="W334" s="85" t="n"/>
      <c r="X334" s="85" t="n"/>
      <c r="Y334" s="85" t="n"/>
      <c r="Z334" s="85" t="n"/>
    </row>
    <row r="335" ht="15.75" customHeight="1" s="86">
      <c r="T335" s="85" t="n"/>
      <c r="U335" s="85" t="n"/>
      <c r="V335" s="85" t="n"/>
      <c r="W335" s="85" t="n"/>
      <c r="X335" s="85" t="n"/>
      <c r="Y335" s="85" t="n"/>
      <c r="Z335" s="85" t="n"/>
    </row>
    <row r="336" ht="15.75" customHeight="1" s="86">
      <c r="T336" s="85" t="n"/>
      <c r="U336" s="85" t="n"/>
      <c r="V336" s="85" t="n"/>
      <c r="W336" s="85" t="n"/>
      <c r="X336" s="85" t="n"/>
      <c r="Y336" s="85" t="n"/>
      <c r="Z336" s="85" t="n"/>
    </row>
    <row r="337" ht="15.75" customHeight="1" s="86">
      <c r="T337" s="85" t="n"/>
      <c r="U337" s="85" t="n"/>
      <c r="V337" s="85" t="n"/>
      <c r="W337" s="85" t="n"/>
      <c r="X337" s="85" t="n"/>
      <c r="Y337" s="85" t="n"/>
      <c r="Z337" s="85" t="n"/>
    </row>
    <row r="338" ht="15.75" customHeight="1" s="86">
      <c r="T338" s="85" t="n"/>
      <c r="U338" s="85" t="n"/>
      <c r="V338" s="85" t="n"/>
      <c r="W338" s="85" t="n"/>
      <c r="X338" s="85" t="n"/>
      <c r="Y338" s="85" t="n"/>
      <c r="Z338" s="85" t="n"/>
    </row>
    <row r="339" ht="15.75" customHeight="1" s="86">
      <c r="T339" s="85" t="n"/>
      <c r="U339" s="85" t="n"/>
      <c r="V339" s="85" t="n"/>
      <c r="W339" s="85" t="n"/>
      <c r="X339" s="85" t="n"/>
      <c r="Y339" s="85" t="n"/>
      <c r="Z339" s="85" t="n"/>
    </row>
    <row r="340" ht="15.75" customHeight="1" s="86">
      <c r="T340" s="85" t="n"/>
      <c r="U340" s="85" t="n"/>
      <c r="V340" s="85" t="n"/>
      <c r="W340" s="85" t="n"/>
      <c r="X340" s="85" t="n"/>
      <c r="Y340" s="85" t="n"/>
      <c r="Z340" s="85" t="n"/>
    </row>
    <row r="341" ht="15.75" customHeight="1" s="86">
      <c r="T341" s="85" t="n"/>
      <c r="U341" s="85" t="n"/>
      <c r="V341" s="85" t="n"/>
      <c r="W341" s="85" t="n"/>
      <c r="X341" s="85" t="n"/>
      <c r="Y341" s="85" t="n"/>
      <c r="Z341" s="85" t="n"/>
    </row>
    <row r="342" ht="15.75" customHeight="1" s="86">
      <c r="T342" s="85" t="n"/>
      <c r="U342" s="85" t="n"/>
      <c r="V342" s="85" t="n"/>
      <c r="W342" s="85" t="n"/>
      <c r="X342" s="85" t="n"/>
      <c r="Y342" s="85" t="n"/>
      <c r="Z342" s="85" t="n"/>
    </row>
    <row r="343" ht="15.75" customHeight="1" s="86">
      <c r="T343" s="85" t="n"/>
      <c r="U343" s="85" t="n"/>
      <c r="V343" s="85" t="n"/>
      <c r="W343" s="85" t="n"/>
      <c r="X343" s="85" t="n"/>
      <c r="Y343" s="85" t="n"/>
      <c r="Z343" s="85" t="n"/>
    </row>
    <row r="344" ht="15.75" customHeight="1" s="86">
      <c r="T344" s="85" t="n"/>
      <c r="U344" s="85" t="n"/>
      <c r="V344" s="85" t="n"/>
      <c r="W344" s="85" t="n"/>
      <c r="X344" s="85" t="n"/>
      <c r="Y344" s="85" t="n"/>
      <c r="Z344" s="85" t="n"/>
    </row>
    <row r="345" ht="15.75" customHeight="1" s="86">
      <c r="T345" s="85" t="n"/>
      <c r="U345" s="85" t="n"/>
      <c r="V345" s="85" t="n"/>
      <c r="W345" s="85" t="n"/>
      <c r="X345" s="85" t="n"/>
      <c r="Y345" s="85" t="n"/>
      <c r="Z345" s="85" t="n"/>
    </row>
    <row r="346" ht="15.75" customHeight="1" s="86">
      <c r="T346" s="85" t="n"/>
      <c r="U346" s="85" t="n"/>
      <c r="V346" s="85" t="n"/>
      <c r="W346" s="85" t="n"/>
      <c r="X346" s="85" t="n"/>
      <c r="Y346" s="85" t="n"/>
      <c r="Z346" s="85" t="n"/>
    </row>
    <row r="347" ht="15.75" customHeight="1" s="86">
      <c r="T347" s="85" t="n"/>
      <c r="U347" s="85" t="n"/>
      <c r="V347" s="85" t="n"/>
      <c r="W347" s="85" t="n"/>
      <c r="X347" s="85" t="n"/>
      <c r="Y347" s="85" t="n"/>
      <c r="Z347" s="85" t="n"/>
    </row>
    <row r="348" ht="15.75" customHeight="1" s="86">
      <c r="T348" s="85" t="n"/>
      <c r="U348" s="85" t="n"/>
      <c r="V348" s="85" t="n"/>
      <c r="W348" s="85" t="n"/>
      <c r="X348" s="85" t="n"/>
      <c r="Y348" s="85" t="n"/>
      <c r="Z348" s="85" t="n"/>
    </row>
    <row r="349" ht="15.75" customHeight="1" s="86">
      <c r="T349" s="85" t="n"/>
      <c r="U349" s="85" t="n"/>
      <c r="V349" s="85" t="n"/>
      <c r="W349" s="85" t="n"/>
      <c r="X349" s="85" t="n"/>
      <c r="Y349" s="85" t="n"/>
      <c r="Z349" s="85" t="n"/>
    </row>
    <row r="350" ht="15.75" customHeight="1" s="86">
      <c r="T350" s="85" t="n"/>
      <c r="U350" s="85" t="n"/>
      <c r="V350" s="85" t="n"/>
      <c r="W350" s="85" t="n"/>
      <c r="X350" s="85" t="n"/>
      <c r="Y350" s="85" t="n"/>
      <c r="Z350" s="85" t="n"/>
    </row>
    <row r="351" ht="15.75" customHeight="1" s="86">
      <c r="T351" s="85" t="n"/>
      <c r="U351" s="85" t="n"/>
      <c r="V351" s="85" t="n"/>
      <c r="W351" s="85" t="n"/>
      <c r="X351" s="85" t="n"/>
      <c r="Y351" s="85" t="n"/>
      <c r="Z351" s="85" t="n"/>
    </row>
    <row r="352" ht="15.75" customHeight="1" s="86">
      <c r="T352" s="85" t="n"/>
      <c r="U352" s="85" t="n"/>
      <c r="V352" s="85" t="n"/>
      <c r="W352" s="85" t="n"/>
      <c r="X352" s="85" t="n"/>
      <c r="Y352" s="85" t="n"/>
      <c r="Z352" s="85" t="n"/>
    </row>
    <row r="353" ht="15.75" customHeight="1" s="86">
      <c r="T353" s="85" t="n"/>
      <c r="U353" s="85" t="n"/>
      <c r="V353" s="85" t="n"/>
      <c r="W353" s="85" t="n"/>
      <c r="X353" s="85" t="n"/>
      <c r="Y353" s="85" t="n"/>
      <c r="Z353" s="85" t="n"/>
    </row>
    <row r="354" ht="15.75" customHeight="1" s="86">
      <c r="T354" s="85" t="n"/>
      <c r="U354" s="85" t="n"/>
      <c r="V354" s="85" t="n"/>
      <c r="W354" s="85" t="n"/>
      <c r="X354" s="85" t="n"/>
      <c r="Y354" s="85" t="n"/>
      <c r="Z354" s="85" t="n"/>
    </row>
    <row r="355" ht="15.75" customHeight="1" s="86">
      <c r="T355" s="85" t="n"/>
      <c r="U355" s="85" t="n"/>
      <c r="V355" s="85" t="n"/>
      <c r="W355" s="85" t="n"/>
      <c r="X355" s="85" t="n"/>
      <c r="Y355" s="85" t="n"/>
      <c r="Z355" s="85" t="n"/>
    </row>
    <row r="356" ht="15.75" customHeight="1" s="86">
      <c r="T356" s="85" t="n"/>
      <c r="U356" s="85" t="n"/>
      <c r="V356" s="85" t="n"/>
      <c r="W356" s="85" t="n"/>
      <c r="X356" s="85" t="n"/>
      <c r="Y356" s="85" t="n"/>
      <c r="Z356" s="85" t="n"/>
    </row>
    <row r="357" ht="15.75" customHeight="1" s="86">
      <c r="T357" s="85" t="n"/>
      <c r="U357" s="85" t="n"/>
      <c r="V357" s="85" t="n"/>
      <c r="W357" s="85" t="n"/>
      <c r="X357" s="85" t="n"/>
      <c r="Y357" s="85" t="n"/>
      <c r="Z357" s="85" t="n"/>
    </row>
    <row r="358" ht="15.75" customHeight="1" s="86">
      <c r="T358" s="85" t="n"/>
      <c r="U358" s="85" t="n"/>
      <c r="V358" s="85" t="n"/>
      <c r="W358" s="85" t="n"/>
      <c r="X358" s="85" t="n"/>
      <c r="Y358" s="85" t="n"/>
      <c r="Z358" s="85" t="n"/>
    </row>
    <row r="359" ht="15.75" customHeight="1" s="86">
      <c r="T359" s="85" t="n"/>
      <c r="U359" s="85" t="n"/>
      <c r="V359" s="85" t="n"/>
      <c r="W359" s="85" t="n"/>
      <c r="X359" s="85" t="n"/>
      <c r="Y359" s="85" t="n"/>
      <c r="Z359" s="85" t="n"/>
    </row>
    <row r="360" ht="15.75" customHeight="1" s="86">
      <c r="T360" s="85" t="n"/>
      <c r="U360" s="85" t="n"/>
      <c r="V360" s="85" t="n"/>
      <c r="W360" s="85" t="n"/>
      <c r="X360" s="85" t="n"/>
      <c r="Y360" s="85" t="n"/>
      <c r="Z360" s="85" t="n"/>
    </row>
    <row r="361" ht="15.75" customHeight="1" s="86">
      <c r="T361" s="85" t="n"/>
      <c r="U361" s="85" t="n"/>
      <c r="V361" s="85" t="n"/>
      <c r="W361" s="85" t="n"/>
      <c r="X361" s="85" t="n"/>
      <c r="Y361" s="85" t="n"/>
      <c r="Z361" s="85" t="n"/>
    </row>
    <row r="362" ht="15.75" customHeight="1" s="86">
      <c r="T362" s="85" t="n"/>
      <c r="U362" s="85" t="n"/>
      <c r="V362" s="85" t="n"/>
      <c r="W362" s="85" t="n"/>
      <c r="X362" s="85" t="n"/>
      <c r="Y362" s="85" t="n"/>
      <c r="Z362" s="85" t="n"/>
    </row>
    <row r="363" ht="15.75" customHeight="1" s="86">
      <c r="T363" s="85" t="n"/>
      <c r="U363" s="85" t="n"/>
      <c r="V363" s="85" t="n"/>
      <c r="W363" s="85" t="n"/>
      <c r="X363" s="85" t="n"/>
      <c r="Y363" s="85" t="n"/>
      <c r="Z363" s="85" t="n"/>
    </row>
    <row r="364" ht="15.75" customHeight="1" s="86">
      <c r="T364" s="85" t="n"/>
      <c r="U364" s="85" t="n"/>
      <c r="V364" s="85" t="n"/>
      <c r="W364" s="85" t="n"/>
      <c r="X364" s="85" t="n"/>
      <c r="Y364" s="85" t="n"/>
      <c r="Z364" s="85" t="n"/>
    </row>
    <row r="365" ht="15.75" customHeight="1" s="86">
      <c r="T365" s="85" t="n"/>
      <c r="U365" s="85" t="n"/>
      <c r="V365" s="85" t="n"/>
      <c r="W365" s="85" t="n"/>
      <c r="X365" s="85" t="n"/>
      <c r="Y365" s="85" t="n"/>
      <c r="Z365" s="85" t="n"/>
    </row>
    <row r="366" ht="15.75" customHeight="1" s="86">
      <c r="T366" s="85" t="n"/>
      <c r="U366" s="85" t="n"/>
      <c r="V366" s="85" t="n"/>
      <c r="W366" s="85" t="n"/>
      <c r="X366" s="85" t="n"/>
      <c r="Y366" s="85" t="n"/>
      <c r="Z366" s="85" t="n"/>
    </row>
    <row r="367" ht="15.75" customHeight="1" s="86">
      <c r="T367" s="85" t="n"/>
      <c r="U367" s="85" t="n"/>
      <c r="V367" s="85" t="n"/>
      <c r="W367" s="85" t="n"/>
      <c r="X367" s="85" t="n"/>
      <c r="Y367" s="85" t="n"/>
      <c r="Z367" s="85" t="n"/>
    </row>
    <row r="368" ht="15.75" customHeight="1" s="86">
      <c r="T368" s="85" t="n"/>
      <c r="U368" s="85" t="n"/>
      <c r="V368" s="85" t="n"/>
      <c r="W368" s="85" t="n"/>
      <c r="X368" s="85" t="n"/>
      <c r="Y368" s="85" t="n"/>
      <c r="Z368" s="85" t="n"/>
    </row>
    <row r="369" ht="15.75" customHeight="1" s="86">
      <c r="T369" s="85" t="n"/>
      <c r="U369" s="85" t="n"/>
      <c r="V369" s="85" t="n"/>
      <c r="W369" s="85" t="n"/>
      <c r="X369" s="85" t="n"/>
      <c r="Y369" s="85" t="n"/>
      <c r="Z369" s="85" t="n"/>
    </row>
    <row r="370" ht="15.75" customHeight="1" s="86">
      <c r="T370" s="85" t="n"/>
      <c r="U370" s="85" t="n"/>
      <c r="V370" s="85" t="n"/>
      <c r="W370" s="85" t="n"/>
      <c r="X370" s="85" t="n"/>
      <c r="Y370" s="85" t="n"/>
      <c r="Z370" s="85" t="n"/>
    </row>
    <row r="371" ht="15.75" customHeight="1" s="86">
      <c r="T371" s="85" t="n"/>
      <c r="U371" s="85" t="n"/>
      <c r="V371" s="85" t="n"/>
      <c r="W371" s="85" t="n"/>
      <c r="X371" s="85" t="n"/>
      <c r="Y371" s="85" t="n"/>
      <c r="Z371" s="85" t="n"/>
    </row>
    <row r="372" ht="15.75" customHeight="1" s="86">
      <c r="T372" s="85" t="n"/>
      <c r="U372" s="85" t="n"/>
      <c r="V372" s="85" t="n"/>
      <c r="W372" s="85" t="n"/>
      <c r="X372" s="85" t="n"/>
      <c r="Y372" s="85" t="n"/>
      <c r="Z372" s="85" t="n"/>
    </row>
    <row r="373" ht="15.75" customHeight="1" s="86">
      <c r="T373" s="85" t="n"/>
      <c r="U373" s="85" t="n"/>
      <c r="V373" s="85" t="n"/>
      <c r="W373" s="85" t="n"/>
      <c r="X373" s="85" t="n"/>
      <c r="Y373" s="85" t="n"/>
      <c r="Z373" s="85" t="n"/>
    </row>
    <row r="374" ht="15.75" customHeight="1" s="86">
      <c r="T374" s="85" t="n"/>
      <c r="U374" s="85" t="n"/>
      <c r="V374" s="85" t="n"/>
      <c r="W374" s="85" t="n"/>
      <c r="X374" s="85" t="n"/>
      <c r="Y374" s="85" t="n"/>
      <c r="Z374" s="85" t="n"/>
    </row>
    <row r="375" ht="15.75" customHeight="1" s="86">
      <c r="T375" s="85" t="n"/>
      <c r="U375" s="85" t="n"/>
      <c r="V375" s="85" t="n"/>
      <c r="W375" s="85" t="n"/>
      <c r="X375" s="85" t="n"/>
      <c r="Y375" s="85" t="n"/>
      <c r="Z375" s="85" t="n"/>
    </row>
    <row r="376" ht="15.75" customHeight="1" s="86">
      <c r="T376" s="85" t="n"/>
      <c r="U376" s="85" t="n"/>
      <c r="V376" s="85" t="n"/>
      <c r="W376" s="85" t="n"/>
      <c r="X376" s="85" t="n"/>
      <c r="Y376" s="85" t="n"/>
      <c r="Z376" s="85" t="n"/>
    </row>
    <row r="377" ht="15.75" customHeight="1" s="86">
      <c r="T377" s="85" t="n"/>
      <c r="U377" s="85" t="n"/>
      <c r="V377" s="85" t="n"/>
      <c r="W377" s="85" t="n"/>
      <c r="X377" s="85" t="n"/>
      <c r="Y377" s="85" t="n"/>
      <c r="Z377" s="85" t="n"/>
    </row>
    <row r="378" ht="15.75" customHeight="1" s="86">
      <c r="T378" s="85" t="n"/>
      <c r="U378" s="85" t="n"/>
      <c r="V378" s="85" t="n"/>
      <c r="W378" s="85" t="n"/>
      <c r="X378" s="85" t="n"/>
      <c r="Y378" s="85" t="n"/>
      <c r="Z378" s="85" t="n"/>
    </row>
    <row r="379" ht="15.75" customHeight="1" s="86">
      <c r="T379" s="85" t="n"/>
      <c r="U379" s="85" t="n"/>
      <c r="V379" s="85" t="n"/>
      <c r="W379" s="85" t="n"/>
      <c r="X379" s="85" t="n"/>
      <c r="Y379" s="85" t="n"/>
      <c r="Z379" s="85" t="n"/>
    </row>
    <row r="380" ht="15.75" customHeight="1" s="86">
      <c r="T380" s="85" t="n"/>
      <c r="U380" s="85" t="n"/>
      <c r="V380" s="85" t="n"/>
      <c r="W380" s="85" t="n"/>
      <c r="X380" s="85" t="n"/>
      <c r="Y380" s="85" t="n"/>
      <c r="Z380" s="85" t="n"/>
    </row>
    <row r="381" ht="15.75" customHeight="1" s="86">
      <c r="T381" s="85" t="n"/>
      <c r="U381" s="85" t="n"/>
      <c r="V381" s="85" t="n"/>
      <c r="W381" s="85" t="n"/>
      <c r="X381" s="85" t="n"/>
      <c r="Y381" s="85" t="n"/>
      <c r="Z381" s="85" t="n"/>
    </row>
    <row r="382" ht="15.75" customHeight="1" s="86">
      <c r="T382" s="85" t="n"/>
      <c r="U382" s="85" t="n"/>
      <c r="V382" s="85" t="n"/>
      <c r="W382" s="85" t="n"/>
      <c r="X382" s="85" t="n"/>
      <c r="Y382" s="85" t="n"/>
      <c r="Z382" s="85" t="n"/>
    </row>
    <row r="383" ht="15.75" customHeight="1" s="86">
      <c r="T383" s="85" t="n"/>
      <c r="U383" s="85" t="n"/>
      <c r="V383" s="85" t="n"/>
      <c r="W383" s="85" t="n"/>
      <c r="X383" s="85" t="n"/>
      <c r="Y383" s="85" t="n"/>
      <c r="Z383" s="85" t="n"/>
    </row>
    <row r="384" ht="15.75" customHeight="1" s="86">
      <c r="T384" s="85" t="n"/>
      <c r="U384" s="85" t="n"/>
      <c r="V384" s="85" t="n"/>
      <c r="W384" s="85" t="n"/>
      <c r="X384" s="85" t="n"/>
      <c r="Y384" s="85" t="n"/>
      <c r="Z384" s="85" t="n"/>
    </row>
    <row r="385" ht="15.75" customHeight="1" s="86">
      <c r="T385" s="85" t="n"/>
      <c r="U385" s="85" t="n"/>
      <c r="V385" s="85" t="n"/>
      <c r="W385" s="85" t="n"/>
      <c r="X385" s="85" t="n"/>
      <c r="Y385" s="85" t="n"/>
      <c r="Z385" s="85" t="n"/>
    </row>
    <row r="386" ht="15.75" customHeight="1" s="86">
      <c r="T386" s="85" t="n"/>
      <c r="U386" s="85" t="n"/>
      <c r="V386" s="85" t="n"/>
      <c r="W386" s="85" t="n"/>
      <c r="X386" s="85" t="n"/>
      <c r="Y386" s="85" t="n"/>
      <c r="Z386" s="85" t="n"/>
    </row>
    <row r="387" ht="15.75" customHeight="1" s="86">
      <c r="T387" s="85" t="n"/>
      <c r="U387" s="85" t="n"/>
      <c r="V387" s="85" t="n"/>
      <c r="W387" s="85" t="n"/>
      <c r="X387" s="85" t="n"/>
      <c r="Y387" s="85" t="n"/>
      <c r="Z387" s="85" t="n"/>
    </row>
    <row r="388" ht="15.75" customHeight="1" s="86">
      <c r="T388" s="85" t="n"/>
      <c r="U388" s="85" t="n"/>
      <c r="V388" s="85" t="n"/>
      <c r="W388" s="85" t="n"/>
      <c r="X388" s="85" t="n"/>
      <c r="Y388" s="85" t="n"/>
      <c r="Z388" s="85" t="n"/>
    </row>
    <row r="389" ht="15.75" customHeight="1" s="86">
      <c r="T389" s="85" t="n"/>
      <c r="U389" s="85" t="n"/>
      <c r="V389" s="85" t="n"/>
      <c r="W389" s="85" t="n"/>
      <c r="X389" s="85" t="n"/>
      <c r="Y389" s="85" t="n"/>
      <c r="Z389" s="85" t="n"/>
    </row>
    <row r="390" ht="15.75" customHeight="1" s="86">
      <c r="T390" s="85" t="n"/>
      <c r="U390" s="85" t="n"/>
      <c r="V390" s="85" t="n"/>
      <c r="W390" s="85" t="n"/>
      <c r="X390" s="85" t="n"/>
      <c r="Y390" s="85" t="n"/>
      <c r="Z390" s="85" t="n"/>
    </row>
    <row r="391" ht="15.75" customHeight="1" s="86">
      <c r="T391" s="85" t="n"/>
      <c r="U391" s="85" t="n"/>
      <c r="V391" s="85" t="n"/>
      <c r="W391" s="85" t="n"/>
      <c r="X391" s="85" t="n"/>
      <c r="Y391" s="85" t="n"/>
      <c r="Z391" s="85" t="n"/>
    </row>
    <row r="392" ht="15.75" customHeight="1" s="86">
      <c r="T392" s="85" t="n"/>
      <c r="U392" s="85" t="n"/>
      <c r="V392" s="85" t="n"/>
      <c r="W392" s="85" t="n"/>
      <c r="X392" s="85" t="n"/>
      <c r="Y392" s="85" t="n"/>
      <c r="Z392" s="85" t="n"/>
    </row>
    <row r="393" ht="15.75" customHeight="1" s="86">
      <c r="T393" s="85" t="n"/>
      <c r="U393" s="85" t="n"/>
      <c r="V393" s="85" t="n"/>
      <c r="W393" s="85" t="n"/>
      <c r="X393" s="85" t="n"/>
      <c r="Y393" s="85" t="n"/>
      <c r="Z393" s="85" t="n"/>
    </row>
    <row r="394" ht="15.75" customHeight="1" s="86">
      <c r="T394" s="85" t="n"/>
      <c r="U394" s="85" t="n"/>
      <c r="V394" s="85" t="n"/>
      <c r="W394" s="85" t="n"/>
      <c r="X394" s="85" t="n"/>
      <c r="Y394" s="85" t="n"/>
      <c r="Z394" s="85" t="n"/>
    </row>
    <row r="395" ht="15.75" customHeight="1" s="86">
      <c r="T395" s="85" t="n"/>
      <c r="U395" s="85" t="n"/>
      <c r="V395" s="85" t="n"/>
      <c r="W395" s="85" t="n"/>
      <c r="X395" s="85" t="n"/>
      <c r="Y395" s="85" t="n"/>
      <c r="Z395" s="85" t="n"/>
    </row>
    <row r="396" ht="15.75" customHeight="1" s="86">
      <c r="T396" s="85" t="n"/>
      <c r="U396" s="85" t="n"/>
      <c r="V396" s="85" t="n"/>
      <c r="W396" s="85" t="n"/>
      <c r="X396" s="85" t="n"/>
      <c r="Y396" s="85" t="n"/>
      <c r="Z396" s="85" t="n"/>
    </row>
    <row r="397" ht="15.75" customHeight="1" s="86">
      <c r="T397" s="85" t="n"/>
      <c r="U397" s="85" t="n"/>
      <c r="V397" s="85" t="n"/>
      <c r="W397" s="85" t="n"/>
      <c r="X397" s="85" t="n"/>
      <c r="Y397" s="85" t="n"/>
      <c r="Z397" s="85" t="n"/>
    </row>
    <row r="398" ht="15.75" customHeight="1" s="86">
      <c r="T398" s="85" t="n"/>
      <c r="U398" s="85" t="n"/>
      <c r="V398" s="85" t="n"/>
      <c r="W398" s="85" t="n"/>
      <c r="X398" s="85" t="n"/>
      <c r="Y398" s="85" t="n"/>
      <c r="Z398" s="85" t="n"/>
    </row>
    <row r="399" ht="15.75" customHeight="1" s="86">
      <c r="T399" s="85" t="n"/>
      <c r="U399" s="85" t="n"/>
      <c r="V399" s="85" t="n"/>
      <c r="W399" s="85" t="n"/>
      <c r="X399" s="85" t="n"/>
      <c r="Y399" s="85" t="n"/>
      <c r="Z399" s="85" t="n"/>
    </row>
    <row r="400" ht="15.75" customHeight="1" s="86">
      <c r="T400" s="85" t="n"/>
      <c r="U400" s="85" t="n"/>
      <c r="V400" s="85" t="n"/>
      <c r="W400" s="85" t="n"/>
      <c r="X400" s="85" t="n"/>
      <c r="Y400" s="85" t="n"/>
      <c r="Z400" s="85" t="n"/>
    </row>
    <row r="401" ht="15.75" customHeight="1" s="86">
      <c r="T401" s="85" t="n"/>
      <c r="U401" s="85" t="n"/>
      <c r="V401" s="85" t="n"/>
      <c r="W401" s="85" t="n"/>
      <c r="X401" s="85" t="n"/>
      <c r="Y401" s="85" t="n"/>
      <c r="Z401" s="85" t="n"/>
    </row>
    <row r="402" ht="15.75" customHeight="1" s="86">
      <c r="T402" s="85" t="n"/>
      <c r="U402" s="85" t="n"/>
      <c r="V402" s="85" t="n"/>
      <c r="W402" s="85" t="n"/>
      <c r="X402" s="85" t="n"/>
      <c r="Y402" s="85" t="n"/>
      <c r="Z402" s="85" t="n"/>
    </row>
    <row r="403" ht="15.75" customHeight="1" s="86">
      <c r="T403" s="85" t="n"/>
      <c r="U403" s="85" t="n"/>
      <c r="V403" s="85" t="n"/>
      <c r="W403" s="85" t="n"/>
      <c r="X403" s="85" t="n"/>
      <c r="Y403" s="85" t="n"/>
      <c r="Z403" s="85" t="n"/>
    </row>
    <row r="404" ht="15.75" customHeight="1" s="86">
      <c r="T404" s="85" t="n"/>
      <c r="U404" s="85" t="n"/>
      <c r="V404" s="85" t="n"/>
      <c r="W404" s="85" t="n"/>
      <c r="X404" s="85" t="n"/>
      <c r="Y404" s="85" t="n"/>
      <c r="Z404" s="85" t="n"/>
    </row>
    <row r="405" ht="15.75" customHeight="1" s="86">
      <c r="T405" s="85" t="n"/>
      <c r="U405" s="85" t="n"/>
      <c r="V405" s="85" t="n"/>
      <c r="W405" s="85" t="n"/>
      <c r="X405" s="85" t="n"/>
      <c r="Y405" s="85" t="n"/>
      <c r="Z405" s="85" t="n"/>
    </row>
    <row r="406" ht="15.75" customHeight="1" s="86">
      <c r="T406" s="85" t="n"/>
      <c r="U406" s="85" t="n"/>
      <c r="V406" s="85" t="n"/>
      <c r="W406" s="85" t="n"/>
      <c r="X406" s="85" t="n"/>
      <c r="Y406" s="85" t="n"/>
      <c r="Z406" s="85" t="n"/>
    </row>
    <row r="407" ht="15.75" customHeight="1" s="86">
      <c r="T407" s="85" t="n"/>
      <c r="U407" s="85" t="n"/>
      <c r="V407" s="85" t="n"/>
      <c r="W407" s="85" t="n"/>
      <c r="X407" s="85" t="n"/>
      <c r="Y407" s="85" t="n"/>
      <c r="Z407" s="85" t="n"/>
    </row>
    <row r="408" ht="15.75" customHeight="1" s="86">
      <c r="T408" s="85" t="n"/>
      <c r="U408" s="85" t="n"/>
      <c r="V408" s="85" t="n"/>
      <c r="W408" s="85" t="n"/>
      <c r="X408" s="85" t="n"/>
      <c r="Y408" s="85" t="n"/>
      <c r="Z408" s="85" t="n"/>
    </row>
    <row r="409" ht="15.75" customHeight="1" s="86">
      <c r="T409" s="85" t="n"/>
      <c r="U409" s="85" t="n"/>
      <c r="V409" s="85" t="n"/>
      <c r="W409" s="85" t="n"/>
      <c r="X409" s="85" t="n"/>
      <c r="Y409" s="85" t="n"/>
      <c r="Z409" s="85" t="n"/>
    </row>
    <row r="410" ht="15.75" customHeight="1" s="86">
      <c r="T410" s="85" t="n"/>
      <c r="U410" s="85" t="n"/>
      <c r="V410" s="85" t="n"/>
      <c r="W410" s="85" t="n"/>
      <c r="X410" s="85" t="n"/>
      <c r="Y410" s="85" t="n"/>
      <c r="Z410" s="85" t="n"/>
    </row>
    <row r="411" ht="15.75" customHeight="1" s="86">
      <c r="T411" s="85" t="n"/>
      <c r="U411" s="85" t="n"/>
      <c r="V411" s="85" t="n"/>
      <c r="W411" s="85" t="n"/>
      <c r="X411" s="85" t="n"/>
      <c r="Y411" s="85" t="n"/>
      <c r="Z411" s="85" t="n"/>
    </row>
    <row r="412" ht="15.75" customHeight="1" s="86">
      <c r="T412" s="85" t="n"/>
      <c r="U412" s="85" t="n"/>
      <c r="V412" s="85" t="n"/>
      <c r="W412" s="85" t="n"/>
      <c r="X412" s="85" t="n"/>
      <c r="Y412" s="85" t="n"/>
      <c r="Z412" s="85" t="n"/>
    </row>
    <row r="413" ht="15.75" customHeight="1" s="86">
      <c r="T413" s="85" t="n"/>
      <c r="U413" s="85" t="n"/>
      <c r="V413" s="85" t="n"/>
      <c r="W413" s="85" t="n"/>
      <c r="X413" s="85" t="n"/>
      <c r="Y413" s="85" t="n"/>
      <c r="Z413" s="85" t="n"/>
    </row>
    <row r="414" ht="15.75" customHeight="1" s="86">
      <c r="T414" s="85" t="n"/>
      <c r="U414" s="85" t="n"/>
      <c r="V414" s="85" t="n"/>
      <c r="W414" s="85" t="n"/>
      <c r="X414" s="85" t="n"/>
      <c r="Y414" s="85" t="n"/>
      <c r="Z414" s="85" t="n"/>
    </row>
    <row r="415" ht="15.75" customHeight="1" s="86">
      <c r="T415" s="85" t="n"/>
      <c r="U415" s="85" t="n"/>
      <c r="V415" s="85" t="n"/>
      <c r="W415" s="85" t="n"/>
      <c r="X415" s="85" t="n"/>
      <c r="Y415" s="85" t="n"/>
      <c r="Z415" s="85" t="n"/>
    </row>
    <row r="416" ht="15.75" customHeight="1" s="86">
      <c r="T416" s="85" t="n"/>
      <c r="U416" s="85" t="n"/>
      <c r="V416" s="85" t="n"/>
      <c r="W416" s="85" t="n"/>
      <c r="X416" s="85" t="n"/>
      <c r="Y416" s="85" t="n"/>
      <c r="Z416" s="85" t="n"/>
    </row>
    <row r="417" ht="15.75" customHeight="1" s="86">
      <c r="T417" s="85" t="n"/>
      <c r="U417" s="85" t="n"/>
      <c r="V417" s="85" t="n"/>
      <c r="W417" s="85" t="n"/>
      <c r="X417" s="85" t="n"/>
      <c r="Y417" s="85" t="n"/>
      <c r="Z417" s="85" t="n"/>
    </row>
    <row r="418" ht="15.75" customHeight="1" s="86">
      <c r="T418" s="85" t="n"/>
      <c r="U418" s="85" t="n"/>
      <c r="V418" s="85" t="n"/>
      <c r="W418" s="85" t="n"/>
      <c r="X418" s="85" t="n"/>
      <c r="Y418" s="85" t="n"/>
      <c r="Z418" s="85" t="n"/>
    </row>
    <row r="419" ht="15.75" customHeight="1" s="86">
      <c r="T419" s="85" t="n"/>
      <c r="U419" s="85" t="n"/>
      <c r="V419" s="85" t="n"/>
      <c r="W419" s="85" t="n"/>
      <c r="X419" s="85" t="n"/>
      <c r="Y419" s="85" t="n"/>
      <c r="Z419" s="85" t="n"/>
    </row>
    <row r="420" ht="15.75" customHeight="1" s="86">
      <c r="T420" s="85" t="n"/>
      <c r="U420" s="85" t="n"/>
      <c r="V420" s="85" t="n"/>
      <c r="W420" s="85" t="n"/>
      <c r="X420" s="85" t="n"/>
      <c r="Y420" s="85" t="n"/>
      <c r="Z420" s="85" t="n"/>
    </row>
    <row r="421" ht="15.75" customHeight="1" s="86">
      <c r="T421" s="85" t="n"/>
      <c r="U421" s="85" t="n"/>
      <c r="V421" s="85" t="n"/>
      <c r="W421" s="85" t="n"/>
      <c r="X421" s="85" t="n"/>
      <c r="Y421" s="85" t="n"/>
      <c r="Z421" s="85" t="n"/>
    </row>
    <row r="422" ht="15.75" customHeight="1" s="86">
      <c r="T422" s="85" t="n"/>
      <c r="U422" s="85" t="n"/>
      <c r="V422" s="85" t="n"/>
      <c r="W422" s="85" t="n"/>
      <c r="X422" s="85" t="n"/>
      <c r="Y422" s="85" t="n"/>
      <c r="Z422" s="85" t="n"/>
    </row>
    <row r="423" ht="15.75" customHeight="1" s="86">
      <c r="T423" s="85" t="n"/>
      <c r="U423" s="85" t="n"/>
      <c r="V423" s="85" t="n"/>
      <c r="W423" s="85" t="n"/>
      <c r="X423" s="85" t="n"/>
      <c r="Y423" s="85" t="n"/>
      <c r="Z423" s="85" t="n"/>
    </row>
    <row r="424" ht="15.75" customHeight="1" s="86">
      <c r="T424" s="85" t="n"/>
      <c r="U424" s="85" t="n"/>
      <c r="V424" s="85" t="n"/>
      <c r="W424" s="85" t="n"/>
      <c r="X424" s="85" t="n"/>
      <c r="Y424" s="85" t="n"/>
      <c r="Z424" s="85" t="n"/>
    </row>
    <row r="425" ht="15.75" customHeight="1" s="86">
      <c r="T425" s="85" t="n"/>
      <c r="U425" s="85" t="n"/>
      <c r="V425" s="85" t="n"/>
      <c r="W425" s="85" t="n"/>
      <c r="X425" s="85" t="n"/>
      <c r="Y425" s="85" t="n"/>
      <c r="Z425" s="85" t="n"/>
    </row>
    <row r="426" ht="15.75" customHeight="1" s="86">
      <c r="T426" s="85" t="n"/>
      <c r="U426" s="85" t="n"/>
      <c r="V426" s="85" t="n"/>
      <c r="W426" s="85" t="n"/>
      <c r="X426" s="85" t="n"/>
      <c r="Y426" s="85" t="n"/>
      <c r="Z426" s="85" t="n"/>
    </row>
    <row r="427" ht="15.75" customHeight="1" s="86">
      <c r="T427" s="85" t="n"/>
      <c r="U427" s="85" t="n"/>
      <c r="V427" s="85" t="n"/>
      <c r="W427" s="85" t="n"/>
      <c r="X427" s="85" t="n"/>
      <c r="Y427" s="85" t="n"/>
      <c r="Z427" s="85" t="n"/>
    </row>
    <row r="428" ht="15.75" customHeight="1" s="86">
      <c r="T428" s="85" t="n"/>
      <c r="U428" s="85" t="n"/>
      <c r="V428" s="85" t="n"/>
      <c r="W428" s="85" t="n"/>
      <c r="X428" s="85" t="n"/>
      <c r="Y428" s="85" t="n"/>
      <c r="Z428" s="85" t="n"/>
    </row>
    <row r="429" ht="15.75" customHeight="1" s="86">
      <c r="T429" s="85" t="n"/>
      <c r="U429" s="85" t="n"/>
      <c r="V429" s="85" t="n"/>
      <c r="W429" s="85" t="n"/>
      <c r="X429" s="85" t="n"/>
      <c r="Y429" s="85" t="n"/>
      <c r="Z429" s="85" t="n"/>
    </row>
    <row r="430" ht="15.75" customHeight="1" s="86">
      <c r="T430" s="85" t="n"/>
      <c r="U430" s="85" t="n"/>
      <c r="V430" s="85" t="n"/>
      <c r="W430" s="85" t="n"/>
      <c r="X430" s="85" t="n"/>
      <c r="Y430" s="85" t="n"/>
      <c r="Z430" s="85" t="n"/>
    </row>
    <row r="431" ht="15.75" customHeight="1" s="86">
      <c r="T431" s="85" t="n"/>
      <c r="U431" s="85" t="n"/>
      <c r="V431" s="85" t="n"/>
      <c r="W431" s="85" t="n"/>
      <c r="X431" s="85" t="n"/>
      <c r="Y431" s="85" t="n"/>
      <c r="Z431" s="85" t="n"/>
    </row>
    <row r="432" ht="15.75" customHeight="1" s="86">
      <c r="T432" s="85" t="n"/>
      <c r="U432" s="85" t="n"/>
      <c r="V432" s="85" t="n"/>
      <c r="W432" s="85" t="n"/>
      <c r="X432" s="85" t="n"/>
      <c r="Y432" s="85" t="n"/>
      <c r="Z432" s="85" t="n"/>
    </row>
    <row r="433" ht="15.75" customHeight="1" s="86">
      <c r="T433" s="85" t="n"/>
      <c r="U433" s="85" t="n"/>
      <c r="V433" s="85" t="n"/>
      <c r="W433" s="85" t="n"/>
      <c r="X433" s="85" t="n"/>
      <c r="Y433" s="85" t="n"/>
      <c r="Z433" s="85" t="n"/>
    </row>
    <row r="434" ht="15.75" customHeight="1" s="86">
      <c r="T434" s="85" t="n"/>
      <c r="U434" s="85" t="n"/>
      <c r="V434" s="85" t="n"/>
      <c r="W434" s="85" t="n"/>
      <c r="X434" s="85" t="n"/>
      <c r="Y434" s="85" t="n"/>
      <c r="Z434" s="85" t="n"/>
    </row>
    <row r="435" ht="15.75" customHeight="1" s="86">
      <c r="T435" s="85" t="n"/>
      <c r="U435" s="85" t="n"/>
      <c r="V435" s="85" t="n"/>
      <c r="W435" s="85" t="n"/>
      <c r="X435" s="85" t="n"/>
      <c r="Y435" s="85" t="n"/>
      <c r="Z435" s="85" t="n"/>
    </row>
    <row r="436" ht="15.75" customHeight="1" s="86">
      <c r="T436" s="85" t="n"/>
      <c r="U436" s="85" t="n"/>
      <c r="V436" s="85" t="n"/>
      <c r="W436" s="85" t="n"/>
      <c r="X436" s="85" t="n"/>
      <c r="Y436" s="85" t="n"/>
      <c r="Z436" s="85" t="n"/>
    </row>
    <row r="437" ht="15.75" customHeight="1" s="86">
      <c r="T437" s="85" t="n"/>
      <c r="U437" s="85" t="n"/>
      <c r="V437" s="85" t="n"/>
      <c r="W437" s="85" t="n"/>
      <c r="X437" s="85" t="n"/>
      <c r="Y437" s="85" t="n"/>
      <c r="Z437" s="85" t="n"/>
    </row>
    <row r="438" ht="15.75" customHeight="1" s="86">
      <c r="T438" s="85" t="n"/>
      <c r="U438" s="85" t="n"/>
      <c r="V438" s="85" t="n"/>
      <c r="W438" s="85" t="n"/>
      <c r="X438" s="85" t="n"/>
      <c r="Y438" s="85" t="n"/>
      <c r="Z438" s="85" t="n"/>
    </row>
    <row r="439" ht="15.75" customHeight="1" s="86">
      <c r="T439" s="85" t="n"/>
      <c r="U439" s="85" t="n"/>
      <c r="V439" s="85" t="n"/>
      <c r="W439" s="85" t="n"/>
      <c r="X439" s="85" t="n"/>
      <c r="Y439" s="85" t="n"/>
      <c r="Z439" s="85" t="n"/>
    </row>
    <row r="440" ht="15.75" customHeight="1" s="86">
      <c r="T440" s="85" t="n"/>
      <c r="U440" s="85" t="n"/>
      <c r="V440" s="85" t="n"/>
      <c r="W440" s="85" t="n"/>
      <c r="X440" s="85" t="n"/>
      <c r="Y440" s="85" t="n"/>
      <c r="Z440" s="85" t="n"/>
    </row>
    <row r="441" ht="15.75" customHeight="1" s="86">
      <c r="T441" s="85" t="n"/>
      <c r="U441" s="85" t="n"/>
      <c r="V441" s="85" t="n"/>
      <c r="W441" s="85" t="n"/>
      <c r="X441" s="85" t="n"/>
      <c r="Y441" s="85" t="n"/>
      <c r="Z441" s="85" t="n"/>
    </row>
    <row r="442" ht="15.75" customHeight="1" s="86">
      <c r="T442" s="85" t="n"/>
      <c r="U442" s="85" t="n"/>
      <c r="V442" s="85" t="n"/>
      <c r="W442" s="85" t="n"/>
      <c r="X442" s="85" t="n"/>
      <c r="Y442" s="85" t="n"/>
      <c r="Z442" s="85" t="n"/>
    </row>
    <row r="443" ht="15.75" customHeight="1" s="86">
      <c r="T443" s="85" t="n"/>
      <c r="U443" s="85" t="n"/>
      <c r="V443" s="85" t="n"/>
      <c r="W443" s="85" t="n"/>
      <c r="X443" s="85" t="n"/>
      <c r="Y443" s="85" t="n"/>
      <c r="Z443" s="85" t="n"/>
    </row>
    <row r="444" ht="15.75" customHeight="1" s="86">
      <c r="T444" s="85" t="n"/>
      <c r="U444" s="85" t="n"/>
      <c r="V444" s="85" t="n"/>
      <c r="W444" s="85" t="n"/>
      <c r="X444" s="85" t="n"/>
      <c r="Y444" s="85" t="n"/>
      <c r="Z444" s="85" t="n"/>
    </row>
    <row r="445" ht="15.75" customHeight="1" s="86">
      <c r="T445" s="85" t="n"/>
      <c r="U445" s="85" t="n"/>
      <c r="V445" s="85" t="n"/>
      <c r="W445" s="85" t="n"/>
      <c r="X445" s="85" t="n"/>
      <c r="Y445" s="85" t="n"/>
      <c r="Z445" s="85" t="n"/>
    </row>
    <row r="446" ht="15.75" customHeight="1" s="86">
      <c r="T446" s="85" t="n"/>
      <c r="U446" s="85" t="n"/>
      <c r="V446" s="85" t="n"/>
      <c r="W446" s="85" t="n"/>
      <c r="X446" s="85" t="n"/>
      <c r="Y446" s="85" t="n"/>
      <c r="Z446" s="85" t="n"/>
    </row>
    <row r="447" ht="15.75" customHeight="1" s="86">
      <c r="T447" s="85" t="n"/>
      <c r="U447" s="85" t="n"/>
      <c r="V447" s="85" t="n"/>
      <c r="W447" s="85" t="n"/>
      <c r="X447" s="85" t="n"/>
      <c r="Y447" s="85" t="n"/>
      <c r="Z447" s="85" t="n"/>
    </row>
    <row r="448" ht="15.75" customHeight="1" s="86">
      <c r="T448" s="85" t="n"/>
      <c r="U448" s="85" t="n"/>
      <c r="V448" s="85" t="n"/>
      <c r="W448" s="85" t="n"/>
      <c r="X448" s="85" t="n"/>
      <c r="Y448" s="85" t="n"/>
      <c r="Z448" s="85" t="n"/>
    </row>
    <row r="449" ht="15.75" customHeight="1" s="86">
      <c r="T449" s="85" t="n"/>
      <c r="U449" s="85" t="n"/>
      <c r="V449" s="85" t="n"/>
      <c r="W449" s="85" t="n"/>
      <c r="X449" s="85" t="n"/>
      <c r="Y449" s="85" t="n"/>
      <c r="Z449" s="85" t="n"/>
    </row>
    <row r="450" ht="15.75" customHeight="1" s="86">
      <c r="T450" s="85" t="n"/>
      <c r="U450" s="85" t="n"/>
      <c r="V450" s="85" t="n"/>
      <c r="W450" s="85" t="n"/>
      <c r="X450" s="85" t="n"/>
      <c r="Y450" s="85" t="n"/>
      <c r="Z450" s="85" t="n"/>
    </row>
    <row r="451" ht="15.75" customHeight="1" s="86">
      <c r="T451" s="85" t="n"/>
      <c r="U451" s="85" t="n"/>
      <c r="V451" s="85" t="n"/>
      <c r="W451" s="85" t="n"/>
      <c r="X451" s="85" t="n"/>
      <c r="Y451" s="85" t="n"/>
      <c r="Z451" s="85" t="n"/>
    </row>
    <row r="452" ht="15.75" customHeight="1" s="86">
      <c r="T452" s="85" t="n"/>
      <c r="U452" s="85" t="n"/>
      <c r="V452" s="85" t="n"/>
      <c r="W452" s="85" t="n"/>
      <c r="X452" s="85" t="n"/>
      <c r="Y452" s="85" t="n"/>
      <c r="Z452" s="85" t="n"/>
    </row>
    <row r="453" ht="15.75" customHeight="1" s="86">
      <c r="T453" s="85" t="n"/>
      <c r="U453" s="85" t="n"/>
      <c r="V453" s="85" t="n"/>
      <c r="W453" s="85" t="n"/>
      <c r="X453" s="85" t="n"/>
      <c r="Y453" s="85" t="n"/>
      <c r="Z453" s="85" t="n"/>
    </row>
    <row r="454" ht="15.75" customHeight="1" s="86">
      <c r="T454" s="85" t="n"/>
      <c r="U454" s="85" t="n"/>
      <c r="V454" s="85" t="n"/>
      <c r="W454" s="85" t="n"/>
      <c r="X454" s="85" t="n"/>
      <c r="Y454" s="85" t="n"/>
      <c r="Z454" s="85" t="n"/>
    </row>
    <row r="455" ht="15.75" customHeight="1" s="86">
      <c r="T455" s="85" t="n"/>
      <c r="U455" s="85" t="n"/>
      <c r="V455" s="85" t="n"/>
      <c r="W455" s="85" t="n"/>
      <c r="X455" s="85" t="n"/>
      <c r="Y455" s="85" t="n"/>
      <c r="Z455" s="85" t="n"/>
    </row>
    <row r="456" ht="15.75" customHeight="1" s="86">
      <c r="T456" s="85" t="n"/>
      <c r="U456" s="85" t="n"/>
      <c r="V456" s="85" t="n"/>
      <c r="W456" s="85" t="n"/>
      <c r="X456" s="85" t="n"/>
      <c r="Y456" s="85" t="n"/>
      <c r="Z456" s="85" t="n"/>
    </row>
    <row r="457" ht="15.75" customHeight="1" s="86">
      <c r="T457" s="85" t="n"/>
      <c r="U457" s="85" t="n"/>
      <c r="V457" s="85" t="n"/>
      <c r="W457" s="85" t="n"/>
      <c r="X457" s="85" t="n"/>
      <c r="Y457" s="85" t="n"/>
      <c r="Z457" s="85" t="n"/>
    </row>
    <row r="458" ht="15.75" customHeight="1" s="86">
      <c r="T458" s="85" t="n"/>
      <c r="U458" s="85" t="n"/>
      <c r="V458" s="85" t="n"/>
      <c r="W458" s="85" t="n"/>
      <c r="X458" s="85" t="n"/>
      <c r="Y458" s="85" t="n"/>
      <c r="Z458" s="85" t="n"/>
    </row>
    <row r="459" ht="15.75" customHeight="1" s="86">
      <c r="T459" s="85" t="n"/>
      <c r="U459" s="85" t="n"/>
      <c r="V459" s="85" t="n"/>
      <c r="W459" s="85" t="n"/>
      <c r="X459" s="85" t="n"/>
      <c r="Y459" s="85" t="n"/>
      <c r="Z459" s="85" t="n"/>
    </row>
    <row r="460" ht="15.75" customHeight="1" s="86">
      <c r="T460" s="85" t="n"/>
      <c r="U460" s="85" t="n"/>
      <c r="V460" s="85" t="n"/>
      <c r="W460" s="85" t="n"/>
      <c r="X460" s="85" t="n"/>
      <c r="Y460" s="85" t="n"/>
      <c r="Z460" s="85" t="n"/>
    </row>
    <row r="461" ht="15.75" customHeight="1" s="86">
      <c r="T461" s="85" t="n"/>
      <c r="U461" s="85" t="n"/>
      <c r="V461" s="85" t="n"/>
      <c r="W461" s="85" t="n"/>
      <c r="X461" s="85" t="n"/>
      <c r="Y461" s="85" t="n"/>
      <c r="Z461" s="85" t="n"/>
    </row>
    <row r="462" ht="15.75" customHeight="1" s="86">
      <c r="T462" s="85" t="n"/>
      <c r="U462" s="85" t="n"/>
      <c r="V462" s="85" t="n"/>
      <c r="W462" s="85" t="n"/>
      <c r="X462" s="85" t="n"/>
      <c r="Y462" s="85" t="n"/>
      <c r="Z462" s="85" t="n"/>
    </row>
    <row r="463" ht="15.75" customHeight="1" s="86">
      <c r="T463" s="85" t="n"/>
      <c r="U463" s="85" t="n"/>
      <c r="V463" s="85" t="n"/>
      <c r="W463" s="85" t="n"/>
      <c r="X463" s="85" t="n"/>
      <c r="Y463" s="85" t="n"/>
      <c r="Z463" s="85" t="n"/>
    </row>
    <row r="464" ht="15.75" customHeight="1" s="86">
      <c r="T464" s="85" t="n"/>
      <c r="U464" s="85" t="n"/>
      <c r="V464" s="85" t="n"/>
      <c r="W464" s="85" t="n"/>
      <c r="X464" s="85" t="n"/>
      <c r="Y464" s="85" t="n"/>
      <c r="Z464" s="85" t="n"/>
    </row>
    <row r="465" ht="15.75" customHeight="1" s="86">
      <c r="T465" s="85" t="n"/>
      <c r="U465" s="85" t="n"/>
      <c r="V465" s="85" t="n"/>
      <c r="W465" s="85" t="n"/>
      <c r="X465" s="85" t="n"/>
      <c r="Y465" s="85" t="n"/>
      <c r="Z465" s="85" t="n"/>
    </row>
    <row r="466" ht="15.75" customHeight="1" s="86">
      <c r="T466" s="85" t="n"/>
      <c r="U466" s="85" t="n"/>
      <c r="V466" s="85" t="n"/>
      <c r="W466" s="85" t="n"/>
      <c r="X466" s="85" t="n"/>
      <c r="Y466" s="85" t="n"/>
      <c r="Z466" s="85" t="n"/>
    </row>
    <row r="467" ht="15.75" customHeight="1" s="86">
      <c r="T467" s="85" t="n"/>
      <c r="U467" s="85" t="n"/>
      <c r="V467" s="85" t="n"/>
      <c r="W467" s="85" t="n"/>
      <c r="X467" s="85" t="n"/>
      <c r="Y467" s="85" t="n"/>
      <c r="Z467" s="85" t="n"/>
    </row>
    <row r="468" ht="15.75" customHeight="1" s="86">
      <c r="T468" s="85" t="n"/>
      <c r="U468" s="85" t="n"/>
      <c r="V468" s="85" t="n"/>
      <c r="W468" s="85" t="n"/>
      <c r="X468" s="85" t="n"/>
      <c r="Y468" s="85" t="n"/>
      <c r="Z468" s="85" t="n"/>
    </row>
    <row r="469" ht="15.75" customHeight="1" s="86">
      <c r="T469" s="85" t="n"/>
      <c r="U469" s="85" t="n"/>
      <c r="V469" s="85" t="n"/>
      <c r="W469" s="85" t="n"/>
      <c r="X469" s="85" t="n"/>
      <c r="Y469" s="85" t="n"/>
      <c r="Z469" s="85" t="n"/>
    </row>
    <row r="470" ht="15.75" customHeight="1" s="86">
      <c r="T470" s="85" t="n"/>
      <c r="U470" s="85" t="n"/>
      <c r="V470" s="85" t="n"/>
      <c r="W470" s="85" t="n"/>
      <c r="X470" s="85" t="n"/>
      <c r="Y470" s="85" t="n"/>
      <c r="Z470" s="85" t="n"/>
    </row>
    <row r="471" ht="15.75" customHeight="1" s="86">
      <c r="T471" s="85" t="n"/>
      <c r="U471" s="85" t="n"/>
      <c r="V471" s="85" t="n"/>
      <c r="W471" s="85" t="n"/>
      <c r="X471" s="85" t="n"/>
      <c r="Y471" s="85" t="n"/>
      <c r="Z471" s="85" t="n"/>
    </row>
    <row r="472" ht="15.75" customHeight="1" s="86">
      <c r="T472" s="85" t="n"/>
      <c r="U472" s="85" t="n"/>
      <c r="V472" s="85" t="n"/>
      <c r="W472" s="85" t="n"/>
      <c r="X472" s="85" t="n"/>
      <c r="Y472" s="85" t="n"/>
      <c r="Z472" s="85" t="n"/>
    </row>
    <row r="473" ht="15.75" customHeight="1" s="86">
      <c r="T473" s="85" t="n"/>
      <c r="U473" s="85" t="n"/>
      <c r="V473" s="85" t="n"/>
      <c r="W473" s="85" t="n"/>
      <c r="X473" s="85" t="n"/>
      <c r="Y473" s="85" t="n"/>
      <c r="Z473" s="85" t="n"/>
    </row>
    <row r="474" ht="15.75" customHeight="1" s="86">
      <c r="T474" s="85" t="n"/>
      <c r="U474" s="85" t="n"/>
      <c r="V474" s="85" t="n"/>
      <c r="W474" s="85" t="n"/>
      <c r="X474" s="85" t="n"/>
      <c r="Y474" s="85" t="n"/>
      <c r="Z474" s="85" t="n"/>
    </row>
    <row r="475" ht="15.75" customHeight="1" s="86">
      <c r="T475" s="85" t="n"/>
      <c r="U475" s="85" t="n"/>
      <c r="V475" s="85" t="n"/>
      <c r="W475" s="85" t="n"/>
      <c r="X475" s="85" t="n"/>
      <c r="Y475" s="85" t="n"/>
      <c r="Z475" s="85" t="n"/>
    </row>
    <row r="476" ht="15.75" customHeight="1" s="86">
      <c r="T476" s="85" t="n"/>
      <c r="U476" s="85" t="n"/>
      <c r="V476" s="85" t="n"/>
      <c r="W476" s="85" t="n"/>
      <c r="X476" s="85" t="n"/>
      <c r="Y476" s="85" t="n"/>
      <c r="Z476" s="85" t="n"/>
    </row>
    <row r="477" ht="15.75" customHeight="1" s="86">
      <c r="T477" s="85" t="n"/>
      <c r="U477" s="85" t="n"/>
      <c r="V477" s="85" t="n"/>
      <c r="W477" s="85" t="n"/>
      <c r="X477" s="85" t="n"/>
      <c r="Y477" s="85" t="n"/>
      <c r="Z477" s="85" t="n"/>
    </row>
    <row r="478" ht="15.75" customHeight="1" s="86">
      <c r="T478" s="85" t="n"/>
      <c r="U478" s="85" t="n"/>
      <c r="V478" s="85" t="n"/>
      <c r="W478" s="85" t="n"/>
      <c r="X478" s="85" t="n"/>
      <c r="Y478" s="85" t="n"/>
      <c r="Z478" s="85" t="n"/>
    </row>
    <row r="479" ht="15.75" customHeight="1" s="86">
      <c r="T479" s="85" t="n"/>
      <c r="U479" s="85" t="n"/>
      <c r="V479" s="85" t="n"/>
      <c r="W479" s="85" t="n"/>
      <c r="X479" s="85" t="n"/>
      <c r="Y479" s="85" t="n"/>
      <c r="Z479" s="85" t="n"/>
    </row>
    <row r="480" ht="15.75" customHeight="1" s="86">
      <c r="T480" s="85" t="n"/>
      <c r="U480" s="85" t="n"/>
      <c r="V480" s="85" t="n"/>
      <c r="W480" s="85" t="n"/>
      <c r="X480" s="85" t="n"/>
      <c r="Y480" s="85" t="n"/>
      <c r="Z480" s="85" t="n"/>
    </row>
    <row r="481" ht="15.75" customHeight="1" s="86">
      <c r="T481" s="85" t="n"/>
      <c r="U481" s="85" t="n"/>
      <c r="V481" s="85" t="n"/>
      <c r="W481" s="85" t="n"/>
      <c r="X481" s="85" t="n"/>
      <c r="Y481" s="85" t="n"/>
      <c r="Z481" s="85" t="n"/>
    </row>
    <row r="482" ht="15.75" customHeight="1" s="86">
      <c r="T482" s="85" t="n"/>
      <c r="U482" s="85" t="n"/>
      <c r="V482" s="85" t="n"/>
      <c r="W482" s="85" t="n"/>
      <c r="X482" s="85" t="n"/>
      <c r="Y482" s="85" t="n"/>
      <c r="Z482" s="85" t="n"/>
    </row>
    <row r="483" ht="15.75" customHeight="1" s="86">
      <c r="T483" s="85" t="n"/>
      <c r="U483" s="85" t="n"/>
      <c r="V483" s="85" t="n"/>
      <c r="W483" s="85" t="n"/>
      <c r="X483" s="85" t="n"/>
      <c r="Y483" s="85" t="n"/>
      <c r="Z483" s="85" t="n"/>
    </row>
    <row r="484" ht="15.75" customHeight="1" s="86">
      <c r="T484" s="85" t="n"/>
      <c r="U484" s="85" t="n"/>
      <c r="V484" s="85" t="n"/>
      <c r="W484" s="85" t="n"/>
      <c r="X484" s="85" t="n"/>
      <c r="Y484" s="85" t="n"/>
      <c r="Z484" s="85" t="n"/>
    </row>
    <row r="485" ht="15.75" customHeight="1" s="86">
      <c r="T485" s="85" t="n"/>
      <c r="U485" s="85" t="n"/>
      <c r="V485" s="85" t="n"/>
      <c r="W485" s="85" t="n"/>
      <c r="X485" s="85" t="n"/>
      <c r="Y485" s="85" t="n"/>
      <c r="Z485" s="85" t="n"/>
    </row>
    <row r="486" ht="15.75" customHeight="1" s="86">
      <c r="T486" s="85" t="n"/>
      <c r="U486" s="85" t="n"/>
      <c r="V486" s="85" t="n"/>
      <c r="W486" s="85" t="n"/>
      <c r="X486" s="85" t="n"/>
      <c r="Y486" s="85" t="n"/>
      <c r="Z486" s="85" t="n"/>
    </row>
    <row r="487" ht="15.75" customHeight="1" s="86">
      <c r="T487" s="85" t="n"/>
      <c r="U487" s="85" t="n"/>
      <c r="V487" s="85" t="n"/>
      <c r="W487" s="85" t="n"/>
      <c r="X487" s="85" t="n"/>
      <c r="Y487" s="85" t="n"/>
      <c r="Z487" s="85" t="n"/>
    </row>
    <row r="488" ht="15.75" customHeight="1" s="86">
      <c r="T488" s="85" t="n"/>
      <c r="U488" s="85" t="n"/>
      <c r="V488" s="85" t="n"/>
      <c r="W488" s="85" t="n"/>
      <c r="X488" s="85" t="n"/>
      <c r="Y488" s="85" t="n"/>
      <c r="Z488" s="85" t="n"/>
    </row>
    <row r="489" ht="15.75" customHeight="1" s="86">
      <c r="T489" s="85" t="n"/>
      <c r="U489" s="85" t="n"/>
      <c r="V489" s="85" t="n"/>
      <c r="W489" s="85" t="n"/>
      <c r="X489" s="85" t="n"/>
      <c r="Y489" s="85" t="n"/>
      <c r="Z489" s="85" t="n"/>
    </row>
    <row r="490" ht="15.75" customHeight="1" s="86">
      <c r="T490" s="85" t="n"/>
      <c r="U490" s="85" t="n"/>
      <c r="V490" s="85" t="n"/>
      <c r="W490" s="85" t="n"/>
      <c r="X490" s="85" t="n"/>
      <c r="Y490" s="85" t="n"/>
      <c r="Z490" s="85" t="n"/>
    </row>
    <row r="491" ht="15.75" customHeight="1" s="86">
      <c r="T491" s="85" t="n"/>
      <c r="U491" s="85" t="n"/>
      <c r="V491" s="85" t="n"/>
      <c r="W491" s="85" t="n"/>
      <c r="X491" s="85" t="n"/>
      <c r="Y491" s="85" t="n"/>
      <c r="Z491" s="85" t="n"/>
    </row>
    <row r="492" ht="15.75" customHeight="1" s="86">
      <c r="T492" s="85" t="n"/>
      <c r="U492" s="85" t="n"/>
      <c r="V492" s="85" t="n"/>
      <c r="W492" s="85" t="n"/>
      <c r="X492" s="85" t="n"/>
      <c r="Y492" s="85" t="n"/>
      <c r="Z492" s="85" t="n"/>
    </row>
    <row r="493" ht="15.75" customHeight="1" s="86">
      <c r="T493" s="85" t="n"/>
      <c r="U493" s="85" t="n"/>
      <c r="V493" s="85" t="n"/>
      <c r="W493" s="85" t="n"/>
      <c r="X493" s="85" t="n"/>
      <c r="Y493" s="85" t="n"/>
      <c r="Z493" s="85" t="n"/>
    </row>
    <row r="494" ht="15.75" customHeight="1" s="86">
      <c r="T494" s="85" t="n"/>
      <c r="U494" s="85" t="n"/>
      <c r="V494" s="85" t="n"/>
      <c r="W494" s="85" t="n"/>
      <c r="X494" s="85" t="n"/>
      <c r="Y494" s="85" t="n"/>
      <c r="Z494" s="85" t="n"/>
    </row>
    <row r="495" ht="15.75" customHeight="1" s="86">
      <c r="T495" s="85" t="n"/>
      <c r="U495" s="85" t="n"/>
      <c r="V495" s="85" t="n"/>
      <c r="W495" s="85" t="n"/>
      <c r="X495" s="85" t="n"/>
      <c r="Y495" s="85" t="n"/>
      <c r="Z495" s="85" t="n"/>
    </row>
    <row r="496" ht="15.75" customHeight="1" s="86">
      <c r="T496" s="85" t="n"/>
      <c r="U496" s="85" t="n"/>
      <c r="V496" s="85" t="n"/>
      <c r="W496" s="85" t="n"/>
      <c r="X496" s="85" t="n"/>
      <c r="Y496" s="85" t="n"/>
      <c r="Z496" s="85" t="n"/>
    </row>
    <row r="497" ht="15.75" customHeight="1" s="86">
      <c r="T497" s="85" t="n"/>
      <c r="U497" s="85" t="n"/>
      <c r="V497" s="85" t="n"/>
      <c r="W497" s="85" t="n"/>
      <c r="X497" s="85" t="n"/>
      <c r="Y497" s="85" t="n"/>
      <c r="Z497" s="85" t="n"/>
    </row>
    <row r="498" ht="15.75" customHeight="1" s="86">
      <c r="T498" s="85" t="n"/>
      <c r="U498" s="85" t="n"/>
      <c r="V498" s="85" t="n"/>
      <c r="W498" s="85" t="n"/>
      <c r="X498" s="85" t="n"/>
      <c r="Y498" s="85" t="n"/>
      <c r="Z498" s="85" t="n"/>
    </row>
    <row r="499" ht="15.75" customHeight="1" s="86">
      <c r="T499" s="85" t="n"/>
      <c r="U499" s="85" t="n"/>
      <c r="V499" s="85" t="n"/>
      <c r="W499" s="85" t="n"/>
      <c r="X499" s="85" t="n"/>
      <c r="Y499" s="85" t="n"/>
      <c r="Z499" s="85" t="n"/>
    </row>
    <row r="500" ht="15.75" customHeight="1" s="86">
      <c r="T500" s="85" t="n"/>
      <c r="U500" s="85" t="n"/>
      <c r="V500" s="85" t="n"/>
      <c r="W500" s="85" t="n"/>
      <c r="X500" s="85" t="n"/>
      <c r="Y500" s="85" t="n"/>
      <c r="Z500" s="85" t="n"/>
    </row>
    <row r="501" ht="15.75" customHeight="1" s="86">
      <c r="T501" s="85" t="n"/>
      <c r="U501" s="85" t="n"/>
      <c r="V501" s="85" t="n"/>
      <c r="W501" s="85" t="n"/>
      <c r="X501" s="85" t="n"/>
      <c r="Y501" s="85" t="n"/>
      <c r="Z501" s="85" t="n"/>
    </row>
    <row r="502" ht="15.75" customHeight="1" s="86">
      <c r="T502" s="85" t="n"/>
      <c r="U502" s="85" t="n"/>
      <c r="V502" s="85" t="n"/>
      <c r="W502" s="85" t="n"/>
      <c r="X502" s="85" t="n"/>
      <c r="Y502" s="85" t="n"/>
      <c r="Z502" s="85" t="n"/>
    </row>
    <row r="503" ht="15.75" customHeight="1" s="86">
      <c r="T503" s="85" t="n"/>
      <c r="U503" s="85" t="n"/>
      <c r="V503" s="85" t="n"/>
      <c r="W503" s="85" t="n"/>
      <c r="X503" s="85" t="n"/>
      <c r="Y503" s="85" t="n"/>
      <c r="Z503" s="85" t="n"/>
    </row>
    <row r="504" ht="15.75" customHeight="1" s="86">
      <c r="T504" s="85" t="n"/>
      <c r="U504" s="85" t="n"/>
      <c r="V504" s="85" t="n"/>
      <c r="W504" s="85" t="n"/>
      <c r="X504" s="85" t="n"/>
      <c r="Y504" s="85" t="n"/>
      <c r="Z504" s="85" t="n"/>
    </row>
    <row r="505" ht="15.75" customHeight="1" s="86">
      <c r="T505" s="85" t="n"/>
      <c r="U505" s="85" t="n"/>
      <c r="V505" s="85" t="n"/>
      <c r="W505" s="85" t="n"/>
      <c r="X505" s="85" t="n"/>
      <c r="Y505" s="85" t="n"/>
      <c r="Z505" s="85" t="n"/>
    </row>
    <row r="506" ht="15.75" customHeight="1" s="86">
      <c r="T506" s="85" t="n"/>
      <c r="U506" s="85" t="n"/>
      <c r="V506" s="85" t="n"/>
      <c r="W506" s="85" t="n"/>
      <c r="X506" s="85" t="n"/>
      <c r="Y506" s="85" t="n"/>
      <c r="Z506" s="85" t="n"/>
    </row>
    <row r="507" ht="15.75" customHeight="1" s="86">
      <c r="T507" s="85" t="n"/>
      <c r="U507" s="85" t="n"/>
      <c r="V507" s="85" t="n"/>
      <c r="W507" s="85" t="n"/>
      <c r="X507" s="85" t="n"/>
      <c r="Y507" s="85" t="n"/>
      <c r="Z507" s="85" t="n"/>
    </row>
    <row r="508" ht="15.75" customHeight="1" s="86">
      <c r="T508" s="85" t="n"/>
      <c r="U508" s="85" t="n"/>
      <c r="V508" s="85" t="n"/>
      <c r="W508" s="85" t="n"/>
      <c r="X508" s="85" t="n"/>
      <c r="Y508" s="85" t="n"/>
      <c r="Z508" s="85" t="n"/>
    </row>
    <row r="509" ht="15.75" customHeight="1" s="86">
      <c r="T509" s="85" t="n"/>
      <c r="U509" s="85" t="n"/>
      <c r="V509" s="85" t="n"/>
      <c r="W509" s="85" t="n"/>
      <c r="X509" s="85" t="n"/>
      <c r="Y509" s="85" t="n"/>
      <c r="Z509" s="85" t="n"/>
    </row>
    <row r="510" ht="15.75" customHeight="1" s="86">
      <c r="T510" s="85" t="n"/>
      <c r="U510" s="85" t="n"/>
      <c r="V510" s="85" t="n"/>
      <c r="W510" s="85" t="n"/>
      <c r="X510" s="85" t="n"/>
      <c r="Y510" s="85" t="n"/>
      <c r="Z510" s="85" t="n"/>
    </row>
    <row r="511" ht="15.75" customHeight="1" s="86">
      <c r="T511" s="85" t="n"/>
      <c r="U511" s="85" t="n"/>
      <c r="V511" s="85" t="n"/>
      <c r="W511" s="85" t="n"/>
      <c r="X511" s="85" t="n"/>
      <c r="Y511" s="85" t="n"/>
      <c r="Z511" s="85" t="n"/>
    </row>
    <row r="512" ht="15.75" customHeight="1" s="86">
      <c r="T512" s="85" t="n"/>
      <c r="U512" s="85" t="n"/>
      <c r="V512" s="85" t="n"/>
      <c r="W512" s="85" t="n"/>
      <c r="X512" s="85" t="n"/>
      <c r="Y512" s="85" t="n"/>
      <c r="Z512" s="85" t="n"/>
    </row>
    <row r="513" ht="15.75" customHeight="1" s="86">
      <c r="T513" s="85" t="n"/>
      <c r="U513" s="85" t="n"/>
      <c r="V513" s="85" t="n"/>
      <c r="W513" s="85" t="n"/>
      <c r="X513" s="85" t="n"/>
      <c r="Y513" s="85" t="n"/>
      <c r="Z513" s="85" t="n"/>
    </row>
    <row r="514" ht="15.75" customHeight="1" s="86">
      <c r="T514" s="85" t="n"/>
      <c r="U514" s="85" t="n"/>
      <c r="V514" s="85" t="n"/>
      <c r="W514" s="85" t="n"/>
      <c r="X514" s="85" t="n"/>
      <c r="Y514" s="85" t="n"/>
      <c r="Z514" s="85" t="n"/>
    </row>
    <row r="515" ht="15.75" customHeight="1" s="86">
      <c r="T515" s="85" t="n"/>
      <c r="U515" s="85" t="n"/>
      <c r="V515" s="85" t="n"/>
      <c r="W515" s="85" t="n"/>
      <c r="X515" s="85" t="n"/>
      <c r="Y515" s="85" t="n"/>
      <c r="Z515" s="85" t="n"/>
    </row>
    <row r="516" ht="15.75" customHeight="1" s="86">
      <c r="T516" s="85" t="n"/>
      <c r="U516" s="85" t="n"/>
      <c r="V516" s="85" t="n"/>
      <c r="W516" s="85" t="n"/>
      <c r="X516" s="85" t="n"/>
      <c r="Y516" s="85" t="n"/>
      <c r="Z516" s="85" t="n"/>
    </row>
    <row r="517" ht="15.75" customHeight="1" s="86">
      <c r="T517" s="85" t="n"/>
      <c r="U517" s="85" t="n"/>
      <c r="V517" s="85" t="n"/>
      <c r="W517" s="85" t="n"/>
      <c r="X517" s="85" t="n"/>
      <c r="Y517" s="85" t="n"/>
      <c r="Z517" s="85" t="n"/>
    </row>
    <row r="518" ht="15.75" customHeight="1" s="86">
      <c r="T518" s="85" t="n"/>
      <c r="U518" s="85" t="n"/>
      <c r="V518" s="85" t="n"/>
      <c r="W518" s="85" t="n"/>
      <c r="X518" s="85" t="n"/>
      <c r="Y518" s="85" t="n"/>
      <c r="Z518" s="85" t="n"/>
    </row>
    <row r="519" ht="15.75" customHeight="1" s="86">
      <c r="T519" s="85" t="n"/>
      <c r="U519" s="85" t="n"/>
      <c r="V519" s="85" t="n"/>
      <c r="W519" s="85" t="n"/>
      <c r="X519" s="85" t="n"/>
      <c r="Y519" s="85" t="n"/>
      <c r="Z519" s="85" t="n"/>
    </row>
    <row r="520" ht="15.75" customHeight="1" s="86">
      <c r="T520" s="85" t="n"/>
      <c r="U520" s="85" t="n"/>
      <c r="V520" s="85" t="n"/>
      <c r="W520" s="85" t="n"/>
      <c r="X520" s="85" t="n"/>
      <c r="Y520" s="85" t="n"/>
      <c r="Z520" s="85" t="n"/>
    </row>
    <row r="521" ht="15.75" customHeight="1" s="86">
      <c r="T521" s="85" t="n"/>
      <c r="U521" s="85" t="n"/>
      <c r="V521" s="85" t="n"/>
      <c r="W521" s="85" t="n"/>
      <c r="X521" s="85" t="n"/>
      <c r="Y521" s="85" t="n"/>
      <c r="Z521" s="85" t="n"/>
    </row>
    <row r="522" ht="15.75" customHeight="1" s="86">
      <c r="T522" s="85" t="n"/>
      <c r="U522" s="85" t="n"/>
      <c r="V522" s="85" t="n"/>
      <c r="W522" s="85" t="n"/>
      <c r="X522" s="85" t="n"/>
      <c r="Y522" s="85" t="n"/>
      <c r="Z522" s="85" t="n"/>
    </row>
    <row r="523" ht="15.75" customHeight="1" s="86">
      <c r="T523" s="85" t="n"/>
      <c r="U523" s="85" t="n"/>
      <c r="V523" s="85" t="n"/>
      <c r="W523" s="85" t="n"/>
      <c r="X523" s="85" t="n"/>
      <c r="Y523" s="85" t="n"/>
      <c r="Z523" s="85" t="n"/>
    </row>
    <row r="524" ht="15.75" customHeight="1" s="86">
      <c r="T524" s="85" t="n"/>
      <c r="U524" s="85" t="n"/>
      <c r="V524" s="85" t="n"/>
      <c r="W524" s="85" t="n"/>
      <c r="X524" s="85" t="n"/>
      <c r="Y524" s="85" t="n"/>
      <c r="Z524" s="85" t="n"/>
    </row>
    <row r="525" ht="15.75" customHeight="1" s="86">
      <c r="T525" s="85" t="n"/>
      <c r="U525" s="85" t="n"/>
      <c r="V525" s="85" t="n"/>
      <c r="W525" s="85" t="n"/>
      <c r="X525" s="85" t="n"/>
      <c r="Y525" s="85" t="n"/>
      <c r="Z525" s="85" t="n"/>
    </row>
    <row r="526" ht="15.75" customHeight="1" s="86">
      <c r="T526" s="85" t="n"/>
      <c r="U526" s="85" t="n"/>
      <c r="V526" s="85" t="n"/>
      <c r="W526" s="85" t="n"/>
      <c r="X526" s="85" t="n"/>
      <c r="Y526" s="85" t="n"/>
      <c r="Z526" s="85" t="n"/>
    </row>
    <row r="527" ht="15.75" customHeight="1" s="86">
      <c r="T527" s="85" t="n"/>
      <c r="U527" s="85" t="n"/>
      <c r="V527" s="85" t="n"/>
      <c r="W527" s="85" t="n"/>
      <c r="X527" s="85" t="n"/>
      <c r="Y527" s="85" t="n"/>
      <c r="Z527" s="85" t="n"/>
    </row>
    <row r="528" ht="15.75" customHeight="1" s="86">
      <c r="T528" s="85" t="n"/>
      <c r="U528" s="85" t="n"/>
      <c r="V528" s="85" t="n"/>
      <c r="W528" s="85" t="n"/>
      <c r="X528" s="85" t="n"/>
      <c r="Y528" s="85" t="n"/>
      <c r="Z528" s="85" t="n"/>
    </row>
    <row r="529" ht="15.75" customHeight="1" s="86">
      <c r="T529" s="85" t="n"/>
      <c r="U529" s="85" t="n"/>
      <c r="V529" s="85" t="n"/>
      <c r="W529" s="85" t="n"/>
      <c r="X529" s="85" t="n"/>
      <c r="Y529" s="85" t="n"/>
      <c r="Z529" s="85" t="n"/>
    </row>
    <row r="530" ht="15.75" customHeight="1" s="86">
      <c r="T530" s="85" t="n"/>
      <c r="U530" s="85" t="n"/>
      <c r="V530" s="85" t="n"/>
      <c r="W530" s="85" t="n"/>
      <c r="X530" s="85" t="n"/>
      <c r="Y530" s="85" t="n"/>
      <c r="Z530" s="85" t="n"/>
    </row>
    <row r="531" ht="15.75" customHeight="1" s="86">
      <c r="T531" s="85" t="n"/>
      <c r="U531" s="85" t="n"/>
      <c r="V531" s="85" t="n"/>
      <c r="W531" s="85" t="n"/>
      <c r="X531" s="85" t="n"/>
      <c r="Y531" s="85" t="n"/>
      <c r="Z531" s="85" t="n"/>
    </row>
    <row r="532" ht="15.75" customHeight="1" s="86">
      <c r="T532" s="85" t="n"/>
      <c r="U532" s="85" t="n"/>
      <c r="V532" s="85" t="n"/>
      <c r="W532" s="85" t="n"/>
      <c r="X532" s="85" t="n"/>
      <c r="Y532" s="85" t="n"/>
      <c r="Z532" s="85" t="n"/>
    </row>
    <row r="533" ht="15.75" customHeight="1" s="86">
      <c r="T533" s="85" t="n"/>
      <c r="U533" s="85" t="n"/>
      <c r="V533" s="85" t="n"/>
      <c r="W533" s="85" t="n"/>
      <c r="X533" s="85" t="n"/>
      <c r="Y533" s="85" t="n"/>
      <c r="Z533" s="85" t="n"/>
    </row>
    <row r="534" ht="15.75" customHeight="1" s="86">
      <c r="T534" s="85" t="n"/>
      <c r="U534" s="85" t="n"/>
      <c r="V534" s="85" t="n"/>
      <c r="W534" s="85" t="n"/>
      <c r="X534" s="85" t="n"/>
      <c r="Y534" s="85" t="n"/>
      <c r="Z534" s="85" t="n"/>
    </row>
    <row r="535" ht="15.75" customHeight="1" s="86">
      <c r="T535" s="85" t="n"/>
      <c r="U535" s="85" t="n"/>
      <c r="V535" s="85" t="n"/>
      <c r="W535" s="85" t="n"/>
      <c r="X535" s="85" t="n"/>
      <c r="Y535" s="85" t="n"/>
      <c r="Z535" s="85" t="n"/>
    </row>
    <row r="536" ht="15.75" customHeight="1" s="86">
      <c r="T536" s="85" t="n"/>
      <c r="U536" s="85" t="n"/>
      <c r="V536" s="85" t="n"/>
      <c r="W536" s="85" t="n"/>
      <c r="X536" s="85" t="n"/>
      <c r="Y536" s="85" t="n"/>
      <c r="Z536" s="85" t="n"/>
    </row>
    <row r="537" ht="15.75" customHeight="1" s="86">
      <c r="T537" s="85" t="n"/>
      <c r="U537" s="85" t="n"/>
      <c r="V537" s="85" t="n"/>
      <c r="W537" s="85" t="n"/>
      <c r="X537" s="85" t="n"/>
      <c r="Y537" s="85" t="n"/>
      <c r="Z537" s="85" t="n"/>
    </row>
    <row r="538" ht="15.75" customHeight="1" s="86">
      <c r="T538" s="85" t="n"/>
      <c r="U538" s="85" t="n"/>
      <c r="V538" s="85" t="n"/>
      <c r="W538" s="85" t="n"/>
      <c r="X538" s="85" t="n"/>
      <c r="Y538" s="85" t="n"/>
      <c r="Z538" s="85" t="n"/>
    </row>
    <row r="539" ht="15.75" customHeight="1" s="86">
      <c r="T539" s="85" t="n"/>
      <c r="U539" s="85" t="n"/>
      <c r="V539" s="85" t="n"/>
      <c r="W539" s="85" t="n"/>
      <c r="X539" s="85" t="n"/>
      <c r="Y539" s="85" t="n"/>
      <c r="Z539" s="85" t="n"/>
    </row>
    <row r="540" ht="15.75" customHeight="1" s="86">
      <c r="T540" s="85" t="n"/>
      <c r="U540" s="85" t="n"/>
      <c r="V540" s="85" t="n"/>
      <c r="W540" s="85" t="n"/>
      <c r="X540" s="85" t="n"/>
      <c r="Y540" s="85" t="n"/>
      <c r="Z540" s="85" t="n"/>
    </row>
    <row r="541" ht="15.75" customHeight="1" s="86">
      <c r="T541" s="85" t="n"/>
      <c r="U541" s="85" t="n"/>
      <c r="V541" s="85" t="n"/>
      <c r="W541" s="85" t="n"/>
      <c r="X541" s="85" t="n"/>
      <c r="Y541" s="85" t="n"/>
      <c r="Z541" s="85" t="n"/>
    </row>
    <row r="542" ht="15.75" customHeight="1" s="86">
      <c r="T542" s="85" t="n"/>
      <c r="U542" s="85" t="n"/>
      <c r="V542" s="85" t="n"/>
      <c r="W542" s="85" t="n"/>
      <c r="X542" s="85" t="n"/>
      <c r="Y542" s="85" t="n"/>
      <c r="Z542" s="85" t="n"/>
    </row>
    <row r="543" ht="15.75" customHeight="1" s="86">
      <c r="T543" s="85" t="n"/>
      <c r="U543" s="85" t="n"/>
      <c r="V543" s="85" t="n"/>
      <c r="W543" s="85" t="n"/>
      <c r="X543" s="85" t="n"/>
      <c r="Y543" s="85" t="n"/>
      <c r="Z543" s="85" t="n"/>
    </row>
    <row r="544" ht="15.75" customHeight="1" s="86">
      <c r="T544" s="85" t="n"/>
      <c r="U544" s="85" t="n"/>
      <c r="V544" s="85" t="n"/>
      <c r="W544" s="85" t="n"/>
      <c r="X544" s="85" t="n"/>
      <c r="Y544" s="85" t="n"/>
      <c r="Z544" s="85" t="n"/>
    </row>
    <row r="545" ht="15.75" customHeight="1" s="86">
      <c r="T545" s="85" t="n"/>
      <c r="U545" s="85" t="n"/>
      <c r="V545" s="85" t="n"/>
      <c r="W545" s="85" t="n"/>
      <c r="X545" s="85" t="n"/>
      <c r="Y545" s="85" t="n"/>
      <c r="Z545" s="85" t="n"/>
    </row>
    <row r="546" ht="15.75" customHeight="1" s="86">
      <c r="T546" s="85" t="n"/>
      <c r="U546" s="85" t="n"/>
      <c r="V546" s="85" t="n"/>
      <c r="W546" s="85" t="n"/>
      <c r="X546" s="85" t="n"/>
      <c r="Y546" s="85" t="n"/>
      <c r="Z546" s="85" t="n"/>
    </row>
    <row r="547" ht="15.75" customHeight="1" s="86">
      <c r="T547" s="85" t="n"/>
      <c r="U547" s="85" t="n"/>
      <c r="V547" s="85" t="n"/>
      <c r="W547" s="85" t="n"/>
      <c r="X547" s="85" t="n"/>
      <c r="Y547" s="85" t="n"/>
      <c r="Z547" s="85" t="n"/>
    </row>
    <row r="548" ht="15.75" customHeight="1" s="86">
      <c r="T548" s="85" t="n"/>
      <c r="U548" s="85" t="n"/>
      <c r="V548" s="85" t="n"/>
      <c r="W548" s="85" t="n"/>
      <c r="X548" s="85" t="n"/>
      <c r="Y548" s="85" t="n"/>
      <c r="Z548" s="85" t="n"/>
    </row>
    <row r="549" ht="15.75" customHeight="1" s="86">
      <c r="T549" s="85" t="n"/>
      <c r="U549" s="85" t="n"/>
      <c r="V549" s="85" t="n"/>
      <c r="W549" s="85" t="n"/>
      <c r="X549" s="85" t="n"/>
      <c r="Y549" s="85" t="n"/>
      <c r="Z549" s="85" t="n"/>
    </row>
    <row r="550" ht="15.75" customHeight="1" s="86">
      <c r="T550" s="85" t="n"/>
      <c r="U550" s="85" t="n"/>
      <c r="V550" s="85" t="n"/>
      <c r="W550" s="85" t="n"/>
      <c r="X550" s="85" t="n"/>
      <c r="Y550" s="85" t="n"/>
      <c r="Z550" s="85" t="n"/>
    </row>
    <row r="551" ht="15.75" customHeight="1" s="86">
      <c r="T551" s="85" t="n"/>
      <c r="U551" s="85" t="n"/>
      <c r="V551" s="85" t="n"/>
      <c r="W551" s="85" t="n"/>
      <c r="X551" s="85" t="n"/>
      <c r="Y551" s="85" t="n"/>
      <c r="Z551" s="85" t="n"/>
    </row>
    <row r="552" ht="15.75" customHeight="1" s="86">
      <c r="T552" s="85" t="n"/>
      <c r="U552" s="85" t="n"/>
      <c r="V552" s="85" t="n"/>
      <c r="W552" s="85" t="n"/>
      <c r="X552" s="85" t="n"/>
      <c r="Y552" s="85" t="n"/>
      <c r="Z552" s="85" t="n"/>
    </row>
    <row r="553" ht="15.75" customHeight="1" s="86">
      <c r="T553" s="85" t="n"/>
      <c r="U553" s="85" t="n"/>
      <c r="V553" s="85" t="n"/>
      <c r="W553" s="85" t="n"/>
      <c r="X553" s="85" t="n"/>
      <c r="Y553" s="85" t="n"/>
      <c r="Z553" s="85" t="n"/>
    </row>
    <row r="554" ht="15.75" customHeight="1" s="86">
      <c r="T554" s="85" t="n"/>
      <c r="U554" s="85" t="n"/>
      <c r="V554" s="85" t="n"/>
      <c r="W554" s="85" t="n"/>
      <c r="X554" s="85" t="n"/>
      <c r="Y554" s="85" t="n"/>
      <c r="Z554" s="85" t="n"/>
    </row>
    <row r="555" ht="15.75" customHeight="1" s="86">
      <c r="T555" s="85" t="n"/>
      <c r="U555" s="85" t="n"/>
      <c r="V555" s="85" t="n"/>
      <c r="W555" s="85" t="n"/>
      <c r="X555" s="85" t="n"/>
      <c r="Y555" s="85" t="n"/>
      <c r="Z555" s="85" t="n"/>
    </row>
    <row r="556" ht="15.75" customHeight="1" s="86">
      <c r="T556" s="85" t="n"/>
      <c r="U556" s="85" t="n"/>
      <c r="V556" s="85" t="n"/>
      <c r="W556" s="85" t="n"/>
      <c r="X556" s="85" t="n"/>
      <c r="Y556" s="85" t="n"/>
      <c r="Z556" s="85" t="n"/>
    </row>
    <row r="557" ht="15.75" customHeight="1" s="86">
      <c r="T557" s="85" t="n"/>
      <c r="U557" s="85" t="n"/>
      <c r="V557" s="85" t="n"/>
      <c r="W557" s="85" t="n"/>
      <c r="X557" s="85" t="n"/>
      <c r="Y557" s="85" t="n"/>
      <c r="Z557" s="85" t="n"/>
    </row>
    <row r="558" ht="15.75" customHeight="1" s="86">
      <c r="T558" s="85" t="n"/>
      <c r="U558" s="85" t="n"/>
      <c r="V558" s="85" t="n"/>
      <c r="W558" s="85" t="n"/>
      <c r="X558" s="85" t="n"/>
      <c r="Y558" s="85" t="n"/>
      <c r="Z558" s="85" t="n"/>
    </row>
    <row r="559" ht="15.75" customHeight="1" s="86">
      <c r="T559" s="85" t="n"/>
      <c r="U559" s="85" t="n"/>
      <c r="V559" s="85" t="n"/>
      <c r="W559" s="85" t="n"/>
      <c r="X559" s="85" t="n"/>
      <c r="Y559" s="85" t="n"/>
      <c r="Z559" s="85" t="n"/>
    </row>
    <row r="560" ht="15.75" customHeight="1" s="86">
      <c r="T560" s="85" t="n"/>
      <c r="U560" s="85" t="n"/>
      <c r="V560" s="85" t="n"/>
      <c r="W560" s="85" t="n"/>
      <c r="X560" s="85" t="n"/>
      <c r="Y560" s="85" t="n"/>
      <c r="Z560" s="85" t="n"/>
    </row>
    <row r="561" ht="15.75" customHeight="1" s="86">
      <c r="T561" s="85" t="n"/>
      <c r="U561" s="85" t="n"/>
      <c r="V561" s="85" t="n"/>
      <c r="W561" s="85" t="n"/>
      <c r="X561" s="85" t="n"/>
      <c r="Y561" s="85" t="n"/>
      <c r="Z561" s="85" t="n"/>
    </row>
    <row r="562" ht="15.75" customHeight="1" s="86">
      <c r="T562" s="85" t="n"/>
      <c r="U562" s="85" t="n"/>
      <c r="V562" s="85" t="n"/>
      <c r="W562" s="85" t="n"/>
      <c r="X562" s="85" t="n"/>
      <c r="Y562" s="85" t="n"/>
      <c r="Z562" s="85" t="n"/>
    </row>
    <row r="563" ht="15.75" customHeight="1" s="86">
      <c r="T563" s="85" t="n"/>
      <c r="U563" s="85" t="n"/>
      <c r="V563" s="85" t="n"/>
      <c r="W563" s="85" t="n"/>
      <c r="X563" s="85" t="n"/>
      <c r="Y563" s="85" t="n"/>
      <c r="Z563" s="85" t="n"/>
    </row>
    <row r="564" ht="15.75" customHeight="1" s="86">
      <c r="T564" s="85" t="n"/>
      <c r="U564" s="85" t="n"/>
      <c r="V564" s="85" t="n"/>
      <c r="W564" s="85" t="n"/>
      <c r="X564" s="85" t="n"/>
      <c r="Y564" s="85" t="n"/>
      <c r="Z564" s="85" t="n"/>
    </row>
    <row r="565" ht="15.75" customHeight="1" s="86">
      <c r="T565" s="85" t="n"/>
      <c r="U565" s="85" t="n"/>
      <c r="V565" s="85" t="n"/>
      <c r="W565" s="85" t="n"/>
      <c r="X565" s="85" t="n"/>
      <c r="Y565" s="85" t="n"/>
      <c r="Z565" s="85" t="n"/>
    </row>
    <row r="566" ht="15.75" customHeight="1" s="86">
      <c r="T566" s="85" t="n"/>
      <c r="U566" s="85" t="n"/>
      <c r="V566" s="85" t="n"/>
      <c r="W566" s="85" t="n"/>
      <c r="X566" s="85" t="n"/>
      <c r="Y566" s="85" t="n"/>
      <c r="Z566" s="85" t="n"/>
    </row>
    <row r="567" ht="15.75" customHeight="1" s="86">
      <c r="T567" s="85" t="n"/>
      <c r="U567" s="85" t="n"/>
      <c r="V567" s="85" t="n"/>
      <c r="W567" s="85" t="n"/>
      <c r="X567" s="85" t="n"/>
      <c r="Y567" s="85" t="n"/>
      <c r="Z567" s="85" t="n"/>
    </row>
    <row r="568" ht="15.75" customHeight="1" s="86">
      <c r="T568" s="85" t="n"/>
      <c r="U568" s="85" t="n"/>
      <c r="V568" s="85" t="n"/>
      <c r="W568" s="85" t="n"/>
      <c r="X568" s="85" t="n"/>
      <c r="Y568" s="85" t="n"/>
      <c r="Z568" s="85" t="n"/>
    </row>
    <row r="569" ht="15.75" customHeight="1" s="86">
      <c r="T569" s="85" t="n"/>
      <c r="U569" s="85" t="n"/>
      <c r="V569" s="85" t="n"/>
      <c r="W569" s="85" t="n"/>
      <c r="X569" s="85" t="n"/>
      <c r="Y569" s="85" t="n"/>
      <c r="Z569" s="85" t="n"/>
    </row>
    <row r="570" ht="15.75" customHeight="1" s="86">
      <c r="T570" s="85" t="n"/>
      <c r="U570" s="85" t="n"/>
      <c r="V570" s="85" t="n"/>
      <c r="W570" s="85" t="n"/>
      <c r="X570" s="85" t="n"/>
      <c r="Y570" s="85" t="n"/>
      <c r="Z570" s="85" t="n"/>
    </row>
    <row r="571" ht="15.75" customHeight="1" s="86">
      <c r="T571" s="85" t="n"/>
      <c r="U571" s="85" t="n"/>
      <c r="V571" s="85" t="n"/>
      <c r="W571" s="85" t="n"/>
      <c r="X571" s="85" t="n"/>
      <c r="Y571" s="85" t="n"/>
      <c r="Z571" s="85" t="n"/>
    </row>
    <row r="572" ht="15.75" customHeight="1" s="86">
      <c r="T572" s="85" t="n"/>
      <c r="U572" s="85" t="n"/>
      <c r="V572" s="85" t="n"/>
      <c r="W572" s="85" t="n"/>
      <c r="X572" s="85" t="n"/>
      <c r="Y572" s="85" t="n"/>
      <c r="Z572" s="85" t="n"/>
    </row>
    <row r="573" ht="15.75" customHeight="1" s="86">
      <c r="T573" s="85" t="n"/>
      <c r="U573" s="85" t="n"/>
      <c r="V573" s="85" t="n"/>
      <c r="W573" s="85" t="n"/>
      <c r="X573" s="85" t="n"/>
      <c r="Y573" s="85" t="n"/>
      <c r="Z573" s="85" t="n"/>
    </row>
    <row r="574" ht="15.75" customHeight="1" s="86">
      <c r="T574" s="85" t="n"/>
      <c r="U574" s="85" t="n"/>
      <c r="V574" s="85" t="n"/>
      <c r="W574" s="85" t="n"/>
      <c r="X574" s="85" t="n"/>
      <c r="Y574" s="85" t="n"/>
      <c r="Z574" s="85" t="n"/>
    </row>
    <row r="575" ht="15.75" customHeight="1" s="86">
      <c r="T575" s="85" t="n"/>
      <c r="U575" s="85" t="n"/>
      <c r="V575" s="85" t="n"/>
      <c r="W575" s="85" t="n"/>
      <c r="X575" s="85" t="n"/>
      <c r="Y575" s="85" t="n"/>
      <c r="Z575" s="85" t="n"/>
    </row>
    <row r="576" ht="15.75" customHeight="1" s="86">
      <c r="T576" s="85" t="n"/>
      <c r="U576" s="85" t="n"/>
      <c r="V576" s="85" t="n"/>
      <c r="W576" s="85" t="n"/>
      <c r="X576" s="85" t="n"/>
      <c r="Y576" s="85" t="n"/>
      <c r="Z576" s="85" t="n"/>
    </row>
    <row r="577" ht="15.75" customHeight="1" s="86">
      <c r="T577" s="85" t="n"/>
      <c r="U577" s="85" t="n"/>
      <c r="V577" s="85" t="n"/>
      <c r="W577" s="85" t="n"/>
      <c r="X577" s="85" t="n"/>
      <c r="Y577" s="85" t="n"/>
      <c r="Z577" s="85" t="n"/>
    </row>
    <row r="578" ht="15.75" customHeight="1" s="86">
      <c r="T578" s="85" t="n"/>
      <c r="U578" s="85" t="n"/>
      <c r="V578" s="85" t="n"/>
      <c r="W578" s="85" t="n"/>
      <c r="X578" s="85" t="n"/>
      <c r="Y578" s="85" t="n"/>
      <c r="Z578" s="85" t="n"/>
    </row>
    <row r="579" ht="15.75" customHeight="1" s="86">
      <c r="T579" s="85" t="n"/>
      <c r="U579" s="85" t="n"/>
      <c r="V579" s="85" t="n"/>
      <c r="W579" s="85" t="n"/>
      <c r="X579" s="85" t="n"/>
      <c r="Y579" s="85" t="n"/>
      <c r="Z579" s="85" t="n"/>
    </row>
    <row r="580" ht="15.75" customHeight="1" s="86">
      <c r="T580" s="85" t="n"/>
      <c r="U580" s="85" t="n"/>
      <c r="V580" s="85" t="n"/>
      <c r="W580" s="85" t="n"/>
      <c r="X580" s="85" t="n"/>
      <c r="Y580" s="85" t="n"/>
      <c r="Z580" s="85" t="n"/>
    </row>
    <row r="581" ht="15.75" customHeight="1" s="86">
      <c r="T581" s="85" t="n"/>
      <c r="U581" s="85" t="n"/>
      <c r="V581" s="85" t="n"/>
      <c r="W581" s="85" t="n"/>
      <c r="X581" s="85" t="n"/>
      <c r="Y581" s="85" t="n"/>
      <c r="Z581" s="85" t="n"/>
    </row>
    <row r="582" ht="15.75" customHeight="1" s="86">
      <c r="T582" s="85" t="n"/>
      <c r="U582" s="85" t="n"/>
      <c r="V582" s="85" t="n"/>
      <c r="W582" s="85" t="n"/>
      <c r="X582" s="85" t="n"/>
      <c r="Y582" s="85" t="n"/>
      <c r="Z582" s="85" t="n"/>
    </row>
    <row r="583" ht="15.75" customHeight="1" s="86">
      <c r="T583" s="85" t="n"/>
      <c r="U583" s="85" t="n"/>
      <c r="V583" s="85" t="n"/>
      <c r="W583" s="85" t="n"/>
      <c r="X583" s="85" t="n"/>
      <c r="Y583" s="85" t="n"/>
      <c r="Z583" s="85" t="n"/>
    </row>
    <row r="584" ht="15.75" customHeight="1" s="86">
      <c r="T584" s="85" t="n"/>
      <c r="U584" s="85" t="n"/>
      <c r="V584" s="85" t="n"/>
      <c r="W584" s="85" t="n"/>
      <c r="X584" s="85" t="n"/>
      <c r="Y584" s="85" t="n"/>
      <c r="Z584" s="85" t="n"/>
    </row>
    <row r="585" ht="15.75" customHeight="1" s="86">
      <c r="T585" s="85" t="n"/>
      <c r="U585" s="85" t="n"/>
      <c r="V585" s="85" t="n"/>
      <c r="W585" s="85" t="n"/>
      <c r="X585" s="85" t="n"/>
      <c r="Y585" s="85" t="n"/>
      <c r="Z585" s="85" t="n"/>
    </row>
    <row r="586" ht="15.75" customHeight="1" s="86">
      <c r="T586" s="85" t="n"/>
      <c r="U586" s="85" t="n"/>
      <c r="V586" s="85" t="n"/>
      <c r="W586" s="85" t="n"/>
      <c r="X586" s="85" t="n"/>
      <c r="Y586" s="85" t="n"/>
      <c r="Z586" s="85" t="n"/>
    </row>
    <row r="587" ht="15.75" customHeight="1" s="86">
      <c r="T587" s="85" t="n"/>
      <c r="U587" s="85" t="n"/>
      <c r="V587" s="85" t="n"/>
      <c r="W587" s="85" t="n"/>
      <c r="X587" s="85" t="n"/>
      <c r="Y587" s="85" t="n"/>
      <c r="Z587" s="85" t="n"/>
    </row>
    <row r="588" ht="15.75" customHeight="1" s="86">
      <c r="T588" s="85" t="n"/>
      <c r="U588" s="85" t="n"/>
      <c r="V588" s="85" t="n"/>
      <c r="W588" s="85" t="n"/>
      <c r="X588" s="85" t="n"/>
      <c r="Y588" s="85" t="n"/>
      <c r="Z588" s="85" t="n"/>
    </row>
    <row r="589" ht="15.75" customHeight="1" s="86">
      <c r="T589" s="85" t="n"/>
      <c r="U589" s="85" t="n"/>
      <c r="V589" s="85" t="n"/>
      <c r="W589" s="85" t="n"/>
      <c r="X589" s="85" t="n"/>
      <c r="Y589" s="85" t="n"/>
      <c r="Z589" s="85" t="n"/>
    </row>
    <row r="590" ht="15.75" customHeight="1" s="86">
      <c r="T590" s="85" t="n"/>
      <c r="U590" s="85" t="n"/>
      <c r="V590" s="85" t="n"/>
      <c r="W590" s="85" t="n"/>
      <c r="X590" s="85" t="n"/>
      <c r="Y590" s="85" t="n"/>
      <c r="Z590" s="85" t="n"/>
    </row>
    <row r="591" ht="15.75" customHeight="1" s="86">
      <c r="T591" s="85" t="n"/>
      <c r="U591" s="85" t="n"/>
      <c r="V591" s="85" t="n"/>
      <c r="W591" s="85" t="n"/>
      <c r="X591" s="85" t="n"/>
      <c r="Y591" s="85" t="n"/>
      <c r="Z591" s="85" t="n"/>
    </row>
    <row r="592" ht="15.75" customHeight="1" s="86">
      <c r="T592" s="85" t="n"/>
      <c r="U592" s="85" t="n"/>
      <c r="V592" s="85" t="n"/>
      <c r="W592" s="85" t="n"/>
      <c r="X592" s="85" t="n"/>
      <c r="Y592" s="85" t="n"/>
      <c r="Z592" s="85" t="n"/>
    </row>
    <row r="593" ht="15.75" customHeight="1" s="86">
      <c r="T593" s="85" t="n"/>
      <c r="U593" s="85" t="n"/>
      <c r="V593" s="85" t="n"/>
      <c r="W593" s="85" t="n"/>
      <c r="X593" s="85" t="n"/>
      <c r="Y593" s="85" t="n"/>
      <c r="Z593" s="85" t="n"/>
    </row>
    <row r="594" ht="15.75" customHeight="1" s="86">
      <c r="T594" s="85" t="n"/>
      <c r="U594" s="85" t="n"/>
      <c r="V594" s="85" t="n"/>
      <c r="W594" s="85" t="n"/>
      <c r="X594" s="85" t="n"/>
      <c r="Y594" s="85" t="n"/>
      <c r="Z594" s="85" t="n"/>
    </row>
    <row r="595" ht="15.75" customHeight="1" s="86">
      <c r="T595" s="85" t="n"/>
      <c r="U595" s="85" t="n"/>
      <c r="V595" s="85" t="n"/>
      <c r="W595" s="85" t="n"/>
      <c r="X595" s="85" t="n"/>
      <c r="Y595" s="85" t="n"/>
      <c r="Z595" s="85" t="n"/>
    </row>
    <row r="596" ht="15.75" customHeight="1" s="86">
      <c r="T596" s="85" t="n"/>
      <c r="U596" s="85" t="n"/>
      <c r="V596" s="85" t="n"/>
      <c r="W596" s="85" t="n"/>
      <c r="X596" s="85" t="n"/>
      <c r="Y596" s="85" t="n"/>
      <c r="Z596" s="85" t="n"/>
    </row>
    <row r="597" ht="15.75" customHeight="1" s="86">
      <c r="T597" s="85" t="n"/>
      <c r="U597" s="85" t="n"/>
      <c r="V597" s="85" t="n"/>
      <c r="W597" s="85" t="n"/>
      <c r="X597" s="85" t="n"/>
      <c r="Y597" s="85" t="n"/>
      <c r="Z597" s="85" t="n"/>
    </row>
    <row r="598" ht="15.75" customHeight="1" s="86">
      <c r="T598" s="85" t="n"/>
      <c r="U598" s="85" t="n"/>
      <c r="V598" s="85" t="n"/>
      <c r="W598" s="85" t="n"/>
      <c r="X598" s="85" t="n"/>
      <c r="Y598" s="85" t="n"/>
      <c r="Z598" s="85" t="n"/>
    </row>
    <row r="599" ht="15.75" customHeight="1" s="86">
      <c r="T599" s="85" t="n"/>
      <c r="U599" s="85" t="n"/>
      <c r="V599" s="85" t="n"/>
      <c r="W599" s="85" t="n"/>
      <c r="X599" s="85" t="n"/>
      <c r="Y599" s="85" t="n"/>
      <c r="Z599" s="85" t="n"/>
    </row>
    <row r="600" ht="15.75" customHeight="1" s="86">
      <c r="T600" s="85" t="n"/>
      <c r="U600" s="85" t="n"/>
      <c r="V600" s="85" t="n"/>
      <c r="W600" s="85" t="n"/>
      <c r="X600" s="85" t="n"/>
      <c r="Y600" s="85" t="n"/>
      <c r="Z600" s="85" t="n"/>
    </row>
    <row r="601" ht="15.75" customHeight="1" s="86">
      <c r="T601" s="85" t="n"/>
      <c r="U601" s="85" t="n"/>
      <c r="V601" s="85" t="n"/>
      <c r="W601" s="85" t="n"/>
      <c r="X601" s="85" t="n"/>
      <c r="Y601" s="85" t="n"/>
      <c r="Z601" s="85" t="n"/>
    </row>
    <row r="602" ht="15.75" customHeight="1" s="86">
      <c r="T602" s="85" t="n"/>
      <c r="U602" s="85" t="n"/>
      <c r="V602" s="85" t="n"/>
      <c r="W602" s="85" t="n"/>
      <c r="X602" s="85" t="n"/>
      <c r="Y602" s="85" t="n"/>
      <c r="Z602" s="85" t="n"/>
    </row>
    <row r="603" ht="15.75" customHeight="1" s="86">
      <c r="T603" s="85" t="n"/>
      <c r="U603" s="85" t="n"/>
      <c r="V603" s="85" t="n"/>
      <c r="W603" s="85" t="n"/>
      <c r="X603" s="85" t="n"/>
      <c r="Y603" s="85" t="n"/>
      <c r="Z603" s="85" t="n"/>
    </row>
    <row r="604" ht="15.75" customHeight="1" s="86">
      <c r="T604" s="85" t="n"/>
      <c r="U604" s="85" t="n"/>
      <c r="V604" s="85" t="n"/>
      <c r="W604" s="85" t="n"/>
      <c r="X604" s="85" t="n"/>
      <c r="Y604" s="85" t="n"/>
      <c r="Z604" s="85" t="n"/>
    </row>
    <row r="605" ht="15.75" customHeight="1" s="86">
      <c r="T605" s="85" t="n"/>
      <c r="U605" s="85" t="n"/>
      <c r="V605" s="85" t="n"/>
      <c r="W605" s="85" t="n"/>
      <c r="X605" s="85" t="n"/>
      <c r="Y605" s="85" t="n"/>
      <c r="Z605" s="85" t="n"/>
    </row>
    <row r="606" ht="15.75" customHeight="1" s="86">
      <c r="T606" s="85" t="n"/>
      <c r="U606" s="85" t="n"/>
      <c r="V606" s="85" t="n"/>
      <c r="W606" s="85" t="n"/>
      <c r="X606" s="85" t="n"/>
      <c r="Y606" s="85" t="n"/>
      <c r="Z606" s="85" t="n"/>
    </row>
    <row r="607" ht="15.75" customHeight="1" s="86">
      <c r="T607" s="85" t="n"/>
      <c r="U607" s="85" t="n"/>
      <c r="V607" s="85" t="n"/>
      <c r="W607" s="85" t="n"/>
      <c r="X607" s="85" t="n"/>
      <c r="Y607" s="85" t="n"/>
      <c r="Z607" s="85" t="n"/>
    </row>
    <row r="608" ht="15.75" customHeight="1" s="86">
      <c r="T608" s="85" t="n"/>
      <c r="U608" s="85" t="n"/>
      <c r="V608" s="85" t="n"/>
      <c r="W608" s="85" t="n"/>
      <c r="X608" s="85" t="n"/>
      <c r="Y608" s="85" t="n"/>
      <c r="Z608" s="85" t="n"/>
    </row>
    <row r="609" ht="15.75" customHeight="1" s="86">
      <c r="T609" s="85" t="n"/>
      <c r="U609" s="85" t="n"/>
      <c r="V609" s="85" t="n"/>
      <c r="W609" s="85" t="n"/>
      <c r="X609" s="85" t="n"/>
      <c r="Y609" s="85" t="n"/>
      <c r="Z609" s="85" t="n"/>
    </row>
    <row r="610" ht="15.75" customHeight="1" s="86">
      <c r="T610" s="85" t="n"/>
      <c r="U610" s="85" t="n"/>
      <c r="V610" s="85" t="n"/>
      <c r="W610" s="85" t="n"/>
      <c r="X610" s="85" t="n"/>
      <c r="Y610" s="85" t="n"/>
      <c r="Z610" s="85" t="n"/>
    </row>
    <row r="611" ht="15.75" customHeight="1" s="86">
      <c r="T611" s="85" t="n"/>
      <c r="U611" s="85" t="n"/>
      <c r="V611" s="85" t="n"/>
      <c r="W611" s="85" t="n"/>
      <c r="X611" s="85" t="n"/>
      <c r="Y611" s="85" t="n"/>
      <c r="Z611" s="85" t="n"/>
    </row>
    <row r="612" ht="15.75" customHeight="1" s="86">
      <c r="T612" s="85" t="n"/>
      <c r="U612" s="85" t="n"/>
      <c r="V612" s="85" t="n"/>
      <c r="W612" s="85" t="n"/>
      <c r="X612" s="85" t="n"/>
      <c r="Y612" s="85" t="n"/>
      <c r="Z612" s="85" t="n"/>
    </row>
    <row r="613" ht="15.75" customHeight="1" s="86">
      <c r="T613" s="85" t="n"/>
      <c r="U613" s="85" t="n"/>
      <c r="V613" s="85" t="n"/>
      <c r="W613" s="85" t="n"/>
      <c r="X613" s="85" t="n"/>
      <c r="Y613" s="85" t="n"/>
      <c r="Z613" s="85" t="n"/>
    </row>
    <row r="614" ht="15.75" customHeight="1" s="86">
      <c r="T614" s="85" t="n"/>
      <c r="U614" s="85" t="n"/>
      <c r="V614" s="85" t="n"/>
      <c r="W614" s="85" t="n"/>
      <c r="X614" s="85" t="n"/>
      <c r="Y614" s="85" t="n"/>
      <c r="Z614" s="85" t="n"/>
    </row>
    <row r="615" ht="15.75" customHeight="1" s="86">
      <c r="T615" s="85" t="n"/>
      <c r="U615" s="85" t="n"/>
      <c r="V615" s="85" t="n"/>
      <c r="W615" s="85" t="n"/>
      <c r="X615" s="85" t="n"/>
      <c r="Y615" s="85" t="n"/>
      <c r="Z615" s="85" t="n"/>
    </row>
    <row r="616" ht="15.75" customHeight="1" s="86">
      <c r="T616" s="85" t="n"/>
      <c r="U616" s="85" t="n"/>
      <c r="V616" s="85" t="n"/>
      <c r="W616" s="85" t="n"/>
      <c r="X616" s="85" t="n"/>
      <c r="Y616" s="85" t="n"/>
      <c r="Z616" s="85" t="n"/>
    </row>
    <row r="617" ht="15.75" customHeight="1" s="86">
      <c r="T617" s="85" t="n"/>
      <c r="U617" s="85" t="n"/>
      <c r="V617" s="85" t="n"/>
      <c r="W617" s="85" t="n"/>
      <c r="X617" s="85" t="n"/>
      <c r="Y617" s="85" t="n"/>
      <c r="Z617" s="85" t="n"/>
    </row>
    <row r="618" ht="15.75" customHeight="1" s="86">
      <c r="T618" s="85" t="n"/>
      <c r="U618" s="85" t="n"/>
      <c r="V618" s="85" t="n"/>
      <c r="W618" s="85" t="n"/>
      <c r="X618" s="85" t="n"/>
      <c r="Y618" s="85" t="n"/>
      <c r="Z618" s="85" t="n"/>
    </row>
    <row r="619" ht="15.75" customHeight="1" s="86">
      <c r="T619" s="85" t="n"/>
      <c r="U619" s="85" t="n"/>
      <c r="V619" s="85" t="n"/>
      <c r="W619" s="85" t="n"/>
      <c r="X619" s="85" t="n"/>
      <c r="Y619" s="85" t="n"/>
      <c r="Z619" s="85" t="n"/>
    </row>
    <row r="620" ht="15.75" customHeight="1" s="86">
      <c r="T620" s="85" t="n"/>
      <c r="U620" s="85" t="n"/>
      <c r="V620" s="85" t="n"/>
      <c r="W620" s="85" t="n"/>
      <c r="X620" s="85" t="n"/>
      <c r="Y620" s="85" t="n"/>
      <c r="Z620" s="85" t="n"/>
    </row>
    <row r="621" ht="15.75" customHeight="1" s="86">
      <c r="T621" s="85" t="n"/>
      <c r="U621" s="85" t="n"/>
      <c r="V621" s="85" t="n"/>
      <c r="W621" s="85" t="n"/>
      <c r="X621" s="85" t="n"/>
      <c r="Y621" s="85" t="n"/>
      <c r="Z621" s="85" t="n"/>
    </row>
    <row r="622" ht="15.75" customHeight="1" s="86">
      <c r="T622" s="85" t="n"/>
      <c r="U622" s="85" t="n"/>
      <c r="V622" s="85" t="n"/>
      <c r="W622" s="85" t="n"/>
      <c r="X622" s="85" t="n"/>
      <c r="Y622" s="85" t="n"/>
      <c r="Z622" s="85" t="n"/>
    </row>
    <row r="623" ht="15.75" customHeight="1" s="86">
      <c r="T623" s="85" t="n"/>
      <c r="U623" s="85" t="n"/>
      <c r="V623" s="85" t="n"/>
      <c r="W623" s="85" t="n"/>
      <c r="X623" s="85" t="n"/>
      <c r="Y623" s="85" t="n"/>
      <c r="Z623" s="85" t="n"/>
    </row>
    <row r="624" ht="15.75" customHeight="1" s="86">
      <c r="T624" s="85" t="n"/>
      <c r="U624" s="85" t="n"/>
      <c r="V624" s="85" t="n"/>
      <c r="W624" s="85" t="n"/>
      <c r="X624" s="85" t="n"/>
      <c r="Y624" s="85" t="n"/>
      <c r="Z624" s="85" t="n"/>
    </row>
    <row r="625" ht="15.75" customHeight="1" s="86">
      <c r="T625" s="85" t="n"/>
      <c r="U625" s="85" t="n"/>
      <c r="V625" s="85" t="n"/>
      <c r="W625" s="85" t="n"/>
      <c r="X625" s="85" t="n"/>
      <c r="Y625" s="85" t="n"/>
      <c r="Z625" s="85" t="n"/>
    </row>
    <row r="626" ht="15.75" customHeight="1" s="86">
      <c r="T626" s="85" t="n"/>
      <c r="U626" s="85" t="n"/>
      <c r="V626" s="85" t="n"/>
      <c r="W626" s="85" t="n"/>
      <c r="X626" s="85" t="n"/>
      <c r="Y626" s="85" t="n"/>
      <c r="Z626" s="85" t="n"/>
    </row>
    <row r="627" ht="15.75" customHeight="1" s="86">
      <c r="T627" s="85" t="n"/>
      <c r="U627" s="85" t="n"/>
      <c r="V627" s="85" t="n"/>
      <c r="W627" s="85" t="n"/>
      <c r="X627" s="85" t="n"/>
      <c r="Y627" s="85" t="n"/>
      <c r="Z627" s="85" t="n"/>
    </row>
    <row r="628" ht="15.75" customHeight="1" s="86">
      <c r="T628" s="85" t="n"/>
      <c r="U628" s="85" t="n"/>
      <c r="V628" s="85" t="n"/>
      <c r="W628" s="85" t="n"/>
      <c r="X628" s="85" t="n"/>
      <c r="Y628" s="85" t="n"/>
      <c r="Z628" s="85" t="n"/>
    </row>
    <row r="629" ht="15.75" customHeight="1" s="86">
      <c r="T629" s="85" t="n"/>
      <c r="U629" s="85" t="n"/>
      <c r="V629" s="85" t="n"/>
      <c r="W629" s="85" t="n"/>
      <c r="X629" s="85" t="n"/>
      <c r="Y629" s="85" t="n"/>
      <c r="Z629" s="85" t="n"/>
    </row>
    <row r="630" ht="15.75" customHeight="1" s="86">
      <c r="T630" s="85" t="n"/>
      <c r="U630" s="85" t="n"/>
      <c r="V630" s="85" t="n"/>
      <c r="W630" s="85" t="n"/>
      <c r="X630" s="85" t="n"/>
      <c r="Y630" s="85" t="n"/>
      <c r="Z630" s="85" t="n"/>
    </row>
    <row r="631" ht="15.75" customHeight="1" s="86">
      <c r="T631" s="85" t="n"/>
      <c r="U631" s="85" t="n"/>
      <c r="V631" s="85" t="n"/>
      <c r="W631" s="85" t="n"/>
      <c r="X631" s="85" t="n"/>
      <c r="Y631" s="85" t="n"/>
      <c r="Z631" s="85" t="n"/>
    </row>
    <row r="632" ht="15.75" customHeight="1" s="86">
      <c r="T632" s="85" t="n"/>
      <c r="U632" s="85" t="n"/>
      <c r="V632" s="85" t="n"/>
      <c r="W632" s="85" t="n"/>
      <c r="X632" s="85" t="n"/>
      <c r="Y632" s="85" t="n"/>
      <c r="Z632" s="85" t="n"/>
    </row>
    <row r="633" ht="15.75" customHeight="1" s="86">
      <c r="T633" s="85" t="n"/>
      <c r="U633" s="85" t="n"/>
      <c r="V633" s="85" t="n"/>
      <c r="W633" s="85" t="n"/>
      <c r="X633" s="85" t="n"/>
      <c r="Y633" s="85" t="n"/>
      <c r="Z633" s="85" t="n"/>
    </row>
    <row r="634" ht="15.75" customHeight="1" s="86">
      <c r="T634" s="85" t="n"/>
      <c r="U634" s="85" t="n"/>
      <c r="V634" s="85" t="n"/>
      <c r="W634" s="85" t="n"/>
      <c r="X634" s="85" t="n"/>
      <c r="Y634" s="85" t="n"/>
      <c r="Z634" s="85" t="n"/>
    </row>
    <row r="635" ht="15.75" customHeight="1" s="86">
      <c r="T635" s="85" t="n"/>
      <c r="U635" s="85" t="n"/>
      <c r="V635" s="85" t="n"/>
      <c r="W635" s="85" t="n"/>
      <c r="X635" s="85" t="n"/>
      <c r="Y635" s="85" t="n"/>
      <c r="Z635" s="85" t="n"/>
    </row>
    <row r="636" ht="15.75" customHeight="1" s="86">
      <c r="T636" s="85" t="n"/>
      <c r="U636" s="85" t="n"/>
      <c r="V636" s="85" t="n"/>
      <c r="W636" s="85" t="n"/>
      <c r="X636" s="85" t="n"/>
      <c r="Y636" s="85" t="n"/>
      <c r="Z636" s="85" t="n"/>
    </row>
    <row r="637" ht="15.75" customHeight="1" s="86">
      <c r="T637" s="85" t="n"/>
      <c r="U637" s="85" t="n"/>
      <c r="V637" s="85" t="n"/>
      <c r="W637" s="85" t="n"/>
      <c r="X637" s="85" t="n"/>
      <c r="Y637" s="85" t="n"/>
      <c r="Z637" s="85" t="n"/>
    </row>
    <row r="638" ht="15.75" customHeight="1" s="86">
      <c r="T638" s="85" t="n"/>
      <c r="U638" s="85" t="n"/>
      <c r="V638" s="85" t="n"/>
      <c r="W638" s="85" t="n"/>
      <c r="X638" s="85" t="n"/>
      <c r="Y638" s="85" t="n"/>
      <c r="Z638" s="85" t="n"/>
    </row>
    <row r="639" ht="15.75" customHeight="1" s="86">
      <c r="T639" s="85" t="n"/>
      <c r="U639" s="85" t="n"/>
      <c r="V639" s="85" t="n"/>
      <c r="W639" s="85" t="n"/>
      <c r="X639" s="85" t="n"/>
      <c r="Y639" s="85" t="n"/>
      <c r="Z639" s="85" t="n"/>
    </row>
    <row r="640" ht="15.75" customHeight="1" s="86">
      <c r="T640" s="85" t="n"/>
      <c r="U640" s="85" t="n"/>
      <c r="V640" s="85" t="n"/>
      <c r="W640" s="85" t="n"/>
      <c r="X640" s="85" t="n"/>
      <c r="Y640" s="85" t="n"/>
      <c r="Z640" s="85" t="n"/>
    </row>
    <row r="641" ht="15.75" customHeight="1" s="86">
      <c r="T641" s="85" t="n"/>
      <c r="U641" s="85" t="n"/>
      <c r="V641" s="85" t="n"/>
      <c r="W641" s="85" t="n"/>
      <c r="X641" s="85" t="n"/>
      <c r="Y641" s="85" t="n"/>
      <c r="Z641" s="85" t="n"/>
    </row>
    <row r="642" ht="15.75" customHeight="1" s="86">
      <c r="T642" s="85" t="n"/>
      <c r="U642" s="85" t="n"/>
      <c r="V642" s="85" t="n"/>
      <c r="W642" s="85" t="n"/>
      <c r="X642" s="85" t="n"/>
      <c r="Y642" s="85" t="n"/>
      <c r="Z642" s="85" t="n"/>
    </row>
    <row r="643" ht="15.75" customHeight="1" s="86">
      <c r="T643" s="85" t="n"/>
      <c r="U643" s="85" t="n"/>
      <c r="V643" s="85" t="n"/>
      <c r="W643" s="85" t="n"/>
      <c r="X643" s="85" t="n"/>
      <c r="Y643" s="85" t="n"/>
      <c r="Z643" s="85" t="n"/>
    </row>
    <row r="644" ht="15.75" customHeight="1" s="86">
      <c r="T644" s="85" t="n"/>
      <c r="U644" s="85" t="n"/>
      <c r="V644" s="85" t="n"/>
      <c r="W644" s="85" t="n"/>
      <c r="X644" s="85" t="n"/>
      <c r="Y644" s="85" t="n"/>
      <c r="Z644" s="85" t="n"/>
    </row>
    <row r="645" ht="15.75" customHeight="1" s="86">
      <c r="T645" s="85" t="n"/>
      <c r="U645" s="85" t="n"/>
      <c r="V645" s="85" t="n"/>
      <c r="W645" s="85" t="n"/>
      <c r="X645" s="85" t="n"/>
      <c r="Y645" s="85" t="n"/>
      <c r="Z645" s="85" t="n"/>
    </row>
    <row r="646" ht="15.75" customHeight="1" s="86">
      <c r="T646" s="85" t="n"/>
      <c r="U646" s="85" t="n"/>
      <c r="V646" s="85" t="n"/>
      <c r="W646" s="85" t="n"/>
      <c r="X646" s="85" t="n"/>
      <c r="Y646" s="85" t="n"/>
      <c r="Z646" s="85" t="n"/>
    </row>
    <row r="647" ht="15.75" customHeight="1" s="86">
      <c r="T647" s="85" t="n"/>
      <c r="U647" s="85" t="n"/>
      <c r="V647" s="85" t="n"/>
      <c r="W647" s="85" t="n"/>
      <c r="X647" s="85" t="n"/>
      <c r="Y647" s="85" t="n"/>
      <c r="Z647" s="85" t="n"/>
    </row>
    <row r="648" ht="15.75" customHeight="1" s="86">
      <c r="T648" s="85" t="n"/>
      <c r="U648" s="85" t="n"/>
      <c r="V648" s="85" t="n"/>
      <c r="W648" s="85" t="n"/>
      <c r="X648" s="85" t="n"/>
      <c r="Y648" s="85" t="n"/>
      <c r="Z648" s="85" t="n"/>
    </row>
    <row r="649" ht="15.75" customHeight="1" s="86">
      <c r="T649" s="85" t="n"/>
      <c r="U649" s="85" t="n"/>
      <c r="V649" s="85" t="n"/>
      <c r="W649" s="85" t="n"/>
      <c r="X649" s="85" t="n"/>
      <c r="Y649" s="85" t="n"/>
      <c r="Z649" s="85" t="n"/>
    </row>
    <row r="650" ht="15.75" customHeight="1" s="86">
      <c r="T650" s="85" t="n"/>
      <c r="U650" s="85" t="n"/>
      <c r="V650" s="85" t="n"/>
      <c r="W650" s="85" t="n"/>
      <c r="X650" s="85" t="n"/>
      <c r="Y650" s="85" t="n"/>
      <c r="Z650" s="85" t="n"/>
    </row>
    <row r="651" ht="15.75" customHeight="1" s="86">
      <c r="T651" s="85" t="n"/>
      <c r="U651" s="85" t="n"/>
      <c r="V651" s="85" t="n"/>
      <c r="W651" s="85" t="n"/>
      <c r="X651" s="85" t="n"/>
      <c r="Y651" s="85" t="n"/>
      <c r="Z651" s="85" t="n"/>
    </row>
    <row r="652" ht="15.75" customHeight="1" s="86">
      <c r="T652" s="85" t="n"/>
      <c r="U652" s="85" t="n"/>
      <c r="V652" s="85" t="n"/>
      <c r="W652" s="85" t="n"/>
      <c r="X652" s="85" t="n"/>
      <c r="Y652" s="85" t="n"/>
      <c r="Z652" s="85" t="n"/>
    </row>
    <row r="653" ht="15.75" customHeight="1" s="86">
      <c r="T653" s="85" t="n"/>
      <c r="U653" s="85" t="n"/>
      <c r="V653" s="85" t="n"/>
      <c r="W653" s="85" t="n"/>
      <c r="X653" s="85" t="n"/>
      <c r="Y653" s="85" t="n"/>
      <c r="Z653" s="85" t="n"/>
    </row>
    <row r="654" ht="15.75" customHeight="1" s="86">
      <c r="T654" s="85" t="n"/>
      <c r="U654" s="85" t="n"/>
      <c r="V654" s="85" t="n"/>
      <c r="W654" s="85" t="n"/>
      <c r="X654" s="85" t="n"/>
      <c r="Y654" s="85" t="n"/>
      <c r="Z654" s="85" t="n"/>
    </row>
    <row r="655" ht="15.75" customHeight="1" s="86">
      <c r="T655" s="85" t="n"/>
      <c r="U655" s="85" t="n"/>
      <c r="V655" s="85" t="n"/>
      <c r="W655" s="85" t="n"/>
      <c r="X655" s="85" t="n"/>
      <c r="Y655" s="85" t="n"/>
      <c r="Z655" s="85" t="n"/>
    </row>
    <row r="656" ht="15.75" customHeight="1" s="86">
      <c r="T656" s="85" t="n"/>
      <c r="U656" s="85" t="n"/>
      <c r="V656" s="85" t="n"/>
      <c r="W656" s="85" t="n"/>
      <c r="X656" s="85" t="n"/>
      <c r="Y656" s="85" t="n"/>
      <c r="Z656" s="85" t="n"/>
    </row>
    <row r="657" ht="15.75" customHeight="1" s="86">
      <c r="T657" s="85" t="n"/>
      <c r="U657" s="85" t="n"/>
      <c r="V657" s="85" t="n"/>
      <c r="W657" s="85" t="n"/>
      <c r="X657" s="85" t="n"/>
      <c r="Y657" s="85" t="n"/>
      <c r="Z657" s="85" t="n"/>
    </row>
    <row r="658" ht="15.75" customHeight="1" s="86">
      <c r="T658" s="85" t="n"/>
      <c r="U658" s="85" t="n"/>
      <c r="V658" s="85" t="n"/>
      <c r="W658" s="85" t="n"/>
      <c r="X658" s="85" t="n"/>
      <c r="Y658" s="85" t="n"/>
      <c r="Z658" s="85" t="n"/>
    </row>
    <row r="659" ht="15.75" customHeight="1" s="86">
      <c r="T659" s="85" t="n"/>
      <c r="U659" s="85" t="n"/>
      <c r="V659" s="85" t="n"/>
      <c r="W659" s="85" t="n"/>
      <c r="X659" s="85" t="n"/>
      <c r="Y659" s="85" t="n"/>
      <c r="Z659" s="85" t="n"/>
    </row>
    <row r="660" ht="15.75" customHeight="1" s="86">
      <c r="T660" s="85" t="n"/>
      <c r="U660" s="85" t="n"/>
      <c r="V660" s="85" t="n"/>
      <c r="W660" s="85" t="n"/>
      <c r="X660" s="85" t="n"/>
      <c r="Y660" s="85" t="n"/>
      <c r="Z660" s="85" t="n"/>
    </row>
    <row r="661" ht="15.75" customHeight="1" s="86">
      <c r="T661" s="85" t="n"/>
      <c r="U661" s="85" t="n"/>
      <c r="V661" s="85" t="n"/>
      <c r="W661" s="85" t="n"/>
      <c r="X661" s="85" t="n"/>
      <c r="Y661" s="85" t="n"/>
      <c r="Z661" s="85" t="n"/>
    </row>
    <row r="662" ht="15.75" customHeight="1" s="86">
      <c r="T662" s="85" t="n"/>
      <c r="U662" s="85" t="n"/>
      <c r="V662" s="85" t="n"/>
      <c r="W662" s="85" t="n"/>
      <c r="X662" s="85" t="n"/>
      <c r="Y662" s="85" t="n"/>
      <c r="Z662" s="85" t="n"/>
    </row>
    <row r="663" ht="15.75" customHeight="1" s="86">
      <c r="T663" s="85" t="n"/>
      <c r="U663" s="85" t="n"/>
      <c r="V663" s="85" t="n"/>
      <c r="W663" s="85" t="n"/>
      <c r="X663" s="85" t="n"/>
      <c r="Y663" s="85" t="n"/>
      <c r="Z663" s="85" t="n"/>
    </row>
    <row r="664" ht="15.75" customHeight="1" s="86">
      <c r="T664" s="85" t="n"/>
      <c r="U664" s="85" t="n"/>
      <c r="V664" s="85" t="n"/>
      <c r="W664" s="85" t="n"/>
      <c r="X664" s="85" t="n"/>
      <c r="Y664" s="85" t="n"/>
      <c r="Z664" s="85" t="n"/>
    </row>
    <row r="665" ht="15.75" customHeight="1" s="86">
      <c r="T665" s="85" t="n"/>
      <c r="U665" s="85" t="n"/>
      <c r="V665" s="85" t="n"/>
      <c r="W665" s="85" t="n"/>
      <c r="X665" s="85" t="n"/>
      <c r="Y665" s="85" t="n"/>
      <c r="Z665" s="85" t="n"/>
    </row>
    <row r="666" ht="15.75" customHeight="1" s="86">
      <c r="T666" s="85" t="n"/>
      <c r="U666" s="85" t="n"/>
      <c r="V666" s="85" t="n"/>
      <c r="W666" s="85" t="n"/>
      <c r="X666" s="85" t="n"/>
      <c r="Y666" s="85" t="n"/>
      <c r="Z666" s="85" t="n"/>
    </row>
    <row r="667" ht="15.75" customHeight="1" s="86">
      <c r="T667" s="85" t="n"/>
      <c r="U667" s="85" t="n"/>
      <c r="V667" s="85" t="n"/>
      <c r="W667" s="85" t="n"/>
      <c r="X667" s="85" t="n"/>
      <c r="Y667" s="85" t="n"/>
      <c r="Z667" s="85" t="n"/>
    </row>
    <row r="668" ht="15.75" customHeight="1" s="86">
      <c r="T668" s="85" t="n"/>
      <c r="U668" s="85" t="n"/>
      <c r="V668" s="85" t="n"/>
      <c r="W668" s="85" t="n"/>
      <c r="X668" s="85" t="n"/>
      <c r="Y668" s="85" t="n"/>
      <c r="Z668" s="85" t="n"/>
    </row>
    <row r="669" ht="15.75" customHeight="1" s="86">
      <c r="T669" s="85" t="n"/>
      <c r="U669" s="85" t="n"/>
      <c r="V669" s="85" t="n"/>
      <c r="W669" s="85" t="n"/>
      <c r="X669" s="85" t="n"/>
      <c r="Y669" s="85" t="n"/>
      <c r="Z669" s="85" t="n"/>
    </row>
    <row r="670" ht="15.75" customHeight="1" s="86">
      <c r="T670" s="85" t="n"/>
      <c r="U670" s="85" t="n"/>
      <c r="V670" s="85" t="n"/>
      <c r="W670" s="85" t="n"/>
      <c r="X670" s="85" t="n"/>
      <c r="Y670" s="85" t="n"/>
      <c r="Z670" s="85" t="n"/>
    </row>
    <row r="671" ht="15.75" customHeight="1" s="86">
      <c r="T671" s="85" t="n"/>
      <c r="U671" s="85" t="n"/>
      <c r="V671" s="85" t="n"/>
      <c r="W671" s="85" t="n"/>
      <c r="X671" s="85" t="n"/>
      <c r="Y671" s="85" t="n"/>
      <c r="Z671" s="85" t="n"/>
    </row>
    <row r="672" ht="15.75" customHeight="1" s="86">
      <c r="T672" s="85" t="n"/>
      <c r="U672" s="85" t="n"/>
      <c r="V672" s="85" t="n"/>
      <c r="W672" s="85" t="n"/>
      <c r="X672" s="85" t="n"/>
      <c r="Y672" s="85" t="n"/>
      <c r="Z672" s="85" t="n"/>
    </row>
    <row r="673" ht="15.75" customHeight="1" s="86">
      <c r="T673" s="85" t="n"/>
      <c r="U673" s="85" t="n"/>
      <c r="V673" s="85" t="n"/>
      <c r="W673" s="85" t="n"/>
      <c r="X673" s="85" t="n"/>
      <c r="Y673" s="85" t="n"/>
      <c r="Z673" s="85" t="n"/>
    </row>
    <row r="674" ht="15.75" customHeight="1" s="86">
      <c r="T674" s="85" t="n"/>
      <c r="U674" s="85" t="n"/>
      <c r="V674" s="85" t="n"/>
      <c r="W674" s="85" t="n"/>
      <c r="X674" s="85" t="n"/>
      <c r="Y674" s="85" t="n"/>
      <c r="Z674" s="85" t="n"/>
    </row>
    <row r="675" ht="15.75" customHeight="1" s="86">
      <c r="T675" s="85" t="n"/>
      <c r="U675" s="85" t="n"/>
      <c r="V675" s="85" t="n"/>
      <c r="W675" s="85" t="n"/>
      <c r="X675" s="85" t="n"/>
      <c r="Y675" s="85" t="n"/>
      <c r="Z675" s="85" t="n"/>
    </row>
    <row r="676" ht="15.75" customHeight="1" s="86">
      <c r="T676" s="85" t="n"/>
      <c r="U676" s="85" t="n"/>
      <c r="V676" s="85" t="n"/>
      <c r="W676" s="85" t="n"/>
      <c r="X676" s="85" t="n"/>
      <c r="Y676" s="85" t="n"/>
      <c r="Z676" s="85" t="n"/>
    </row>
    <row r="677" ht="15.75" customHeight="1" s="86">
      <c r="T677" s="85" t="n"/>
      <c r="U677" s="85" t="n"/>
      <c r="V677" s="85" t="n"/>
      <c r="W677" s="85" t="n"/>
      <c r="X677" s="85" t="n"/>
      <c r="Y677" s="85" t="n"/>
      <c r="Z677" s="85" t="n"/>
    </row>
    <row r="678" ht="15.75" customHeight="1" s="86">
      <c r="T678" s="85" t="n"/>
      <c r="U678" s="85" t="n"/>
      <c r="V678" s="85" t="n"/>
      <c r="W678" s="85" t="n"/>
      <c r="X678" s="85" t="n"/>
      <c r="Y678" s="85" t="n"/>
      <c r="Z678" s="85" t="n"/>
    </row>
    <row r="679" ht="15.75" customHeight="1" s="86">
      <c r="T679" s="85" t="n"/>
      <c r="U679" s="85" t="n"/>
      <c r="V679" s="85" t="n"/>
      <c r="W679" s="85" t="n"/>
      <c r="X679" s="85" t="n"/>
      <c r="Y679" s="85" t="n"/>
      <c r="Z679" s="85" t="n"/>
    </row>
    <row r="680" ht="15.75" customHeight="1" s="86">
      <c r="T680" s="85" t="n"/>
      <c r="U680" s="85" t="n"/>
      <c r="V680" s="85" t="n"/>
      <c r="W680" s="85" t="n"/>
      <c r="X680" s="85" t="n"/>
      <c r="Y680" s="85" t="n"/>
      <c r="Z680" s="85" t="n"/>
    </row>
    <row r="681" ht="15.75" customHeight="1" s="86">
      <c r="T681" s="85" t="n"/>
      <c r="U681" s="85" t="n"/>
      <c r="V681" s="85" t="n"/>
      <c r="W681" s="85" t="n"/>
      <c r="X681" s="85" t="n"/>
      <c r="Y681" s="85" t="n"/>
      <c r="Z681" s="85" t="n"/>
    </row>
    <row r="682" ht="15.75" customHeight="1" s="86">
      <c r="T682" s="85" t="n"/>
      <c r="U682" s="85" t="n"/>
      <c r="V682" s="85" t="n"/>
      <c r="W682" s="85" t="n"/>
      <c r="X682" s="85" t="n"/>
      <c r="Y682" s="85" t="n"/>
      <c r="Z682" s="85" t="n"/>
    </row>
    <row r="683" ht="15.75" customHeight="1" s="86">
      <c r="T683" s="85" t="n"/>
      <c r="U683" s="85" t="n"/>
      <c r="V683" s="85" t="n"/>
      <c r="W683" s="85" t="n"/>
      <c r="X683" s="85" t="n"/>
      <c r="Y683" s="85" t="n"/>
      <c r="Z683" s="85" t="n"/>
    </row>
    <row r="684" ht="15.75" customHeight="1" s="86">
      <c r="T684" s="85" t="n"/>
      <c r="U684" s="85" t="n"/>
      <c r="V684" s="85" t="n"/>
      <c r="W684" s="85" t="n"/>
      <c r="X684" s="85" t="n"/>
      <c r="Y684" s="85" t="n"/>
      <c r="Z684" s="85" t="n"/>
    </row>
    <row r="685" ht="15.75" customHeight="1" s="86">
      <c r="T685" s="85" t="n"/>
      <c r="U685" s="85" t="n"/>
      <c r="V685" s="85" t="n"/>
      <c r="W685" s="85" t="n"/>
      <c r="X685" s="85" t="n"/>
      <c r="Y685" s="85" t="n"/>
      <c r="Z685" s="85" t="n"/>
    </row>
    <row r="686" ht="15.75" customHeight="1" s="86">
      <c r="T686" s="85" t="n"/>
      <c r="U686" s="85" t="n"/>
      <c r="V686" s="85" t="n"/>
      <c r="W686" s="85" t="n"/>
      <c r="X686" s="85" t="n"/>
      <c r="Y686" s="85" t="n"/>
      <c r="Z686" s="85" t="n"/>
    </row>
    <row r="687" ht="15.75" customHeight="1" s="86">
      <c r="T687" s="85" t="n"/>
      <c r="U687" s="85" t="n"/>
      <c r="V687" s="85" t="n"/>
      <c r="W687" s="85" t="n"/>
      <c r="X687" s="85" t="n"/>
      <c r="Y687" s="85" t="n"/>
      <c r="Z687" s="85" t="n"/>
    </row>
    <row r="688" ht="15.75" customHeight="1" s="86">
      <c r="T688" s="85" t="n"/>
      <c r="U688" s="85" t="n"/>
      <c r="V688" s="85" t="n"/>
      <c r="W688" s="85" t="n"/>
      <c r="X688" s="85" t="n"/>
      <c r="Y688" s="85" t="n"/>
      <c r="Z688" s="85" t="n"/>
    </row>
    <row r="689" ht="15.75" customHeight="1" s="86">
      <c r="T689" s="85" t="n"/>
      <c r="U689" s="85" t="n"/>
      <c r="V689" s="85" t="n"/>
      <c r="W689" s="85" t="n"/>
      <c r="X689" s="85" t="n"/>
      <c r="Y689" s="85" t="n"/>
      <c r="Z689" s="85" t="n"/>
    </row>
    <row r="690" ht="15.75" customHeight="1" s="86">
      <c r="T690" s="85" t="n"/>
      <c r="U690" s="85" t="n"/>
      <c r="V690" s="85" t="n"/>
      <c r="W690" s="85" t="n"/>
      <c r="X690" s="85" t="n"/>
      <c r="Y690" s="85" t="n"/>
      <c r="Z690" s="85" t="n"/>
    </row>
    <row r="691" ht="15.75" customHeight="1" s="86">
      <c r="T691" s="85" t="n"/>
      <c r="U691" s="85" t="n"/>
      <c r="V691" s="85" t="n"/>
      <c r="W691" s="85" t="n"/>
      <c r="X691" s="85" t="n"/>
      <c r="Y691" s="85" t="n"/>
      <c r="Z691" s="85" t="n"/>
    </row>
    <row r="692" ht="15.75" customHeight="1" s="86">
      <c r="T692" s="85" t="n"/>
      <c r="U692" s="85" t="n"/>
      <c r="V692" s="85" t="n"/>
      <c r="W692" s="85" t="n"/>
      <c r="X692" s="85" t="n"/>
      <c r="Y692" s="85" t="n"/>
      <c r="Z692" s="85" t="n"/>
    </row>
    <row r="693" ht="15.75" customHeight="1" s="86">
      <c r="T693" s="85" t="n"/>
      <c r="U693" s="85" t="n"/>
      <c r="V693" s="85" t="n"/>
      <c r="W693" s="85" t="n"/>
      <c r="X693" s="85" t="n"/>
      <c r="Y693" s="85" t="n"/>
      <c r="Z693" s="85" t="n"/>
    </row>
    <row r="694" ht="15.75" customHeight="1" s="86">
      <c r="T694" s="85" t="n"/>
      <c r="U694" s="85" t="n"/>
      <c r="V694" s="85" t="n"/>
      <c r="W694" s="85" t="n"/>
      <c r="X694" s="85" t="n"/>
      <c r="Y694" s="85" t="n"/>
      <c r="Z694" s="85" t="n"/>
    </row>
    <row r="695" ht="15.75" customHeight="1" s="86">
      <c r="T695" s="85" t="n"/>
      <c r="U695" s="85" t="n"/>
      <c r="V695" s="85" t="n"/>
      <c r="W695" s="85" t="n"/>
      <c r="X695" s="85" t="n"/>
      <c r="Y695" s="85" t="n"/>
      <c r="Z695" s="85" t="n"/>
    </row>
    <row r="696" ht="15.75" customHeight="1" s="86">
      <c r="T696" s="85" t="n"/>
      <c r="U696" s="85" t="n"/>
      <c r="V696" s="85" t="n"/>
      <c r="W696" s="85" t="n"/>
      <c r="X696" s="85" t="n"/>
      <c r="Y696" s="85" t="n"/>
      <c r="Z696" s="85" t="n"/>
    </row>
    <row r="697" ht="15.75" customHeight="1" s="86">
      <c r="T697" s="85" t="n"/>
      <c r="U697" s="85" t="n"/>
      <c r="V697" s="85" t="n"/>
      <c r="W697" s="85" t="n"/>
      <c r="X697" s="85" t="n"/>
      <c r="Y697" s="85" t="n"/>
      <c r="Z697" s="85" t="n"/>
    </row>
    <row r="698" ht="15.75" customHeight="1" s="86">
      <c r="T698" s="85" t="n"/>
      <c r="U698" s="85" t="n"/>
      <c r="V698" s="85" t="n"/>
      <c r="W698" s="85" t="n"/>
      <c r="X698" s="85" t="n"/>
      <c r="Y698" s="85" t="n"/>
      <c r="Z698" s="85" t="n"/>
    </row>
    <row r="699" ht="15.75" customHeight="1" s="86">
      <c r="T699" s="85" t="n"/>
      <c r="U699" s="85" t="n"/>
      <c r="V699" s="85" t="n"/>
      <c r="W699" s="85" t="n"/>
      <c r="X699" s="85" t="n"/>
      <c r="Y699" s="85" t="n"/>
      <c r="Z699" s="85" t="n"/>
    </row>
    <row r="700" ht="15.75" customHeight="1" s="86">
      <c r="T700" s="85" t="n"/>
      <c r="U700" s="85" t="n"/>
      <c r="V700" s="85" t="n"/>
      <c r="W700" s="85" t="n"/>
      <c r="X700" s="85" t="n"/>
      <c r="Y700" s="85" t="n"/>
      <c r="Z700" s="85" t="n"/>
    </row>
    <row r="701" ht="15.75" customHeight="1" s="86">
      <c r="T701" s="85" t="n"/>
      <c r="U701" s="85" t="n"/>
      <c r="V701" s="85" t="n"/>
      <c r="W701" s="85" t="n"/>
      <c r="X701" s="85" t="n"/>
      <c r="Y701" s="85" t="n"/>
      <c r="Z701" s="85" t="n"/>
    </row>
    <row r="702" ht="15.75" customHeight="1" s="86">
      <c r="T702" s="85" t="n"/>
      <c r="U702" s="85" t="n"/>
      <c r="V702" s="85" t="n"/>
      <c r="W702" s="85" t="n"/>
      <c r="X702" s="85" t="n"/>
      <c r="Y702" s="85" t="n"/>
      <c r="Z702" s="85" t="n"/>
    </row>
    <row r="703" ht="15.75" customHeight="1" s="86">
      <c r="T703" s="85" t="n"/>
      <c r="U703" s="85" t="n"/>
      <c r="V703" s="85" t="n"/>
      <c r="W703" s="85" t="n"/>
      <c r="X703" s="85" t="n"/>
      <c r="Y703" s="85" t="n"/>
      <c r="Z703" s="85" t="n"/>
    </row>
    <row r="704" ht="15.75" customHeight="1" s="86">
      <c r="T704" s="85" t="n"/>
      <c r="U704" s="85" t="n"/>
      <c r="V704" s="85" t="n"/>
      <c r="W704" s="85" t="n"/>
      <c r="X704" s="85" t="n"/>
      <c r="Y704" s="85" t="n"/>
      <c r="Z704" s="85" t="n"/>
    </row>
    <row r="705" ht="15.75" customHeight="1" s="86">
      <c r="T705" s="85" t="n"/>
      <c r="U705" s="85" t="n"/>
      <c r="V705" s="85" t="n"/>
      <c r="W705" s="85" t="n"/>
      <c r="X705" s="85" t="n"/>
      <c r="Y705" s="85" t="n"/>
      <c r="Z705" s="85" t="n"/>
    </row>
    <row r="706" ht="15.75" customHeight="1" s="86">
      <c r="T706" s="85" t="n"/>
      <c r="U706" s="85" t="n"/>
      <c r="V706" s="85" t="n"/>
      <c r="W706" s="85" t="n"/>
      <c r="X706" s="85" t="n"/>
      <c r="Y706" s="85" t="n"/>
      <c r="Z706" s="85" t="n"/>
    </row>
    <row r="707" ht="15.75" customHeight="1" s="86">
      <c r="T707" s="85" t="n"/>
      <c r="U707" s="85" t="n"/>
      <c r="V707" s="85" t="n"/>
      <c r="W707" s="85" t="n"/>
      <c r="X707" s="85" t="n"/>
      <c r="Y707" s="85" t="n"/>
      <c r="Z707" s="85" t="n"/>
    </row>
    <row r="708" ht="15.75" customHeight="1" s="86">
      <c r="T708" s="85" t="n"/>
      <c r="U708" s="85" t="n"/>
      <c r="V708" s="85" t="n"/>
      <c r="W708" s="85" t="n"/>
      <c r="X708" s="85" t="n"/>
      <c r="Y708" s="85" t="n"/>
      <c r="Z708" s="85" t="n"/>
    </row>
    <row r="709" ht="15.75" customHeight="1" s="86">
      <c r="T709" s="85" t="n"/>
      <c r="U709" s="85" t="n"/>
      <c r="V709" s="85" t="n"/>
      <c r="W709" s="85" t="n"/>
      <c r="X709" s="85" t="n"/>
      <c r="Y709" s="85" t="n"/>
      <c r="Z709" s="85" t="n"/>
    </row>
    <row r="710" ht="15.75" customHeight="1" s="86">
      <c r="T710" s="85" t="n"/>
      <c r="U710" s="85" t="n"/>
      <c r="V710" s="85" t="n"/>
      <c r="W710" s="85" t="n"/>
      <c r="X710" s="85" t="n"/>
      <c r="Y710" s="85" t="n"/>
      <c r="Z710" s="85" t="n"/>
    </row>
    <row r="711" ht="15.75" customHeight="1" s="86">
      <c r="T711" s="85" t="n"/>
      <c r="U711" s="85" t="n"/>
      <c r="V711" s="85" t="n"/>
      <c r="W711" s="85" t="n"/>
      <c r="X711" s="85" t="n"/>
      <c r="Y711" s="85" t="n"/>
      <c r="Z711" s="85" t="n"/>
    </row>
    <row r="712" ht="15.75" customHeight="1" s="86">
      <c r="T712" s="85" t="n"/>
      <c r="U712" s="85" t="n"/>
      <c r="V712" s="85" t="n"/>
      <c r="W712" s="85" t="n"/>
      <c r="X712" s="85" t="n"/>
      <c r="Y712" s="85" t="n"/>
      <c r="Z712" s="85" t="n"/>
    </row>
    <row r="713" ht="15.75" customHeight="1" s="86">
      <c r="T713" s="85" t="n"/>
      <c r="U713" s="85" t="n"/>
      <c r="V713" s="85" t="n"/>
      <c r="W713" s="85" t="n"/>
      <c r="X713" s="85" t="n"/>
      <c r="Y713" s="85" t="n"/>
      <c r="Z713" s="85" t="n"/>
    </row>
    <row r="714" ht="15.75" customHeight="1" s="86">
      <c r="T714" s="85" t="n"/>
      <c r="U714" s="85" t="n"/>
      <c r="V714" s="85" t="n"/>
      <c r="W714" s="85" t="n"/>
      <c r="X714" s="85" t="n"/>
      <c r="Y714" s="85" t="n"/>
      <c r="Z714" s="85" t="n"/>
    </row>
    <row r="715" ht="15.75" customHeight="1" s="86">
      <c r="T715" s="85" t="n"/>
      <c r="U715" s="85" t="n"/>
      <c r="V715" s="85" t="n"/>
      <c r="W715" s="85" t="n"/>
      <c r="X715" s="85" t="n"/>
      <c r="Y715" s="85" t="n"/>
      <c r="Z715" s="85" t="n"/>
    </row>
    <row r="716" ht="15.75" customHeight="1" s="86">
      <c r="T716" s="85" t="n"/>
      <c r="U716" s="85" t="n"/>
      <c r="V716" s="85" t="n"/>
      <c r="W716" s="85" t="n"/>
      <c r="X716" s="85" t="n"/>
      <c r="Y716" s="85" t="n"/>
      <c r="Z716" s="85" t="n"/>
    </row>
    <row r="717" ht="15.75" customHeight="1" s="86">
      <c r="T717" s="85" t="n"/>
      <c r="U717" s="85" t="n"/>
      <c r="V717" s="85" t="n"/>
      <c r="W717" s="85" t="n"/>
      <c r="X717" s="85" t="n"/>
      <c r="Y717" s="85" t="n"/>
      <c r="Z717" s="85" t="n"/>
    </row>
    <row r="718" ht="15.75" customHeight="1" s="86">
      <c r="T718" s="85" t="n"/>
      <c r="U718" s="85" t="n"/>
      <c r="V718" s="85" t="n"/>
      <c r="W718" s="85" t="n"/>
      <c r="X718" s="85" t="n"/>
      <c r="Y718" s="85" t="n"/>
      <c r="Z718" s="85" t="n"/>
    </row>
    <row r="719" ht="15.75" customHeight="1" s="86">
      <c r="T719" s="85" t="n"/>
      <c r="U719" s="85" t="n"/>
      <c r="V719" s="85" t="n"/>
      <c r="W719" s="85" t="n"/>
      <c r="X719" s="85" t="n"/>
      <c r="Y719" s="85" t="n"/>
      <c r="Z719" s="85" t="n"/>
    </row>
    <row r="720" ht="15.75" customHeight="1" s="86">
      <c r="T720" s="85" t="n"/>
      <c r="U720" s="85" t="n"/>
      <c r="V720" s="85" t="n"/>
      <c r="W720" s="85" t="n"/>
      <c r="X720" s="85" t="n"/>
      <c r="Y720" s="85" t="n"/>
      <c r="Z720" s="85" t="n"/>
    </row>
    <row r="721" ht="15.75" customHeight="1" s="86">
      <c r="T721" s="85" t="n"/>
      <c r="U721" s="85" t="n"/>
      <c r="V721" s="85" t="n"/>
      <c r="W721" s="85" t="n"/>
      <c r="X721" s="85" t="n"/>
      <c r="Y721" s="85" t="n"/>
      <c r="Z721" s="85" t="n"/>
    </row>
    <row r="722" ht="15.75" customHeight="1" s="86">
      <c r="T722" s="85" t="n"/>
      <c r="U722" s="85" t="n"/>
      <c r="V722" s="85" t="n"/>
      <c r="W722" s="85" t="n"/>
      <c r="X722" s="85" t="n"/>
      <c r="Y722" s="85" t="n"/>
      <c r="Z722" s="85" t="n"/>
    </row>
    <row r="723" ht="15.75" customHeight="1" s="86">
      <c r="T723" s="85" t="n"/>
      <c r="U723" s="85" t="n"/>
      <c r="V723" s="85" t="n"/>
      <c r="W723" s="85" t="n"/>
      <c r="X723" s="85" t="n"/>
      <c r="Y723" s="85" t="n"/>
      <c r="Z723" s="85" t="n"/>
    </row>
    <row r="724" ht="15.75" customHeight="1" s="86">
      <c r="T724" s="85" t="n"/>
      <c r="U724" s="85" t="n"/>
      <c r="V724" s="85" t="n"/>
      <c r="W724" s="85" t="n"/>
      <c r="X724" s="85" t="n"/>
      <c r="Y724" s="85" t="n"/>
      <c r="Z724" s="85" t="n"/>
    </row>
    <row r="725" ht="15.75" customHeight="1" s="86">
      <c r="T725" s="85" t="n"/>
      <c r="U725" s="85" t="n"/>
      <c r="V725" s="85" t="n"/>
      <c r="W725" s="85" t="n"/>
      <c r="X725" s="85" t="n"/>
      <c r="Y725" s="85" t="n"/>
      <c r="Z725" s="85" t="n"/>
    </row>
    <row r="726" ht="15.75" customHeight="1" s="86">
      <c r="T726" s="85" t="n"/>
      <c r="U726" s="85" t="n"/>
      <c r="V726" s="85" t="n"/>
      <c r="W726" s="85" t="n"/>
      <c r="X726" s="85" t="n"/>
      <c r="Y726" s="85" t="n"/>
      <c r="Z726" s="85" t="n"/>
    </row>
    <row r="727" ht="15.75" customHeight="1" s="86">
      <c r="T727" s="85" t="n"/>
      <c r="U727" s="85" t="n"/>
      <c r="V727" s="85" t="n"/>
      <c r="W727" s="85" t="n"/>
      <c r="X727" s="85" t="n"/>
      <c r="Y727" s="85" t="n"/>
      <c r="Z727" s="85" t="n"/>
    </row>
    <row r="728" ht="15.75" customHeight="1" s="86">
      <c r="T728" s="85" t="n"/>
      <c r="U728" s="85" t="n"/>
      <c r="V728" s="85" t="n"/>
      <c r="W728" s="85" t="n"/>
      <c r="X728" s="85" t="n"/>
      <c r="Y728" s="85" t="n"/>
      <c r="Z728" s="85" t="n"/>
    </row>
    <row r="729" ht="15.75" customHeight="1" s="86">
      <c r="T729" s="85" t="n"/>
      <c r="U729" s="85" t="n"/>
      <c r="V729" s="85" t="n"/>
      <c r="W729" s="85" t="n"/>
      <c r="X729" s="85" t="n"/>
      <c r="Y729" s="85" t="n"/>
      <c r="Z729" s="85" t="n"/>
    </row>
    <row r="730" ht="15.75" customHeight="1" s="86">
      <c r="T730" s="85" t="n"/>
      <c r="U730" s="85" t="n"/>
      <c r="V730" s="85" t="n"/>
      <c r="W730" s="85" t="n"/>
      <c r="X730" s="85" t="n"/>
      <c r="Y730" s="85" t="n"/>
      <c r="Z730" s="85" t="n"/>
    </row>
    <row r="731" ht="15.75" customHeight="1" s="86">
      <c r="T731" s="85" t="n"/>
      <c r="U731" s="85" t="n"/>
      <c r="V731" s="85" t="n"/>
      <c r="W731" s="85" t="n"/>
      <c r="X731" s="85" t="n"/>
      <c r="Y731" s="85" t="n"/>
      <c r="Z731" s="85" t="n"/>
    </row>
    <row r="732" ht="15.75" customHeight="1" s="86">
      <c r="T732" s="85" t="n"/>
      <c r="U732" s="85" t="n"/>
      <c r="V732" s="85" t="n"/>
      <c r="W732" s="85" t="n"/>
      <c r="X732" s="85" t="n"/>
      <c r="Y732" s="85" t="n"/>
      <c r="Z732" s="85" t="n"/>
    </row>
    <row r="733" ht="15.75" customHeight="1" s="86">
      <c r="T733" s="85" t="n"/>
      <c r="U733" s="85" t="n"/>
      <c r="V733" s="85" t="n"/>
      <c r="W733" s="85" t="n"/>
      <c r="X733" s="85" t="n"/>
      <c r="Y733" s="85" t="n"/>
      <c r="Z733" s="85" t="n"/>
    </row>
    <row r="734" ht="15.75" customHeight="1" s="86">
      <c r="T734" s="85" t="n"/>
      <c r="U734" s="85" t="n"/>
      <c r="V734" s="85" t="n"/>
      <c r="W734" s="85" t="n"/>
      <c r="X734" s="85" t="n"/>
      <c r="Y734" s="85" t="n"/>
      <c r="Z734" s="85" t="n"/>
    </row>
    <row r="735" ht="15.75" customHeight="1" s="86">
      <c r="T735" s="85" t="n"/>
      <c r="U735" s="85" t="n"/>
      <c r="V735" s="85" t="n"/>
      <c r="W735" s="85" t="n"/>
      <c r="X735" s="85" t="n"/>
      <c r="Y735" s="85" t="n"/>
      <c r="Z735" s="85" t="n"/>
    </row>
    <row r="736" ht="15.75" customHeight="1" s="86">
      <c r="T736" s="85" t="n"/>
      <c r="U736" s="85" t="n"/>
      <c r="V736" s="85" t="n"/>
      <c r="W736" s="85" t="n"/>
      <c r="X736" s="85" t="n"/>
      <c r="Y736" s="85" t="n"/>
      <c r="Z736" s="85" t="n"/>
    </row>
    <row r="737" ht="15.75" customHeight="1" s="86">
      <c r="T737" s="85" t="n"/>
      <c r="U737" s="85" t="n"/>
      <c r="V737" s="85" t="n"/>
      <c r="W737" s="85" t="n"/>
      <c r="X737" s="85" t="n"/>
      <c r="Y737" s="85" t="n"/>
      <c r="Z737" s="85" t="n"/>
    </row>
    <row r="738" ht="15.75" customHeight="1" s="86">
      <c r="T738" s="85" t="n"/>
      <c r="U738" s="85" t="n"/>
      <c r="V738" s="85" t="n"/>
      <c r="W738" s="85" t="n"/>
      <c r="X738" s="85" t="n"/>
      <c r="Y738" s="85" t="n"/>
      <c r="Z738" s="85" t="n"/>
    </row>
    <row r="739" ht="15.75" customHeight="1" s="86">
      <c r="T739" s="85" t="n"/>
      <c r="U739" s="85" t="n"/>
      <c r="V739" s="85" t="n"/>
      <c r="W739" s="85" t="n"/>
      <c r="X739" s="85" t="n"/>
      <c r="Y739" s="85" t="n"/>
      <c r="Z739" s="85" t="n"/>
    </row>
    <row r="740" ht="15.75" customHeight="1" s="86">
      <c r="T740" s="85" t="n"/>
      <c r="U740" s="85" t="n"/>
      <c r="V740" s="85" t="n"/>
      <c r="W740" s="85" t="n"/>
      <c r="X740" s="85" t="n"/>
      <c r="Y740" s="85" t="n"/>
      <c r="Z740" s="85" t="n"/>
    </row>
    <row r="741" ht="15.75" customHeight="1" s="86">
      <c r="T741" s="85" t="n"/>
      <c r="U741" s="85" t="n"/>
      <c r="V741" s="85" t="n"/>
      <c r="W741" s="85" t="n"/>
      <c r="X741" s="85" t="n"/>
      <c r="Y741" s="85" t="n"/>
      <c r="Z741" s="85" t="n"/>
    </row>
    <row r="742" ht="15.75" customHeight="1" s="86">
      <c r="T742" s="85" t="n"/>
      <c r="U742" s="85" t="n"/>
      <c r="V742" s="85" t="n"/>
      <c r="W742" s="85" t="n"/>
      <c r="X742" s="85" t="n"/>
      <c r="Y742" s="85" t="n"/>
      <c r="Z742" s="85" t="n"/>
    </row>
    <row r="743" ht="15.75" customHeight="1" s="86">
      <c r="T743" s="85" t="n"/>
      <c r="U743" s="85" t="n"/>
      <c r="V743" s="85" t="n"/>
      <c r="W743" s="85" t="n"/>
      <c r="X743" s="85" t="n"/>
      <c r="Y743" s="85" t="n"/>
      <c r="Z743" s="85" t="n"/>
    </row>
    <row r="744" ht="15.75" customHeight="1" s="86">
      <c r="T744" s="85" t="n"/>
      <c r="U744" s="85" t="n"/>
      <c r="V744" s="85" t="n"/>
      <c r="W744" s="85" t="n"/>
      <c r="X744" s="85" t="n"/>
      <c r="Y744" s="85" t="n"/>
      <c r="Z744" s="85" t="n"/>
    </row>
    <row r="745" ht="15.75" customHeight="1" s="86">
      <c r="T745" s="85" t="n"/>
      <c r="U745" s="85" t="n"/>
      <c r="V745" s="85" t="n"/>
      <c r="W745" s="85" t="n"/>
      <c r="X745" s="85" t="n"/>
      <c r="Y745" s="85" t="n"/>
      <c r="Z745" s="85" t="n"/>
    </row>
    <row r="746" ht="15.75" customHeight="1" s="86">
      <c r="T746" s="85" t="n"/>
      <c r="U746" s="85" t="n"/>
      <c r="V746" s="85" t="n"/>
      <c r="W746" s="85" t="n"/>
      <c r="X746" s="85" t="n"/>
      <c r="Y746" s="85" t="n"/>
      <c r="Z746" s="85" t="n"/>
    </row>
    <row r="747" ht="15.75" customHeight="1" s="86">
      <c r="T747" s="85" t="n"/>
      <c r="U747" s="85" t="n"/>
      <c r="V747" s="85" t="n"/>
      <c r="W747" s="85" t="n"/>
      <c r="X747" s="85" t="n"/>
      <c r="Y747" s="85" t="n"/>
      <c r="Z747" s="85" t="n"/>
    </row>
    <row r="748" ht="15.75" customHeight="1" s="86">
      <c r="T748" s="85" t="n"/>
      <c r="U748" s="85" t="n"/>
      <c r="V748" s="85" t="n"/>
      <c r="W748" s="85" t="n"/>
      <c r="X748" s="85" t="n"/>
      <c r="Y748" s="85" t="n"/>
      <c r="Z748" s="85" t="n"/>
    </row>
    <row r="749" ht="15.75" customHeight="1" s="86">
      <c r="T749" s="85" t="n"/>
      <c r="U749" s="85" t="n"/>
      <c r="V749" s="85" t="n"/>
      <c r="W749" s="85" t="n"/>
      <c r="X749" s="85" t="n"/>
      <c r="Y749" s="85" t="n"/>
      <c r="Z749" s="85" t="n"/>
    </row>
    <row r="750" ht="15.75" customHeight="1" s="86">
      <c r="T750" s="85" t="n"/>
      <c r="U750" s="85" t="n"/>
      <c r="V750" s="85" t="n"/>
      <c r="W750" s="85" t="n"/>
      <c r="X750" s="85" t="n"/>
      <c r="Y750" s="85" t="n"/>
      <c r="Z750" s="85" t="n"/>
    </row>
    <row r="751" ht="15.75" customHeight="1" s="86">
      <c r="T751" s="85" t="n"/>
      <c r="U751" s="85" t="n"/>
      <c r="V751" s="85" t="n"/>
      <c r="W751" s="85" t="n"/>
      <c r="X751" s="85" t="n"/>
      <c r="Y751" s="85" t="n"/>
      <c r="Z751" s="85" t="n"/>
    </row>
    <row r="752" ht="15.75" customHeight="1" s="86">
      <c r="T752" s="85" t="n"/>
      <c r="U752" s="85" t="n"/>
      <c r="V752" s="85" t="n"/>
      <c r="W752" s="85" t="n"/>
      <c r="X752" s="85" t="n"/>
      <c r="Y752" s="85" t="n"/>
      <c r="Z752" s="85" t="n"/>
    </row>
    <row r="753" ht="15.75" customHeight="1" s="86">
      <c r="T753" s="85" t="n"/>
      <c r="U753" s="85" t="n"/>
      <c r="V753" s="85" t="n"/>
      <c r="W753" s="85" t="n"/>
      <c r="X753" s="85" t="n"/>
      <c r="Y753" s="85" t="n"/>
      <c r="Z753" s="85" t="n"/>
    </row>
    <row r="754" ht="15.75" customHeight="1" s="86">
      <c r="T754" s="85" t="n"/>
      <c r="U754" s="85" t="n"/>
      <c r="V754" s="85" t="n"/>
      <c r="W754" s="85" t="n"/>
      <c r="X754" s="85" t="n"/>
      <c r="Y754" s="85" t="n"/>
      <c r="Z754" s="85" t="n"/>
    </row>
    <row r="755" ht="15.75" customHeight="1" s="86">
      <c r="T755" s="85" t="n"/>
      <c r="U755" s="85" t="n"/>
      <c r="V755" s="85" t="n"/>
      <c r="W755" s="85" t="n"/>
      <c r="X755" s="85" t="n"/>
      <c r="Y755" s="85" t="n"/>
      <c r="Z755" s="85" t="n"/>
    </row>
    <row r="756" ht="15.75" customHeight="1" s="86">
      <c r="T756" s="85" t="n"/>
      <c r="U756" s="85" t="n"/>
      <c r="V756" s="85" t="n"/>
      <c r="W756" s="85" t="n"/>
      <c r="X756" s="85" t="n"/>
      <c r="Y756" s="85" t="n"/>
      <c r="Z756" s="85" t="n"/>
    </row>
    <row r="757" ht="15.75" customHeight="1" s="86">
      <c r="T757" s="85" t="n"/>
      <c r="U757" s="85" t="n"/>
      <c r="V757" s="85" t="n"/>
      <c r="W757" s="85" t="n"/>
      <c r="X757" s="85" t="n"/>
      <c r="Y757" s="85" t="n"/>
      <c r="Z757" s="85" t="n"/>
    </row>
    <row r="758" ht="15.75" customHeight="1" s="86">
      <c r="T758" s="85" t="n"/>
      <c r="U758" s="85" t="n"/>
      <c r="V758" s="85" t="n"/>
      <c r="W758" s="85" t="n"/>
      <c r="X758" s="85" t="n"/>
      <c r="Y758" s="85" t="n"/>
      <c r="Z758" s="85" t="n"/>
    </row>
    <row r="759" ht="15.75" customHeight="1" s="86">
      <c r="T759" s="85" t="n"/>
      <c r="U759" s="85" t="n"/>
      <c r="V759" s="85" t="n"/>
      <c r="W759" s="85" t="n"/>
      <c r="X759" s="85" t="n"/>
      <c r="Y759" s="85" t="n"/>
      <c r="Z759" s="85" t="n"/>
    </row>
    <row r="760" ht="15.75" customHeight="1" s="86">
      <c r="T760" s="85" t="n"/>
      <c r="U760" s="85" t="n"/>
      <c r="V760" s="85" t="n"/>
      <c r="W760" s="85" t="n"/>
      <c r="X760" s="85" t="n"/>
      <c r="Y760" s="85" t="n"/>
      <c r="Z760" s="85" t="n"/>
    </row>
    <row r="761" ht="15.75" customHeight="1" s="86">
      <c r="T761" s="85" t="n"/>
      <c r="U761" s="85" t="n"/>
      <c r="V761" s="85" t="n"/>
      <c r="W761" s="85" t="n"/>
      <c r="X761" s="85" t="n"/>
      <c r="Y761" s="85" t="n"/>
      <c r="Z761" s="85" t="n"/>
    </row>
    <row r="762" ht="15.75" customHeight="1" s="86">
      <c r="T762" s="85" t="n"/>
      <c r="U762" s="85" t="n"/>
      <c r="V762" s="85" t="n"/>
      <c r="W762" s="85" t="n"/>
      <c r="X762" s="85" t="n"/>
      <c r="Y762" s="85" t="n"/>
      <c r="Z762" s="85" t="n"/>
    </row>
    <row r="763" ht="15.75" customHeight="1" s="86">
      <c r="T763" s="85" t="n"/>
      <c r="U763" s="85" t="n"/>
      <c r="V763" s="85" t="n"/>
      <c r="W763" s="85" t="n"/>
      <c r="X763" s="85" t="n"/>
      <c r="Y763" s="85" t="n"/>
      <c r="Z763" s="85" t="n"/>
    </row>
    <row r="764" ht="15.75" customHeight="1" s="86">
      <c r="T764" s="85" t="n"/>
      <c r="U764" s="85" t="n"/>
      <c r="V764" s="85" t="n"/>
      <c r="W764" s="85" t="n"/>
      <c r="X764" s="85" t="n"/>
      <c r="Y764" s="85" t="n"/>
      <c r="Z764" s="85" t="n"/>
    </row>
    <row r="765" ht="15.75" customHeight="1" s="86">
      <c r="T765" s="85" t="n"/>
      <c r="U765" s="85" t="n"/>
      <c r="V765" s="85" t="n"/>
      <c r="W765" s="85" t="n"/>
      <c r="X765" s="85" t="n"/>
      <c r="Y765" s="85" t="n"/>
      <c r="Z765" s="85" t="n"/>
    </row>
    <row r="766" ht="15.75" customHeight="1" s="86">
      <c r="T766" s="85" t="n"/>
      <c r="U766" s="85" t="n"/>
      <c r="V766" s="85" t="n"/>
      <c r="W766" s="85" t="n"/>
      <c r="X766" s="85" t="n"/>
      <c r="Y766" s="85" t="n"/>
      <c r="Z766" s="85" t="n"/>
    </row>
    <row r="767" ht="15.75" customHeight="1" s="86">
      <c r="T767" s="85" t="n"/>
      <c r="U767" s="85" t="n"/>
      <c r="V767" s="85" t="n"/>
      <c r="W767" s="85" t="n"/>
      <c r="X767" s="85" t="n"/>
      <c r="Y767" s="85" t="n"/>
      <c r="Z767" s="85" t="n"/>
    </row>
    <row r="768" ht="15.75" customHeight="1" s="86">
      <c r="T768" s="85" t="n"/>
      <c r="U768" s="85" t="n"/>
      <c r="V768" s="85" t="n"/>
      <c r="W768" s="85" t="n"/>
      <c r="X768" s="85" t="n"/>
      <c r="Y768" s="85" t="n"/>
      <c r="Z768" s="85" t="n"/>
    </row>
    <row r="769" ht="15.75" customHeight="1" s="86">
      <c r="T769" s="85" t="n"/>
      <c r="U769" s="85" t="n"/>
      <c r="V769" s="85" t="n"/>
      <c r="W769" s="85" t="n"/>
      <c r="X769" s="85" t="n"/>
      <c r="Y769" s="85" t="n"/>
      <c r="Z769" s="85" t="n"/>
    </row>
    <row r="770" ht="15.75" customHeight="1" s="86">
      <c r="T770" s="85" t="n"/>
      <c r="U770" s="85" t="n"/>
      <c r="V770" s="85" t="n"/>
      <c r="W770" s="85" t="n"/>
      <c r="X770" s="85" t="n"/>
      <c r="Y770" s="85" t="n"/>
      <c r="Z770" s="85" t="n"/>
    </row>
    <row r="771" ht="15.75" customHeight="1" s="86">
      <c r="T771" s="85" t="n"/>
      <c r="U771" s="85" t="n"/>
      <c r="V771" s="85" t="n"/>
      <c r="W771" s="85" t="n"/>
      <c r="X771" s="85" t="n"/>
      <c r="Y771" s="85" t="n"/>
      <c r="Z771" s="85" t="n"/>
    </row>
    <row r="772" ht="15.75" customHeight="1" s="86">
      <c r="T772" s="85" t="n"/>
      <c r="U772" s="85" t="n"/>
      <c r="V772" s="85" t="n"/>
      <c r="W772" s="85" t="n"/>
      <c r="X772" s="85" t="n"/>
      <c r="Y772" s="85" t="n"/>
      <c r="Z772" s="85" t="n"/>
    </row>
    <row r="773" ht="15.75" customHeight="1" s="86">
      <c r="T773" s="85" t="n"/>
      <c r="U773" s="85" t="n"/>
      <c r="V773" s="85" t="n"/>
      <c r="W773" s="85" t="n"/>
      <c r="X773" s="85" t="n"/>
      <c r="Y773" s="85" t="n"/>
      <c r="Z773" s="85" t="n"/>
    </row>
    <row r="774" ht="15.75" customHeight="1" s="86">
      <c r="T774" s="85" t="n"/>
      <c r="U774" s="85" t="n"/>
      <c r="V774" s="85" t="n"/>
      <c r="W774" s="85" t="n"/>
      <c r="X774" s="85" t="n"/>
      <c r="Y774" s="85" t="n"/>
      <c r="Z774" s="85" t="n"/>
    </row>
    <row r="775" ht="15.75" customHeight="1" s="86">
      <c r="T775" s="85" t="n"/>
      <c r="U775" s="85" t="n"/>
      <c r="V775" s="85" t="n"/>
      <c r="W775" s="85" t="n"/>
      <c r="X775" s="85" t="n"/>
      <c r="Y775" s="85" t="n"/>
      <c r="Z775" s="85" t="n"/>
    </row>
    <row r="776" ht="15.75" customHeight="1" s="86">
      <c r="T776" s="85" t="n"/>
      <c r="U776" s="85" t="n"/>
      <c r="V776" s="85" t="n"/>
      <c r="W776" s="85" t="n"/>
      <c r="X776" s="85" t="n"/>
      <c r="Y776" s="85" t="n"/>
      <c r="Z776" s="85" t="n"/>
    </row>
    <row r="777" ht="15.75" customHeight="1" s="86">
      <c r="T777" s="85" t="n"/>
      <c r="U777" s="85" t="n"/>
      <c r="V777" s="85" t="n"/>
      <c r="W777" s="85" t="n"/>
      <c r="X777" s="85" t="n"/>
      <c r="Y777" s="85" t="n"/>
      <c r="Z777" s="85" t="n"/>
    </row>
    <row r="778" ht="15.75" customHeight="1" s="86">
      <c r="T778" s="85" t="n"/>
      <c r="U778" s="85" t="n"/>
      <c r="V778" s="85" t="n"/>
      <c r="W778" s="85" t="n"/>
      <c r="X778" s="85" t="n"/>
      <c r="Y778" s="85" t="n"/>
      <c r="Z778" s="85" t="n"/>
    </row>
    <row r="779" ht="15.75" customHeight="1" s="86">
      <c r="T779" s="85" t="n"/>
      <c r="U779" s="85" t="n"/>
      <c r="V779" s="85" t="n"/>
      <c r="W779" s="85" t="n"/>
      <c r="X779" s="85" t="n"/>
      <c r="Y779" s="85" t="n"/>
      <c r="Z779" s="85" t="n"/>
    </row>
    <row r="780" ht="15.75" customHeight="1" s="86">
      <c r="T780" s="85" t="n"/>
      <c r="U780" s="85" t="n"/>
      <c r="V780" s="85" t="n"/>
      <c r="W780" s="85" t="n"/>
      <c r="X780" s="85" t="n"/>
      <c r="Y780" s="85" t="n"/>
      <c r="Z780" s="85" t="n"/>
    </row>
    <row r="781" ht="15.75" customHeight="1" s="86">
      <c r="T781" s="85" t="n"/>
      <c r="U781" s="85" t="n"/>
      <c r="V781" s="85" t="n"/>
      <c r="W781" s="85" t="n"/>
      <c r="X781" s="85" t="n"/>
      <c r="Y781" s="85" t="n"/>
      <c r="Z781" s="85" t="n"/>
    </row>
    <row r="782" ht="15.75" customHeight="1" s="86">
      <c r="T782" s="85" t="n"/>
      <c r="U782" s="85" t="n"/>
      <c r="V782" s="85" t="n"/>
      <c r="W782" s="85" t="n"/>
      <c r="X782" s="85" t="n"/>
      <c r="Y782" s="85" t="n"/>
      <c r="Z782" s="85" t="n"/>
    </row>
    <row r="783" ht="15.75" customHeight="1" s="86">
      <c r="T783" s="85" t="n"/>
      <c r="U783" s="85" t="n"/>
      <c r="V783" s="85" t="n"/>
      <c r="W783" s="85" t="n"/>
      <c r="X783" s="85" t="n"/>
      <c r="Y783" s="85" t="n"/>
      <c r="Z783" s="85" t="n"/>
    </row>
    <row r="784" ht="15.75" customHeight="1" s="86">
      <c r="T784" s="85" t="n"/>
      <c r="U784" s="85" t="n"/>
      <c r="V784" s="85" t="n"/>
      <c r="W784" s="85" t="n"/>
      <c r="X784" s="85" t="n"/>
      <c r="Y784" s="85" t="n"/>
      <c r="Z784" s="85" t="n"/>
    </row>
    <row r="785" ht="15.75" customHeight="1" s="86">
      <c r="T785" s="85" t="n"/>
      <c r="U785" s="85" t="n"/>
      <c r="V785" s="85" t="n"/>
      <c r="W785" s="85" t="n"/>
      <c r="X785" s="85" t="n"/>
      <c r="Y785" s="85" t="n"/>
      <c r="Z785" s="85" t="n"/>
    </row>
    <row r="786" ht="15.75" customHeight="1" s="86">
      <c r="T786" s="85" t="n"/>
      <c r="U786" s="85" t="n"/>
      <c r="V786" s="85" t="n"/>
      <c r="W786" s="85" t="n"/>
      <c r="X786" s="85" t="n"/>
      <c r="Y786" s="85" t="n"/>
      <c r="Z786" s="85" t="n"/>
    </row>
    <row r="787" ht="15.75" customHeight="1" s="86">
      <c r="T787" s="85" t="n"/>
      <c r="U787" s="85" t="n"/>
      <c r="V787" s="85" t="n"/>
      <c r="W787" s="85" t="n"/>
      <c r="X787" s="85" t="n"/>
      <c r="Y787" s="85" t="n"/>
      <c r="Z787" s="85" t="n"/>
    </row>
    <row r="788" ht="15.75" customHeight="1" s="86">
      <c r="T788" s="85" t="n"/>
      <c r="U788" s="85" t="n"/>
      <c r="V788" s="85" t="n"/>
      <c r="W788" s="85" t="n"/>
      <c r="X788" s="85" t="n"/>
      <c r="Y788" s="85" t="n"/>
      <c r="Z788" s="85" t="n"/>
    </row>
    <row r="789" ht="15.75" customHeight="1" s="86">
      <c r="T789" s="85" t="n"/>
      <c r="U789" s="85" t="n"/>
      <c r="V789" s="85" t="n"/>
      <c r="W789" s="85" t="n"/>
      <c r="X789" s="85" t="n"/>
      <c r="Y789" s="85" t="n"/>
      <c r="Z789" s="85" t="n"/>
    </row>
    <row r="790" ht="15.75" customHeight="1" s="86">
      <c r="T790" s="85" t="n"/>
      <c r="U790" s="85" t="n"/>
      <c r="V790" s="85" t="n"/>
      <c r="W790" s="85" t="n"/>
      <c r="X790" s="85" t="n"/>
      <c r="Y790" s="85" t="n"/>
      <c r="Z790" s="85" t="n"/>
    </row>
    <row r="791" ht="15.75" customHeight="1" s="86">
      <c r="T791" s="85" t="n"/>
      <c r="U791" s="85" t="n"/>
      <c r="V791" s="85" t="n"/>
      <c r="W791" s="85" t="n"/>
      <c r="X791" s="85" t="n"/>
      <c r="Y791" s="85" t="n"/>
      <c r="Z791" s="85" t="n"/>
    </row>
    <row r="792" ht="15.75" customHeight="1" s="86">
      <c r="T792" s="85" t="n"/>
      <c r="U792" s="85" t="n"/>
      <c r="V792" s="85" t="n"/>
      <c r="W792" s="85" t="n"/>
      <c r="X792" s="85" t="n"/>
      <c r="Y792" s="85" t="n"/>
      <c r="Z792" s="85" t="n"/>
    </row>
    <row r="793" ht="15.75" customHeight="1" s="86">
      <c r="T793" s="85" t="n"/>
      <c r="U793" s="85" t="n"/>
      <c r="V793" s="85" t="n"/>
      <c r="W793" s="85" t="n"/>
      <c r="X793" s="85" t="n"/>
      <c r="Y793" s="85" t="n"/>
      <c r="Z793" s="85" t="n"/>
    </row>
    <row r="794" ht="15.75" customHeight="1" s="86">
      <c r="T794" s="85" t="n"/>
      <c r="U794" s="85" t="n"/>
      <c r="V794" s="85" t="n"/>
      <c r="W794" s="85" t="n"/>
      <c r="X794" s="85" t="n"/>
      <c r="Y794" s="85" t="n"/>
      <c r="Z794" s="85" t="n"/>
    </row>
    <row r="795" ht="15.75" customHeight="1" s="86">
      <c r="T795" s="85" t="n"/>
      <c r="U795" s="85" t="n"/>
      <c r="V795" s="85" t="n"/>
      <c r="W795" s="85" t="n"/>
      <c r="X795" s="85" t="n"/>
      <c r="Y795" s="85" t="n"/>
      <c r="Z795" s="85" t="n"/>
    </row>
    <row r="796" ht="15.75" customHeight="1" s="86">
      <c r="T796" s="85" t="n"/>
      <c r="U796" s="85" t="n"/>
      <c r="V796" s="85" t="n"/>
      <c r="W796" s="85" t="n"/>
      <c r="X796" s="85" t="n"/>
      <c r="Y796" s="85" t="n"/>
      <c r="Z796" s="85" t="n"/>
    </row>
    <row r="797" ht="15.75" customHeight="1" s="86">
      <c r="T797" s="85" t="n"/>
      <c r="U797" s="85" t="n"/>
      <c r="V797" s="85" t="n"/>
      <c r="W797" s="85" t="n"/>
      <c r="X797" s="85" t="n"/>
      <c r="Y797" s="85" t="n"/>
      <c r="Z797" s="85" t="n"/>
    </row>
    <row r="798" ht="15.75" customHeight="1" s="86">
      <c r="T798" s="85" t="n"/>
      <c r="U798" s="85" t="n"/>
      <c r="V798" s="85" t="n"/>
      <c r="W798" s="85" t="n"/>
      <c r="X798" s="85" t="n"/>
      <c r="Y798" s="85" t="n"/>
      <c r="Z798" s="85" t="n"/>
    </row>
    <row r="799" ht="15.75" customHeight="1" s="86">
      <c r="T799" s="85" t="n"/>
      <c r="U799" s="85" t="n"/>
      <c r="V799" s="85" t="n"/>
      <c r="W799" s="85" t="n"/>
      <c r="X799" s="85" t="n"/>
      <c r="Y799" s="85" t="n"/>
      <c r="Z799" s="85" t="n"/>
    </row>
    <row r="800" ht="15.75" customHeight="1" s="86">
      <c r="T800" s="85" t="n"/>
      <c r="U800" s="85" t="n"/>
      <c r="V800" s="85" t="n"/>
      <c r="W800" s="85" t="n"/>
      <c r="X800" s="85" t="n"/>
      <c r="Y800" s="85" t="n"/>
      <c r="Z800" s="85" t="n"/>
    </row>
    <row r="801" ht="15.75" customHeight="1" s="86">
      <c r="T801" s="85" t="n"/>
      <c r="U801" s="85" t="n"/>
      <c r="V801" s="85" t="n"/>
      <c r="W801" s="85" t="n"/>
      <c r="X801" s="85" t="n"/>
      <c r="Y801" s="85" t="n"/>
      <c r="Z801" s="85" t="n"/>
    </row>
    <row r="802" ht="15.75" customHeight="1" s="86">
      <c r="T802" s="85" t="n"/>
      <c r="U802" s="85" t="n"/>
      <c r="V802" s="85" t="n"/>
      <c r="W802" s="85" t="n"/>
      <c r="X802" s="85" t="n"/>
      <c r="Y802" s="85" t="n"/>
      <c r="Z802" s="85" t="n"/>
    </row>
    <row r="803" ht="15.75" customHeight="1" s="86">
      <c r="T803" s="85" t="n"/>
      <c r="U803" s="85" t="n"/>
      <c r="V803" s="85" t="n"/>
      <c r="W803" s="85" t="n"/>
      <c r="X803" s="85" t="n"/>
      <c r="Y803" s="85" t="n"/>
      <c r="Z803" s="85" t="n"/>
    </row>
    <row r="804" ht="15.75" customHeight="1" s="86">
      <c r="T804" s="85" t="n"/>
      <c r="U804" s="85" t="n"/>
      <c r="V804" s="85" t="n"/>
      <c r="W804" s="85" t="n"/>
      <c r="X804" s="85" t="n"/>
      <c r="Y804" s="85" t="n"/>
      <c r="Z804" s="85" t="n"/>
    </row>
    <row r="805" ht="15.75" customHeight="1" s="86">
      <c r="T805" s="85" t="n"/>
      <c r="U805" s="85" t="n"/>
      <c r="V805" s="85" t="n"/>
      <c r="W805" s="85" t="n"/>
      <c r="X805" s="85" t="n"/>
      <c r="Y805" s="85" t="n"/>
      <c r="Z805" s="85" t="n"/>
    </row>
    <row r="806" ht="15.75" customHeight="1" s="86">
      <c r="T806" s="85" t="n"/>
      <c r="U806" s="85" t="n"/>
      <c r="V806" s="85" t="n"/>
      <c r="W806" s="85" t="n"/>
      <c r="X806" s="85" t="n"/>
      <c r="Y806" s="85" t="n"/>
      <c r="Z806" s="85" t="n"/>
    </row>
    <row r="807" ht="15.75" customHeight="1" s="86">
      <c r="T807" s="85" t="n"/>
      <c r="U807" s="85" t="n"/>
      <c r="V807" s="85" t="n"/>
      <c r="W807" s="85" t="n"/>
      <c r="X807" s="85" t="n"/>
      <c r="Y807" s="85" t="n"/>
      <c r="Z807" s="85" t="n"/>
    </row>
    <row r="808" ht="15.75" customHeight="1" s="86">
      <c r="T808" s="85" t="n"/>
      <c r="U808" s="85" t="n"/>
      <c r="V808" s="85" t="n"/>
      <c r="W808" s="85" t="n"/>
      <c r="X808" s="85" t="n"/>
      <c r="Y808" s="85" t="n"/>
      <c r="Z808" s="85" t="n"/>
    </row>
    <row r="809" ht="15.75" customHeight="1" s="86">
      <c r="T809" s="85" t="n"/>
      <c r="U809" s="85" t="n"/>
      <c r="V809" s="85" t="n"/>
      <c r="W809" s="85" t="n"/>
      <c r="X809" s="85" t="n"/>
      <c r="Y809" s="85" t="n"/>
      <c r="Z809" s="85" t="n"/>
    </row>
    <row r="810" ht="15.75" customHeight="1" s="86">
      <c r="T810" s="85" t="n"/>
      <c r="U810" s="85" t="n"/>
      <c r="V810" s="85" t="n"/>
      <c r="W810" s="85" t="n"/>
      <c r="X810" s="85" t="n"/>
      <c r="Y810" s="85" t="n"/>
      <c r="Z810" s="85" t="n"/>
    </row>
    <row r="811" ht="15.75" customHeight="1" s="86">
      <c r="T811" s="85" t="n"/>
      <c r="U811" s="85" t="n"/>
      <c r="V811" s="85" t="n"/>
      <c r="W811" s="85" t="n"/>
      <c r="X811" s="85" t="n"/>
      <c r="Y811" s="85" t="n"/>
      <c r="Z811" s="85" t="n"/>
    </row>
    <row r="812" ht="15.75" customHeight="1" s="86">
      <c r="T812" s="85" t="n"/>
      <c r="U812" s="85" t="n"/>
      <c r="V812" s="85" t="n"/>
      <c r="W812" s="85" t="n"/>
      <c r="X812" s="85" t="n"/>
      <c r="Y812" s="85" t="n"/>
      <c r="Z812" s="85" t="n"/>
    </row>
    <row r="813" ht="15.75" customHeight="1" s="86">
      <c r="T813" s="85" t="n"/>
      <c r="U813" s="85" t="n"/>
      <c r="V813" s="85" t="n"/>
      <c r="W813" s="85" t="n"/>
      <c r="X813" s="85" t="n"/>
      <c r="Y813" s="85" t="n"/>
      <c r="Z813" s="85" t="n"/>
    </row>
    <row r="814" ht="15.75" customHeight="1" s="86">
      <c r="T814" s="85" t="n"/>
      <c r="U814" s="85" t="n"/>
      <c r="V814" s="85" t="n"/>
      <c r="W814" s="85" t="n"/>
      <c r="X814" s="85" t="n"/>
      <c r="Y814" s="85" t="n"/>
      <c r="Z814" s="85" t="n"/>
    </row>
    <row r="815" ht="15.75" customHeight="1" s="86">
      <c r="T815" s="85" t="n"/>
      <c r="U815" s="85" t="n"/>
      <c r="V815" s="85" t="n"/>
      <c r="W815" s="85" t="n"/>
      <c r="X815" s="85" t="n"/>
      <c r="Y815" s="85" t="n"/>
      <c r="Z815" s="85" t="n"/>
    </row>
    <row r="816" ht="15.75" customHeight="1" s="86">
      <c r="T816" s="85" t="n"/>
      <c r="U816" s="85" t="n"/>
      <c r="V816" s="85" t="n"/>
      <c r="W816" s="85" t="n"/>
      <c r="X816" s="85" t="n"/>
      <c r="Y816" s="85" t="n"/>
      <c r="Z816" s="85" t="n"/>
    </row>
    <row r="817" ht="15.75" customHeight="1" s="86">
      <c r="T817" s="85" t="n"/>
      <c r="U817" s="85" t="n"/>
      <c r="V817" s="85" t="n"/>
      <c r="W817" s="85" t="n"/>
      <c r="X817" s="85" t="n"/>
      <c r="Y817" s="85" t="n"/>
      <c r="Z817" s="85" t="n"/>
    </row>
    <row r="818" ht="15.75" customHeight="1" s="86">
      <c r="T818" s="85" t="n"/>
      <c r="U818" s="85" t="n"/>
      <c r="V818" s="85" t="n"/>
      <c r="W818" s="85" t="n"/>
      <c r="X818" s="85" t="n"/>
      <c r="Y818" s="85" t="n"/>
      <c r="Z818" s="85" t="n"/>
    </row>
    <row r="819" ht="15.75" customHeight="1" s="86">
      <c r="T819" s="85" t="n"/>
      <c r="U819" s="85" t="n"/>
      <c r="V819" s="85" t="n"/>
      <c r="W819" s="85" t="n"/>
      <c r="X819" s="85" t="n"/>
      <c r="Y819" s="85" t="n"/>
      <c r="Z819" s="85" t="n"/>
    </row>
    <row r="820" ht="15.75" customHeight="1" s="86">
      <c r="T820" s="85" t="n"/>
      <c r="U820" s="85" t="n"/>
      <c r="V820" s="85" t="n"/>
      <c r="W820" s="85" t="n"/>
      <c r="X820" s="85" t="n"/>
      <c r="Y820" s="85" t="n"/>
      <c r="Z820" s="85" t="n"/>
    </row>
    <row r="821" ht="15.75" customHeight="1" s="86">
      <c r="T821" s="85" t="n"/>
      <c r="U821" s="85" t="n"/>
      <c r="V821" s="85" t="n"/>
      <c r="W821" s="85" t="n"/>
      <c r="X821" s="85" t="n"/>
      <c r="Y821" s="85" t="n"/>
      <c r="Z821" s="85" t="n"/>
    </row>
    <row r="822" ht="15.75" customHeight="1" s="86">
      <c r="T822" s="85" t="n"/>
      <c r="U822" s="85" t="n"/>
      <c r="V822" s="85" t="n"/>
      <c r="W822" s="85" t="n"/>
      <c r="X822" s="85" t="n"/>
      <c r="Y822" s="85" t="n"/>
      <c r="Z822" s="85" t="n"/>
    </row>
    <row r="823" ht="15.75" customHeight="1" s="86">
      <c r="T823" s="85" t="n"/>
      <c r="U823" s="85" t="n"/>
      <c r="V823" s="85" t="n"/>
      <c r="W823" s="85" t="n"/>
      <c r="X823" s="85" t="n"/>
      <c r="Y823" s="85" t="n"/>
      <c r="Z823" s="85" t="n"/>
    </row>
    <row r="824" ht="15.75" customHeight="1" s="86">
      <c r="T824" s="85" t="n"/>
      <c r="U824" s="85" t="n"/>
      <c r="V824" s="85" t="n"/>
      <c r="W824" s="85" t="n"/>
      <c r="X824" s="85" t="n"/>
      <c r="Y824" s="85" t="n"/>
      <c r="Z824" s="85" t="n"/>
    </row>
    <row r="825" ht="15.75" customHeight="1" s="86">
      <c r="T825" s="85" t="n"/>
      <c r="U825" s="85" t="n"/>
      <c r="V825" s="85" t="n"/>
      <c r="W825" s="85" t="n"/>
      <c r="X825" s="85" t="n"/>
      <c r="Y825" s="85" t="n"/>
      <c r="Z825" s="85" t="n"/>
    </row>
    <row r="826" ht="15.75" customHeight="1" s="86">
      <c r="T826" s="85" t="n"/>
      <c r="U826" s="85" t="n"/>
      <c r="V826" s="85" t="n"/>
      <c r="W826" s="85" t="n"/>
      <c r="X826" s="85" t="n"/>
      <c r="Y826" s="85" t="n"/>
      <c r="Z826" s="85" t="n"/>
    </row>
    <row r="827" ht="15.75" customHeight="1" s="86">
      <c r="T827" s="85" t="n"/>
      <c r="U827" s="85" t="n"/>
      <c r="V827" s="85" t="n"/>
      <c r="W827" s="85" t="n"/>
      <c r="X827" s="85" t="n"/>
      <c r="Y827" s="85" t="n"/>
      <c r="Z827" s="85" t="n"/>
    </row>
    <row r="828" ht="15.75" customHeight="1" s="86">
      <c r="T828" s="85" t="n"/>
      <c r="U828" s="85" t="n"/>
      <c r="V828" s="85" t="n"/>
      <c r="W828" s="85" t="n"/>
      <c r="X828" s="85" t="n"/>
      <c r="Y828" s="85" t="n"/>
      <c r="Z828" s="85" t="n"/>
    </row>
    <row r="829" ht="15.75" customHeight="1" s="86">
      <c r="T829" s="85" t="n"/>
      <c r="U829" s="85" t="n"/>
      <c r="V829" s="85" t="n"/>
      <c r="W829" s="85" t="n"/>
      <c r="X829" s="85" t="n"/>
      <c r="Y829" s="85" t="n"/>
      <c r="Z829" s="85" t="n"/>
    </row>
    <row r="830" ht="15.75" customHeight="1" s="86">
      <c r="T830" s="85" t="n"/>
      <c r="U830" s="85" t="n"/>
      <c r="V830" s="85" t="n"/>
      <c r="W830" s="85" t="n"/>
      <c r="X830" s="85" t="n"/>
      <c r="Y830" s="85" t="n"/>
      <c r="Z830" s="85" t="n"/>
    </row>
    <row r="831" ht="15.75" customHeight="1" s="86">
      <c r="T831" s="85" t="n"/>
      <c r="U831" s="85" t="n"/>
      <c r="V831" s="85" t="n"/>
      <c r="W831" s="85" t="n"/>
      <c r="X831" s="85" t="n"/>
      <c r="Y831" s="85" t="n"/>
      <c r="Z831" s="85" t="n"/>
    </row>
    <row r="832" ht="15.75" customHeight="1" s="86">
      <c r="T832" s="85" t="n"/>
      <c r="U832" s="85" t="n"/>
      <c r="V832" s="85" t="n"/>
      <c r="W832" s="85" t="n"/>
      <c r="X832" s="85" t="n"/>
      <c r="Y832" s="85" t="n"/>
      <c r="Z832" s="85" t="n"/>
    </row>
    <row r="833" ht="15.75" customHeight="1" s="86">
      <c r="T833" s="85" t="n"/>
      <c r="U833" s="85" t="n"/>
      <c r="V833" s="85" t="n"/>
      <c r="W833" s="85" t="n"/>
      <c r="X833" s="85" t="n"/>
      <c r="Y833" s="85" t="n"/>
      <c r="Z833" s="85" t="n"/>
    </row>
    <row r="834" ht="15.75" customHeight="1" s="86">
      <c r="T834" s="85" t="n"/>
      <c r="U834" s="85" t="n"/>
      <c r="V834" s="85" t="n"/>
      <c r="W834" s="85" t="n"/>
      <c r="X834" s="85" t="n"/>
      <c r="Y834" s="85" t="n"/>
      <c r="Z834" s="85" t="n"/>
    </row>
    <row r="835" ht="15.75" customHeight="1" s="86">
      <c r="T835" s="85" t="n"/>
      <c r="U835" s="85" t="n"/>
      <c r="V835" s="85" t="n"/>
      <c r="W835" s="85" t="n"/>
      <c r="X835" s="85" t="n"/>
      <c r="Y835" s="85" t="n"/>
      <c r="Z835" s="85" t="n"/>
    </row>
    <row r="836" ht="15.75" customHeight="1" s="86">
      <c r="T836" s="85" t="n"/>
      <c r="U836" s="85" t="n"/>
      <c r="V836" s="85" t="n"/>
      <c r="W836" s="85" t="n"/>
      <c r="X836" s="85" t="n"/>
      <c r="Y836" s="85" t="n"/>
      <c r="Z836" s="85" t="n"/>
    </row>
    <row r="837" ht="15.75" customHeight="1" s="86">
      <c r="T837" s="85" t="n"/>
      <c r="U837" s="85" t="n"/>
      <c r="V837" s="85" t="n"/>
      <c r="W837" s="85" t="n"/>
      <c r="X837" s="85" t="n"/>
      <c r="Y837" s="85" t="n"/>
      <c r="Z837" s="85" t="n"/>
    </row>
    <row r="838" ht="15.75" customHeight="1" s="86">
      <c r="T838" s="85" t="n"/>
      <c r="U838" s="85" t="n"/>
      <c r="V838" s="85" t="n"/>
      <c r="W838" s="85" t="n"/>
      <c r="X838" s="85" t="n"/>
      <c r="Y838" s="85" t="n"/>
      <c r="Z838" s="85" t="n"/>
    </row>
    <row r="839" ht="15.75" customHeight="1" s="86">
      <c r="T839" s="85" t="n"/>
      <c r="U839" s="85" t="n"/>
      <c r="V839" s="85" t="n"/>
      <c r="W839" s="85" t="n"/>
      <c r="X839" s="85" t="n"/>
      <c r="Y839" s="85" t="n"/>
      <c r="Z839" s="85" t="n"/>
    </row>
    <row r="840" ht="15.75" customHeight="1" s="86">
      <c r="T840" s="85" t="n"/>
      <c r="U840" s="85" t="n"/>
      <c r="V840" s="85" t="n"/>
      <c r="W840" s="85" t="n"/>
      <c r="X840" s="85" t="n"/>
      <c r="Y840" s="85" t="n"/>
      <c r="Z840" s="85" t="n"/>
    </row>
    <row r="841" ht="15.75" customHeight="1" s="86">
      <c r="T841" s="85" t="n"/>
      <c r="U841" s="85" t="n"/>
      <c r="V841" s="85" t="n"/>
      <c r="W841" s="85" t="n"/>
      <c r="X841" s="85" t="n"/>
      <c r="Y841" s="85" t="n"/>
      <c r="Z841" s="85" t="n"/>
    </row>
    <row r="842" ht="15.75" customHeight="1" s="86">
      <c r="T842" s="85" t="n"/>
      <c r="U842" s="85" t="n"/>
      <c r="V842" s="85" t="n"/>
      <c r="W842" s="85" t="n"/>
      <c r="X842" s="85" t="n"/>
      <c r="Y842" s="85" t="n"/>
      <c r="Z842" s="85" t="n"/>
    </row>
    <row r="843" ht="15.75" customHeight="1" s="86">
      <c r="T843" s="85" t="n"/>
      <c r="U843" s="85" t="n"/>
      <c r="V843" s="85" t="n"/>
      <c r="W843" s="85" t="n"/>
      <c r="X843" s="85" t="n"/>
      <c r="Y843" s="85" t="n"/>
      <c r="Z843" s="85" t="n"/>
    </row>
    <row r="844" ht="15.75" customHeight="1" s="86">
      <c r="T844" s="85" t="n"/>
      <c r="U844" s="85" t="n"/>
      <c r="V844" s="85" t="n"/>
      <c r="W844" s="85" t="n"/>
      <c r="X844" s="85" t="n"/>
      <c r="Y844" s="85" t="n"/>
      <c r="Z844" s="85" t="n"/>
    </row>
    <row r="845" ht="15.75" customHeight="1" s="86">
      <c r="T845" s="85" t="n"/>
      <c r="U845" s="85" t="n"/>
      <c r="V845" s="85" t="n"/>
      <c r="W845" s="85" t="n"/>
      <c r="X845" s="85" t="n"/>
      <c r="Y845" s="85" t="n"/>
      <c r="Z845" s="85" t="n"/>
    </row>
    <row r="846" ht="15.75" customHeight="1" s="86">
      <c r="T846" s="85" t="n"/>
      <c r="U846" s="85" t="n"/>
      <c r="V846" s="85" t="n"/>
      <c r="W846" s="85" t="n"/>
      <c r="X846" s="85" t="n"/>
      <c r="Y846" s="85" t="n"/>
      <c r="Z846" s="85" t="n"/>
    </row>
    <row r="847" ht="15.75" customHeight="1" s="86">
      <c r="T847" s="85" t="n"/>
      <c r="U847" s="85" t="n"/>
      <c r="V847" s="85" t="n"/>
      <c r="W847" s="85" t="n"/>
      <c r="X847" s="85" t="n"/>
      <c r="Y847" s="85" t="n"/>
      <c r="Z847" s="85" t="n"/>
    </row>
    <row r="848" ht="15.75" customHeight="1" s="86">
      <c r="T848" s="85" t="n"/>
      <c r="U848" s="85" t="n"/>
      <c r="V848" s="85" t="n"/>
      <c r="W848" s="85" t="n"/>
      <c r="X848" s="85" t="n"/>
      <c r="Y848" s="85" t="n"/>
      <c r="Z848" s="85" t="n"/>
    </row>
    <row r="849" ht="15.75" customHeight="1" s="86">
      <c r="T849" s="85" t="n"/>
      <c r="U849" s="85" t="n"/>
      <c r="V849" s="85" t="n"/>
      <c r="W849" s="85" t="n"/>
      <c r="X849" s="85" t="n"/>
      <c r="Y849" s="85" t="n"/>
      <c r="Z849" s="85" t="n"/>
    </row>
    <row r="850" ht="15.75" customHeight="1" s="86">
      <c r="T850" s="85" t="n"/>
      <c r="U850" s="85" t="n"/>
      <c r="V850" s="85" t="n"/>
      <c r="W850" s="85" t="n"/>
      <c r="X850" s="85" t="n"/>
      <c r="Y850" s="85" t="n"/>
      <c r="Z850" s="85" t="n"/>
    </row>
    <row r="851" ht="15.75" customHeight="1" s="86">
      <c r="T851" s="85" t="n"/>
      <c r="U851" s="85" t="n"/>
      <c r="V851" s="85" t="n"/>
      <c r="W851" s="85" t="n"/>
      <c r="X851" s="85" t="n"/>
      <c r="Y851" s="85" t="n"/>
      <c r="Z851" s="85" t="n"/>
    </row>
    <row r="852" ht="15.75" customHeight="1" s="86">
      <c r="T852" s="85" t="n"/>
      <c r="U852" s="85" t="n"/>
      <c r="V852" s="85" t="n"/>
      <c r="W852" s="85" t="n"/>
      <c r="X852" s="85" t="n"/>
      <c r="Y852" s="85" t="n"/>
      <c r="Z852" s="85" t="n"/>
    </row>
    <row r="853" ht="15.75" customHeight="1" s="86">
      <c r="T853" s="85" t="n"/>
      <c r="U853" s="85" t="n"/>
      <c r="V853" s="85" t="n"/>
      <c r="W853" s="85" t="n"/>
      <c r="X853" s="85" t="n"/>
      <c r="Y853" s="85" t="n"/>
      <c r="Z853" s="85" t="n"/>
    </row>
    <row r="854" ht="15.75" customHeight="1" s="86">
      <c r="T854" s="85" t="n"/>
      <c r="U854" s="85" t="n"/>
      <c r="V854" s="85" t="n"/>
      <c r="W854" s="85" t="n"/>
      <c r="X854" s="85" t="n"/>
      <c r="Y854" s="85" t="n"/>
      <c r="Z854" s="85" t="n"/>
    </row>
    <row r="855" ht="15.75" customHeight="1" s="86">
      <c r="T855" s="85" t="n"/>
      <c r="U855" s="85" t="n"/>
      <c r="V855" s="85" t="n"/>
      <c r="W855" s="85" t="n"/>
      <c r="X855" s="85" t="n"/>
      <c r="Y855" s="85" t="n"/>
      <c r="Z855" s="85" t="n"/>
    </row>
    <row r="856" ht="15.75" customHeight="1" s="86">
      <c r="T856" s="85" t="n"/>
      <c r="U856" s="85" t="n"/>
      <c r="V856" s="85" t="n"/>
      <c r="W856" s="85" t="n"/>
      <c r="X856" s="85" t="n"/>
      <c r="Y856" s="85" t="n"/>
      <c r="Z856" s="85" t="n"/>
    </row>
    <row r="857" ht="15.75" customHeight="1" s="86">
      <c r="T857" s="85" t="n"/>
      <c r="U857" s="85" t="n"/>
      <c r="V857" s="85" t="n"/>
      <c r="W857" s="85" t="n"/>
      <c r="X857" s="85" t="n"/>
      <c r="Y857" s="85" t="n"/>
      <c r="Z857" s="85" t="n"/>
    </row>
    <row r="858" ht="15.75" customHeight="1" s="86">
      <c r="T858" s="85" t="n"/>
      <c r="U858" s="85" t="n"/>
      <c r="V858" s="85" t="n"/>
      <c r="W858" s="85" t="n"/>
      <c r="X858" s="85" t="n"/>
      <c r="Y858" s="85" t="n"/>
      <c r="Z858" s="85" t="n"/>
    </row>
    <row r="859" ht="15.75" customHeight="1" s="86">
      <c r="T859" s="85" t="n"/>
      <c r="U859" s="85" t="n"/>
      <c r="V859" s="85" t="n"/>
      <c r="W859" s="85" t="n"/>
      <c r="X859" s="85" t="n"/>
      <c r="Y859" s="85" t="n"/>
      <c r="Z859" s="85" t="n"/>
    </row>
    <row r="860" ht="15.75" customHeight="1" s="86">
      <c r="T860" s="85" t="n"/>
      <c r="U860" s="85" t="n"/>
      <c r="V860" s="85" t="n"/>
      <c r="W860" s="85" t="n"/>
      <c r="X860" s="85" t="n"/>
      <c r="Y860" s="85" t="n"/>
      <c r="Z860" s="85" t="n"/>
    </row>
    <row r="861" ht="15.75" customHeight="1" s="86">
      <c r="T861" s="85" t="n"/>
      <c r="U861" s="85" t="n"/>
      <c r="V861" s="85" t="n"/>
      <c r="W861" s="85" t="n"/>
      <c r="X861" s="85" t="n"/>
      <c r="Y861" s="85" t="n"/>
      <c r="Z861" s="85" t="n"/>
    </row>
    <row r="862" ht="15.75" customHeight="1" s="86">
      <c r="T862" s="85" t="n"/>
      <c r="U862" s="85" t="n"/>
      <c r="V862" s="85" t="n"/>
      <c r="W862" s="85" t="n"/>
      <c r="X862" s="85" t="n"/>
      <c r="Y862" s="85" t="n"/>
      <c r="Z862" s="85" t="n"/>
    </row>
    <row r="863" ht="15.75" customHeight="1" s="86">
      <c r="T863" s="85" t="n"/>
      <c r="U863" s="85" t="n"/>
      <c r="V863" s="85" t="n"/>
      <c r="W863" s="85" t="n"/>
      <c r="X863" s="85" t="n"/>
      <c r="Y863" s="85" t="n"/>
      <c r="Z863" s="85" t="n"/>
    </row>
    <row r="864" ht="15.75" customHeight="1" s="86">
      <c r="T864" s="85" t="n"/>
      <c r="U864" s="85" t="n"/>
      <c r="V864" s="85" t="n"/>
      <c r="W864" s="85" t="n"/>
      <c r="X864" s="85" t="n"/>
      <c r="Y864" s="85" t="n"/>
      <c r="Z864" s="85" t="n"/>
    </row>
    <row r="865" ht="15.75" customHeight="1" s="86">
      <c r="T865" s="85" t="n"/>
      <c r="U865" s="85" t="n"/>
      <c r="V865" s="85" t="n"/>
      <c r="W865" s="85" t="n"/>
      <c r="X865" s="85" t="n"/>
      <c r="Y865" s="85" t="n"/>
      <c r="Z865" s="85" t="n"/>
    </row>
    <row r="866" ht="15.75" customHeight="1" s="86">
      <c r="T866" s="85" t="n"/>
      <c r="U866" s="85" t="n"/>
      <c r="V866" s="85" t="n"/>
      <c r="W866" s="85" t="n"/>
      <c r="X866" s="85" t="n"/>
      <c r="Y866" s="85" t="n"/>
      <c r="Z866" s="85" t="n"/>
    </row>
    <row r="867" ht="15.75" customHeight="1" s="86">
      <c r="T867" s="85" t="n"/>
      <c r="U867" s="85" t="n"/>
      <c r="V867" s="85" t="n"/>
      <c r="W867" s="85" t="n"/>
      <c r="X867" s="85" t="n"/>
      <c r="Y867" s="85" t="n"/>
      <c r="Z867" s="85" t="n"/>
    </row>
    <row r="868" ht="15.75" customHeight="1" s="86">
      <c r="T868" s="85" t="n"/>
      <c r="U868" s="85" t="n"/>
      <c r="V868" s="85" t="n"/>
      <c r="W868" s="85" t="n"/>
      <c r="X868" s="85" t="n"/>
      <c r="Y868" s="85" t="n"/>
      <c r="Z868" s="85" t="n"/>
    </row>
    <row r="869" ht="15.75" customHeight="1" s="86">
      <c r="T869" s="85" t="n"/>
      <c r="U869" s="85" t="n"/>
      <c r="V869" s="85" t="n"/>
      <c r="W869" s="85" t="n"/>
      <c r="X869" s="85" t="n"/>
      <c r="Y869" s="85" t="n"/>
      <c r="Z869" s="85" t="n"/>
    </row>
    <row r="870" ht="15.75" customHeight="1" s="86">
      <c r="T870" s="85" t="n"/>
      <c r="U870" s="85" t="n"/>
      <c r="V870" s="85" t="n"/>
      <c r="W870" s="85" t="n"/>
      <c r="X870" s="85" t="n"/>
      <c r="Y870" s="85" t="n"/>
      <c r="Z870" s="85" t="n"/>
    </row>
    <row r="871" ht="15.75" customHeight="1" s="86">
      <c r="T871" s="85" t="n"/>
      <c r="U871" s="85" t="n"/>
      <c r="V871" s="85" t="n"/>
      <c r="W871" s="85" t="n"/>
      <c r="X871" s="85" t="n"/>
      <c r="Y871" s="85" t="n"/>
      <c r="Z871" s="85" t="n"/>
    </row>
    <row r="872" ht="15.75" customHeight="1" s="86">
      <c r="T872" s="85" t="n"/>
      <c r="U872" s="85" t="n"/>
      <c r="V872" s="85" t="n"/>
      <c r="W872" s="85" t="n"/>
      <c r="X872" s="85" t="n"/>
      <c r="Y872" s="85" t="n"/>
      <c r="Z872" s="85" t="n"/>
    </row>
    <row r="873" ht="15.75" customHeight="1" s="86">
      <c r="T873" s="85" t="n"/>
      <c r="U873" s="85" t="n"/>
      <c r="V873" s="85" t="n"/>
      <c r="W873" s="85" t="n"/>
      <c r="X873" s="85" t="n"/>
      <c r="Y873" s="85" t="n"/>
      <c r="Z873" s="85" t="n"/>
    </row>
    <row r="874" ht="15.75" customHeight="1" s="86">
      <c r="T874" s="85" t="n"/>
      <c r="U874" s="85" t="n"/>
      <c r="V874" s="85" t="n"/>
      <c r="W874" s="85" t="n"/>
      <c r="X874" s="85" t="n"/>
      <c r="Y874" s="85" t="n"/>
      <c r="Z874" s="85" t="n"/>
    </row>
    <row r="875" ht="15.75" customHeight="1" s="86">
      <c r="T875" s="85" t="n"/>
      <c r="U875" s="85" t="n"/>
      <c r="V875" s="85" t="n"/>
      <c r="W875" s="85" t="n"/>
      <c r="X875" s="85" t="n"/>
      <c r="Y875" s="85" t="n"/>
      <c r="Z875" s="85" t="n"/>
    </row>
    <row r="876" ht="15.75" customHeight="1" s="86">
      <c r="T876" s="85" t="n"/>
      <c r="U876" s="85" t="n"/>
      <c r="V876" s="85" t="n"/>
      <c r="W876" s="85" t="n"/>
      <c r="X876" s="85" t="n"/>
      <c r="Y876" s="85" t="n"/>
      <c r="Z876" s="85" t="n"/>
    </row>
    <row r="877" ht="15.75" customHeight="1" s="86">
      <c r="T877" s="85" t="n"/>
      <c r="U877" s="85" t="n"/>
      <c r="V877" s="85" t="n"/>
      <c r="W877" s="85" t="n"/>
      <c r="X877" s="85" t="n"/>
      <c r="Y877" s="85" t="n"/>
      <c r="Z877" s="85" t="n"/>
    </row>
    <row r="878" ht="15.75" customHeight="1" s="86">
      <c r="T878" s="85" t="n"/>
      <c r="U878" s="85" t="n"/>
      <c r="V878" s="85" t="n"/>
      <c r="W878" s="85" t="n"/>
      <c r="X878" s="85" t="n"/>
      <c r="Y878" s="85" t="n"/>
      <c r="Z878" s="85" t="n"/>
    </row>
    <row r="879" ht="15.75" customHeight="1" s="86">
      <c r="T879" s="85" t="n"/>
      <c r="U879" s="85" t="n"/>
      <c r="V879" s="85" t="n"/>
      <c r="W879" s="85" t="n"/>
      <c r="X879" s="85" t="n"/>
      <c r="Y879" s="85" t="n"/>
      <c r="Z879" s="85" t="n"/>
    </row>
    <row r="880" ht="15.75" customHeight="1" s="86">
      <c r="T880" s="85" t="n"/>
      <c r="U880" s="85" t="n"/>
      <c r="V880" s="85" t="n"/>
      <c r="W880" s="85" t="n"/>
      <c r="X880" s="85" t="n"/>
      <c r="Y880" s="85" t="n"/>
      <c r="Z880" s="85" t="n"/>
    </row>
    <row r="881" ht="15.75" customHeight="1" s="86">
      <c r="T881" s="85" t="n"/>
      <c r="U881" s="85" t="n"/>
      <c r="V881" s="85" t="n"/>
      <c r="W881" s="85" t="n"/>
      <c r="X881" s="85" t="n"/>
      <c r="Y881" s="85" t="n"/>
      <c r="Z881" s="85" t="n"/>
    </row>
    <row r="882" ht="15.75" customHeight="1" s="86">
      <c r="T882" s="85" t="n"/>
      <c r="U882" s="85" t="n"/>
      <c r="V882" s="85" t="n"/>
      <c r="W882" s="85" t="n"/>
      <c r="X882" s="85" t="n"/>
      <c r="Y882" s="85" t="n"/>
      <c r="Z882" s="85" t="n"/>
    </row>
    <row r="883" ht="15.75" customHeight="1" s="86">
      <c r="T883" s="85" t="n"/>
      <c r="U883" s="85" t="n"/>
      <c r="V883" s="85" t="n"/>
      <c r="W883" s="85" t="n"/>
      <c r="X883" s="85" t="n"/>
      <c r="Y883" s="85" t="n"/>
      <c r="Z883" s="85" t="n"/>
    </row>
    <row r="884" ht="15.75" customHeight="1" s="86">
      <c r="T884" s="85" t="n"/>
      <c r="U884" s="85" t="n"/>
      <c r="V884" s="85" t="n"/>
      <c r="W884" s="85" t="n"/>
      <c r="X884" s="85" t="n"/>
      <c r="Y884" s="85" t="n"/>
      <c r="Z884" s="85" t="n"/>
    </row>
    <row r="885" ht="15.75" customHeight="1" s="86">
      <c r="T885" s="85" t="n"/>
      <c r="U885" s="85" t="n"/>
      <c r="V885" s="85" t="n"/>
      <c r="W885" s="85" t="n"/>
      <c r="X885" s="85" t="n"/>
      <c r="Y885" s="85" t="n"/>
      <c r="Z885" s="85" t="n"/>
    </row>
    <row r="886" ht="15.75" customHeight="1" s="86">
      <c r="T886" s="85" t="n"/>
      <c r="U886" s="85" t="n"/>
      <c r="V886" s="85" t="n"/>
      <c r="W886" s="85" t="n"/>
      <c r="X886" s="85" t="n"/>
      <c r="Y886" s="85" t="n"/>
      <c r="Z886" s="85" t="n"/>
    </row>
    <row r="887" ht="15.75" customHeight="1" s="86">
      <c r="T887" s="85" t="n"/>
      <c r="U887" s="85" t="n"/>
      <c r="V887" s="85" t="n"/>
      <c r="W887" s="85" t="n"/>
      <c r="X887" s="85" t="n"/>
      <c r="Y887" s="85" t="n"/>
      <c r="Z887" s="85" t="n"/>
    </row>
    <row r="888" ht="15.75" customHeight="1" s="86">
      <c r="T888" s="85" t="n"/>
      <c r="U888" s="85" t="n"/>
      <c r="V888" s="85" t="n"/>
      <c r="W888" s="85" t="n"/>
      <c r="X888" s="85" t="n"/>
      <c r="Y888" s="85" t="n"/>
      <c r="Z888" s="85" t="n"/>
    </row>
    <row r="889" ht="15.75" customHeight="1" s="86">
      <c r="T889" s="85" t="n"/>
      <c r="U889" s="85" t="n"/>
      <c r="V889" s="85" t="n"/>
      <c r="W889" s="85" t="n"/>
      <c r="X889" s="85" t="n"/>
      <c r="Y889" s="85" t="n"/>
      <c r="Z889" s="85" t="n"/>
    </row>
    <row r="890" ht="15.75" customHeight="1" s="86">
      <c r="T890" s="85" t="n"/>
      <c r="U890" s="85" t="n"/>
      <c r="V890" s="85" t="n"/>
      <c r="W890" s="85" t="n"/>
      <c r="X890" s="85" t="n"/>
      <c r="Y890" s="85" t="n"/>
      <c r="Z890" s="85" t="n"/>
    </row>
    <row r="891" ht="15.75" customHeight="1" s="86">
      <c r="T891" s="85" t="n"/>
      <c r="U891" s="85" t="n"/>
      <c r="V891" s="85" t="n"/>
      <c r="W891" s="85" t="n"/>
      <c r="X891" s="85" t="n"/>
      <c r="Y891" s="85" t="n"/>
      <c r="Z891" s="85" t="n"/>
    </row>
    <row r="892" ht="15.75" customHeight="1" s="86">
      <c r="T892" s="85" t="n"/>
      <c r="U892" s="85" t="n"/>
      <c r="V892" s="85" t="n"/>
      <c r="W892" s="85" t="n"/>
      <c r="X892" s="85" t="n"/>
      <c r="Y892" s="85" t="n"/>
      <c r="Z892" s="85" t="n"/>
    </row>
    <row r="893" ht="15.75" customHeight="1" s="86">
      <c r="T893" s="85" t="n"/>
      <c r="U893" s="85" t="n"/>
      <c r="V893" s="85" t="n"/>
      <c r="W893" s="85" t="n"/>
      <c r="X893" s="85" t="n"/>
      <c r="Y893" s="85" t="n"/>
      <c r="Z893" s="85" t="n"/>
    </row>
    <row r="894" ht="15.75" customHeight="1" s="86">
      <c r="T894" s="85" t="n"/>
      <c r="U894" s="85" t="n"/>
      <c r="V894" s="85" t="n"/>
      <c r="W894" s="85" t="n"/>
      <c r="X894" s="85" t="n"/>
      <c r="Y894" s="85" t="n"/>
      <c r="Z894" s="85" t="n"/>
    </row>
    <row r="895" ht="15.75" customHeight="1" s="86">
      <c r="T895" s="85" t="n"/>
      <c r="U895" s="85" t="n"/>
      <c r="V895" s="85" t="n"/>
      <c r="W895" s="85" t="n"/>
      <c r="X895" s="85" t="n"/>
      <c r="Y895" s="85" t="n"/>
      <c r="Z895" s="85" t="n"/>
    </row>
    <row r="896" ht="15.75" customHeight="1" s="86">
      <c r="T896" s="85" t="n"/>
      <c r="U896" s="85" t="n"/>
      <c r="V896" s="85" t="n"/>
      <c r="W896" s="85" t="n"/>
      <c r="X896" s="85" t="n"/>
      <c r="Y896" s="85" t="n"/>
      <c r="Z896" s="85" t="n"/>
    </row>
    <row r="897" ht="15.75" customHeight="1" s="86">
      <c r="T897" s="85" t="n"/>
      <c r="U897" s="85" t="n"/>
      <c r="V897" s="85" t="n"/>
      <c r="W897" s="85" t="n"/>
      <c r="X897" s="85" t="n"/>
      <c r="Y897" s="85" t="n"/>
      <c r="Z897" s="85" t="n"/>
    </row>
    <row r="898" ht="15.75" customHeight="1" s="86">
      <c r="T898" s="85" t="n"/>
      <c r="U898" s="85" t="n"/>
      <c r="V898" s="85" t="n"/>
      <c r="W898" s="85" t="n"/>
      <c r="X898" s="85" t="n"/>
      <c r="Y898" s="85" t="n"/>
      <c r="Z898" s="85" t="n"/>
    </row>
    <row r="899" ht="15.75" customHeight="1" s="86">
      <c r="T899" s="85" t="n"/>
      <c r="U899" s="85" t="n"/>
      <c r="V899" s="85" t="n"/>
      <c r="W899" s="85" t="n"/>
      <c r="X899" s="85" t="n"/>
      <c r="Y899" s="85" t="n"/>
      <c r="Z899" s="85" t="n"/>
    </row>
    <row r="900" ht="15.75" customHeight="1" s="86">
      <c r="T900" s="85" t="n"/>
      <c r="U900" s="85" t="n"/>
      <c r="V900" s="85" t="n"/>
      <c r="W900" s="85" t="n"/>
      <c r="X900" s="85" t="n"/>
      <c r="Y900" s="85" t="n"/>
      <c r="Z900" s="85" t="n"/>
    </row>
    <row r="901" ht="15.75" customHeight="1" s="86">
      <c r="T901" s="85" t="n"/>
      <c r="U901" s="85" t="n"/>
      <c r="V901" s="85" t="n"/>
      <c r="W901" s="85" t="n"/>
      <c r="X901" s="85" t="n"/>
      <c r="Y901" s="85" t="n"/>
      <c r="Z901" s="85" t="n"/>
    </row>
    <row r="902" ht="15.75" customHeight="1" s="86">
      <c r="T902" s="85" t="n"/>
      <c r="U902" s="85" t="n"/>
      <c r="V902" s="85" t="n"/>
      <c r="W902" s="85" t="n"/>
      <c r="X902" s="85" t="n"/>
      <c r="Y902" s="85" t="n"/>
      <c r="Z902" s="85" t="n"/>
    </row>
    <row r="903" ht="15.75" customHeight="1" s="86">
      <c r="T903" s="85" t="n"/>
      <c r="U903" s="85" t="n"/>
      <c r="V903" s="85" t="n"/>
      <c r="W903" s="85" t="n"/>
      <c r="X903" s="85" t="n"/>
      <c r="Y903" s="85" t="n"/>
      <c r="Z903" s="85" t="n"/>
    </row>
    <row r="904" ht="15.75" customHeight="1" s="86">
      <c r="T904" s="85" t="n"/>
      <c r="U904" s="85" t="n"/>
      <c r="V904" s="85" t="n"/>
      <c r="W904" s="85" t="n"/>
      <c r="X904" s="85" t="n"/>
      <c r="Y904" s="85" t="n"/>
      <c r="Z904" s="85" t="n"/>
    </row>
    <row r="905" ht="15.75" customHeight="1" s="86">
      <c r="T905" s="85" t="n"/>
      <c r="U905" s="85" t="n"/>
      <c r="V905" s="85" t="n"/>
      <c r="W905" s="85" t="n"/>
      <c r="X905" s="85" t="n"/>
      <c r="Y905" s="85" t="n"/>
      <c r="Z905" s="85" t="n"/>
    </row>
    <row r="906" ht="15.75" customHeight="1" s="86">
      <c r="T906" s="85" t="n"/>
      <c r="U906" s="85" t="n"/>
      <c r="V906" s="85" t="n"/>
      <c r="W906" s="85" t="n"/>
      <c r="X906" s="85" t="n"/>
      <c r="Y906" s="85" t="n"/>
      <c r="Z906" s="85" t="n"/>
    </row>
    <row r="907" ht="15.75" customHeight="1" s="86">
      <c r="T907" s="85" t="n"/>
      <c r="U907" s="85" t="n"/>
      <c r="V907" s="85" t="n"/>
      <c r="W907" s="85" t="n"/>
      <c r="X907" s="85" t="n"/>
      <c r="Y907" s="85" t="n"/>
      <c r="Z907" s="85" t="n"/>
    </row>
    <row r="908" ht="15.75" customHeight="1" s="86">
      <c r="T908" s="85" t="n"/>
      <c r="U908" s="85" t="n"/>
      <c r="V908" s="85" t="n"/>
      <c r="W908" s="85" t="n"/>
      <c r="X908" s="85" t="n"/>
      <c r="Y908" s="85" t="n"/>
      <c r="Z908" s="85" t="n"/>
    </row>
    <row r="909" ht="15.75" customHeight="1" s="86">
      <c r="T909" s="85" t="n"/>
      <c r="U909" s="85" t="n"/>
      <c r="V909" s="85" t="n"/>
      <c r="W909" s="85" t="n"/>
      <c r="X909" s="85" t="n"/>
      <c r="Y909" s="85" t="n"/>
      <c r="Z909" s="85" t="n"/>
    </row>
    <row r="910" ht="15.75" customHeight="1" s="86">
      <c r="T910" s="85" t="n"/>
      <c r="U910" s="85" t="n"/>
      <c r="V910" s="85" t="n"/>
      <c r="W910" s="85" t="n"/>
      <c r="X910" s="85" t="n"/>
      <c r="Y910" s="85" t="n"/>
      <c r="Z910" s="85" t="n"/>
    </row>
    <row r="911" ht="15.75" customHeight="1" s="86">
      <c r="T911" s="85" t="n"/>
      <c r="U911" s="85" t="n"/>
      <c r="V911" s="85" t="n"/>
      <c r="W911" s="85" t="n"/>
      <c r="X911" s="85" t="n"/>
      <c r="Y911" s="85" t="n"/>
      <c r="Z911" s="85" t="n"/>
    </row>
    <row r="912" ht="15.75" customHeight="1" s="86">
      <c r="T912" s="85" t="n"/>
      <c r="U912" s="85" t="n"/>
      <c r="V912" s="85" t="n"/>
      <c r="W912" s="85" t="n"/>
      <c r="X912" s="85" t="n"/>
      <c r="Y912" s="85" t="n"/>
      <c r="Z912" s="85" t="n"/>
    </row>
    <row r="913" ht="15.75" customHeight="1" s="86">
      <c r="T913" s="85" t="n"/>
      <c r="U913" s="85" t="n"/>
      <c r="V913" s="85" t="n"/>
      <c r="W913" s="85" t="n"/>
      <c r="X913" s="85" t="n"/>
      <c r="Y913" s="85" t="n"/>
      <c r="Z913" s="85" t="n"/>
    </row>
    <row r="914" ht="15.75" customHeight="1" s="86">
      <c r="T914" s="85" t="n"/>
      <c r="U914" s="85" t="n"/>
      <c r="V914" s="85" t="n"/>
      <c r="W914" s="85" t="n"/>
      <c r="X914" s="85" t="n"/>
      <c r="Y914" s="85" t="n"/>
      <c r="Z914" s="85" t="n"/>
    </row>
    <row r="915" ht="15.75" customHeight="1" s="86">
      <c r="T915" s="85" t="n"/>
      <c r="U915" s="85" t="n"/>
      <c r="V915" s="85" t="n"/>
      <c r="W915" s="85" t="n"/>
      <c r="X915" s="85" t="n"/>
      <c r="Y915" s="85" t="n"/>
      <c r="Z915" s="85" t="n"/>
    </row>
    <row r="916" ht="15.75" customHeight="1" s="86">
      <c r="T916" s="85" t="n"/>
      <c r="U916" s="85" t="n"/>
      <c r="V916" s="85" t="n"/>
      <c r="W916" s="85" t="n"/>
      <c r="X916" s="85" t="n"/>
      <c r="Y916" s="85" t="n"/>
      <c r="Z916" s="85" t="n"/>
    </row>
    <row r="917" ht="15.75" customHeight="1" s="86">
      <c r="T917" s="85" t="n"/>
      <c r="U917" s="85" t="n"/>
      <c r="V917" s="85" t="n"/>
      <c r="W917" s="85" t="n"/>
      <c r="X917" s="85" t="n"/>
      <c r="Y917" s="85" t="n"/>
      <c r="Z917" s="85" t="n"/>
    </row>
    <row r="918" ht="15.75" customHeight="1" s="86">
      <c r="T918" s="85" t="n"/>
      <c r="U918" s="85" t="n"/>
      <c r="V918" s="85" t="n"/>
      <c r="W918" s="85" t="n"/>
      <c r="X918" s="85" t="n"/>
      <c r="Y918" s="85" t="n"/>
      <c r="Z918" s="85" t="n"/>
    </row>
    <row r="919" ht="15.75" customHeight="1" s="86">
      <c r="T919" s="85" t="n"/>
      <c r="U919" s="85" t="n"/>
      <c r="V919" s="85" t="n"/>
      <c r="W919" s="85" t="n"/>
      <c r="X919" s="85" t="n"/>
      <c r="Y919" s="85" t="n"/>
      <c r="Z919" s="85" t="n"/>
    </row>
    <row r="920" ht="15.75" customHeight="1" s="86">
      <c r="T920" s="85" t="n"/>
      <c r="U920" s="85" t="n"/>
      <c r="V920" s="85" t="n"/>
      <c r="W920" s="85" t="n"/>
      <c r="X920" s="85" t="n"/>
      <c r="Y920" s="85" t="n"/>
      <c r="Z920" s="85" t="n"/>
    </row>
    <row r="921" ht="15.75" customHeight="1" s="86">
      <c r="T921" s="85" t="n"/>
      <c r="U921" s="85" t="n"/>
      <c r="V921" s="85" t="n"/>
      <c r="W921" s="85" t="n"/>
      <c r="X921" s="85" t="n"/>
      <c r="Y921" s="85" t="n"/>
      <c r="Z921" s="85" t="n"/>
    </row>
    <row r="922" ht="15.75" customHeight="1" s="86">
      <c r="T922" s="85" t="n"/>
      <c r="U922" s="85" t="n"/>
      <c r="V922" s="85" t="n"/>
      <c r="W922" s="85" t="n"/>
      <c r="X922" s="85" t="n"/>
      <c r="Y922" s="85" t="n"/>
      <c r="Z922" s="85" t="n"/>
    </row>
    <row r="923" ht="15.75" customHeight="1" s="86">
      <c r="T923" s="85" t="n"/>
      <c r="U923" s="85" t="n"/>
      <c r="V923" s="85" t="n"/>
      <c r="W923" s="85" t="n"/>
      <c r="X923" s="85" t="n"/>
      <c r="Y923" s="85" t="n"/>
      <c r="Z923" s="85" t="n"/>
    </row>
    <row r="924" ht="15.75" customHeight="1" s="86">
      <c r="T924" s="85" t="n"/>
      <c r="U924" s="85" t="n"/>
      <c r="V924" s="85" t="n"/>
      <c r="W924" s="85" t="n"/>
      <c r="X924" s="85" t="n"/>
      <c r="Y924" s="85" t="n"/>
      <c r="Z924" s="85" t="n"/>
    </row>
    <row r="925" ht="15.75" customHeight="1" s="86">
      <c r="T925" s="85" t="n"/>
      <c r="U925" s="85" t="n"/>
      <c r="V925" s="85" t="n"/>
      <c r="W925" s="85" t="n"/>
      <c r="X925" s="85" t="n"/>
      <c r="Y925" s="85" t="n"/>
      <c r="Z925" s="85" t="n"/>
    </row>
    <row r="926" ht="15.75" customHeight="1" s="86">
      <c r="T926" s="85" t="n"/>
      <c r="U926" s="85" t="n"/>
      <c r="V926" s="85" t="n"/>
      <c r="W926" s="85" t="n"/>
      <c r="X926" s="85" t="n"/>
      <c r="Y926" s="85" t="n"/>
      <c r="Z926" s="85" t="n"/>
    </row>
    <row r="927" ht="15.75" customHeight="1" s="86">
      <c r="T927" s="85" t="n"/>
      <c r="U927" s="85" t="n"/>
      <c r="V927" s="85" t="n"/>
      <c r="W927" s="85" t="n"/>
      <c r="X927" s="85" t="n"/>
      <c r="Y927" s="85" t="n"/>
      <c r="Z927" s="85" t="n"/>
    </row>
    <row r="928" ht="15.75" customHeight="1" s="86">
      <c r="T928" s="85" t="n"/>
      <c r="U928" s="85" t="n"/>
      <c r="V928" s="85" t="n"/>
      <c r="W928" s="85" t="n"/>
      <c r="X928" s="85" t="n"/>
      <c r="Y928" s="85" t="n"/>
      <c r="Z928" s="85" t="n"/>
    </row>
    <row r="929" ht="15.75" customHeight="1" s="86">
      <c r="T929" s="85" t="n"/>
      <c r="U929" s="85" t="n"/>
      <c r="V929" s="85" t="n"/>
      <c r="W929" s="85" t="n"/>
      <c r="X929" s="85" t="n"/>
      <c r="Y929" s="85" t="n"/>
      <c r="Z929" s="85" t="n"/>
    </row>
    <row r="930" ht="15.75" customHeight="1" s="86">
      <c r="T930" s="85" t="n"/>
      <c r="U930" s="85" t="n"/>
      <c r="V930" s="85" t="n"/>
      <c r="W930" s="85" t="n"/>
      <c r="X930" s="85" t="n"/>
      <c r="Y930" s="85" t="n"/>
      <c r="Z930" s="85" t="n"/>
    </row>
    <row r="931" ht="15.75" customHeight="1" s="86">
      <c r="T931" s="85" t="n"/>
      <c r="U931" s="85" t="n"/>
      <c r="V931" s="85" t="n"/>
      <c r="W931" s="85" t="n"/>
      <c r="X931" s="85" t="n"/>
      <c r="Y931" s="85" t="n"/>
      <c r="Z931" s="85" t="n"/>
    </row>
    <row r="932" ht="15.75" customHeight="1" s="86">
      <c r="T932" s="85" t="n"/>
      <c r="U932" s="85" t="n"/>
      <c r="V932" s="85" t="n"/>
      <c r="W932" s="85" t="n"/>
      <c r="X932" s="85" t="n"/>
      <c r="Y932" s="85" t="n"/>
      <c r="Z932" s="85" t="n"/>
    </row>
    <row r="933" ht="15.75" customHeight="1" s="86">
      <c r="T933" s="85" t="n"/>
      <c r="U933" s="85" t="n"/>
      <c r="V933" s="85" t="n"/>
      <c r="W933" s="85" t="n"/>
      <c r="X933" s="85" t="n"/>
      <c r="Y933" s="85" t="n"/>
      <c r="Z933" s="85" t="n"/>
    </row>
    <row r="934" ht="15.75" customHeight="1" s="86">
      <c r="T934" s="85" t="n"/>
      <c r="U934" s="85" t="n"/>
      <c r="V934" s="85" t="n"/>
      <c r="W934" s="85" t="n"/>
      <c r="X934" s="85" t="n"/>
      <c r="Y934" s="85" t="n"/>
      <c r="Z934" s="85" t="n"/>
    </row>
    <row r="935" ht="15.75" customHeight="1" s="86">
      <c r="T935" s="85" t="n"/>
      <c r="U935" s="85" t="n"/>
      <c r="V935" s="85" t="n"/>
      <c r="W935" s="85" t="n"/>
      <c r="X935" s="85" t="n"/>
      <c r="Y935" s="85" t="n"/>
      <c r="Z935" s="85" t="n"/>
    </row>
    <row r="936" ht="15.75" customHeight="1" s="86">
      <c r="T936" s="85" t="n"/>
      <c r="U936" s="85" t="n"/>
      <c r="V936" s="85" t="n"/>
      <c r="W936" s="85" t="n"/>
      <c r="X936" s="85" t="n"/>
      <c r="Y936" s="85" t="n"/>
      <c r="Z936" s="85" t="n"/>
    </row>
    <row r="937" ht="15.75" customHeight="1" s="86">
      <c r="T937" s="85" t="n"/>
      <c r="U937" s="85" t="n"/>
      <c r="V937" s="85" t="n"/>
      <c r="W937" s="85" t="n"/>
      <c r="X937" s="85" t="n"/>
      <c r="Y937" s="85" t="n"/>
      <c r="Z937" s="85" t="n"/>
    </row>
    <row r="938" ht="15.75" customHeight="1" s="86">
      <c r="T938" s="85" t="n"/>
      <c r="U938" s="85" t="n"/>
      <c r="V938" s="85" t="n"/>
      <c r="W938" s="85" t="n"/>
      <c r="X938" s="85" t="n"/>
      <c r="Y938" s="85" t="n"/>
      <c r="Z938" s="85" t="n"/>
    </row>
    <row r="939" ht="15.75" customHeight="1" s="86">
      <c r="T939" s="85" t="n"/>
      <c r="U939" s="85" t="n"/>
      <c r="V939" s="85" t="n"/>
      <c r="W939" s="85" t="n"/>
      <c r="X939" s="85" t="n"/>
      <c r="Y939" s="85" t="n"/>
      <c r="Z939" s="85" t="n"/>
    </row>
    <row r="940" ht="15.75" customHeight="1" s="86">
      <c r="T940" s="85" t="n"/>
      <c r="U940" s="85" t="n"/>
      <c r="V940" s="85" t="n"/>
      <c r="W940" s="85" t="n"/>
      <c r="X940" s="85" t="n"/>
      <c r="Y940" s="85" t="n"/>
      <c r="Z940" s="85" t="n"/>
    </row>
    <row r="941" ht="15.75" customHeight="1" s="86">
      <c r="T941" s="85" t="n"/>
      <c r="U941" s="85" t="n"/>
      <c r="V941" s="85" t="n"/>
      <c r="W941" s="85" t="n"/>
      <c r="X941" s="85" t="n"/>
      <c r="Y941" s="85" t="n"/>
      <c r="Z941" s="85" t="n"/>
    </row>
    <row r="942" ht="15.75" customHeight="1" s="86">
      <c r="T942" s="85" t="n"/>
      <c r="U942" s="85" t="n"/>
      <c r="V942" s="85" t="n"/>
      <c r="W942" s="85" t="n"/>
      <c r="X942" s="85" t="n"/>
      <c r="Y942" s="85" t="n"/>
      <c r="Z942" s="85" t="n"/>
    </row>
    <row r="943" ht="15.75" customHeight="1" s="86">
      <c r="T943" s="85" t="n"/>
      <c r="U943" s="85" t="n"/>
      <c r="V943" s="85" t="n"/>
      <c r="W943" s="85" t="n"/>
      <c r="X943" s="85" t="n"/>
      <c r="Y943" s="85" t="n"/>
      <c r="Z943" s="85" t="n"/>
    </row>
    <row r="944" ht="15.75" customHeight="1" s="86">
      <c r="T944" s="85" t="n"/>
      <c r="U944" s="85" t="n"/>
      <c r="V944" s="85" t="n"/>
      <c r="W944" s="85" t="n"/>
      <c r="X944" s="85" t="n"/>
      <c r="Y944" s="85" t="n"/>
      <c r="Z944" s="85" t="n"/>
    </row>
    <row r="945" ht="15.75" customHeight="1" s="86">
      <c r="T945" s="85" t="n"/>
      <c r="U945" s="85" t="n"/>
      <c r="V945" s="85" t="n"/>
      <c r="W945" s="85" t="n"/>
      <c r="X945" s="85" t="n"/>
      <c r="Y945" s="85" t="n"/>
      <c r="Z945" s="85" t="n"/>
    </row>
    <row r="946" ht="15.75" customHeight="1" s="86">
      <c r="T946" s="85" t="n"/>
      <c r="U946" s="85" t="n"/>
      <c r="V946" s="85" t="n"/>
      <c r="W946" s="85" t="n"/>
      <c r="X946" s="85" t="n"/>
      <c r="Y946" s="85" t="n"/>
      <c r="Z946" s="85" t="n"/>
    </row>
    <row r="947" ht="15.75" customHeight="1" s="86">
      <c r="T947" s="85" t="n"/>
      <c r="U947" s="85" t="n"/>
      <c r="V947" s="85" t="n"/>
      <c r="W947" s="85" t="n"/>
      <c r="X947" s="85" t="n"/>
      <c r="Y947" s="85" t="n"/>
      <c r="Z947" s="85" t="n"/>
    </row>
    <row r="948" ht="15.75" customHeight="1" s="86">
      <c r="T948" s="85" t="n"/>
      <c r="U948" s="85" t="n"/>
      <c r="V948" s="85" t="n"/>
      <c r="W948" s="85" t="n"/>
      <c r="X948" s="85" t="n"/>
      <c r="Y948" s="85" t="n"/>
      <c r="Z948" s="85" t="n"/>
    </row>
    <row r="949" ht="15.75" customHeight="1" s="86">
      <c r="T949" s="85" t="n"/>
      <c r="U949" s="85" t="n"/>
      <c r="V949" s="85" t="n"/>
      <c r="W949" s="85" t="n"/>
      <c r="X949" s="85" t="n"/>
      <c r="Y949" s="85" t="n"/>
      <c r="Z949" s="85" t="n"/>
    </row>
    <row r="950" ht="15.75" customHeight="1" s="86">
      <c r="T950" s="85" t="n"/>
      <c r="U950" s="85" t="n"/>
      <c r="V950" s="85" t="n"/>
      <c r="W950" s="85" t="n"/>
      <c r="X950" s="85" t="n"/>
      <c r="Y950" s="85" t="n"/>
      <c r="Z950" s="85" t="n"/>
    </row>
    <row r="951" ht="15.75" customHeight="1" s="86">
      <c r="T951" s="85" t="n"/>
      <c r="U951" s="85" t="n"/>
      <c r="V951" s="85" t="n"/>
      <c r="W951" s="85" t="n"/>
      <c r="X951" s="85" t="n"/>
      <c r="Y951" s="85" t="n"/>
      <c r="Z951" s="85" t="n"/>
    </row>
    <row r="952" ht="15.75" customHeight="1" s="86">
      <c r="T952" s="85" t="n"/>
      <c r="U952" s="85" t="n"/>
      <c r="V952" s="85" t="n"/>
      <c r="W952" s="85" t="n"/>
      <c r="X952" s="85" t="n"/>
      <c r="Y952" s="85" t="n"/>
      <c r="Z952" s="85" t="n"/>
    </row>
    <row r="953" ht="15.75" customHeight="1" s="86">
      <c r="T953" s="85" t="n"/>
      <c r="U953" s="85" t="n"/>
      <c r="V953" s="85" t="n"/>
      <c r="W953" s="85" t="n"/>
      <c r="X953" s="85" t="n"/>
      <c r="Y953" s="85" t="n"/>
      <c r="Z953" s="85" t="n"/>
    </row>
    <row r="954" ht="15.75" customHeight="1" s="86">
      <c r="T954" s="85" t="n"/>
      <c r="U954" s="85" t="n"/>
      <c r="V954" s="85" t="n"/>
      <c r="W954" s="85" t="n"/>
      <c r="X954" s="85" t="n"/>
      <c r="Y954" s="85" t="n"/>
      <c r="Z954" s="85" t="n"/>
    </row>
    <row r="955" ht="15.75" customHeight="1" s="86">
      <c r="T955" s="85" t="n"/>
      <c r="U955" s="85" t="n"/>
      <c r="V955" s="85" t="n"/>
      <c r="W955" s="85" t="n"/>
      <c r="X955" s="85" t="n"/>
      <c r="Y955" s="85" t="n"/>
      <c r="Z955" s="85" t="n"/>
    </row>
    <row r="956" ht="15.75" customHeight="1" s="86">
      <c r="T956" s="85" t="n"/>
      <c r="U956" s="85" t="n"/>
      <c r="V956" s="85" t="n"/>
      <c r="W956" s="85" t="n"/>
      <c r="X956" s="85" t="n"/>
      <c r="Y956" s="85" t="n"/>
      <c r="Z956" s="85" t="n"/>
    </row>
    <row r="957" ht="15.75" customHeight="1" s="86">
      <c r="T957" s="85" t="n"/>
      <c r="U957" s="85" t="n"/>
      <c r="V957" s="85" t="n"/>
      <c r="W957" s="85" t="n"/>
      <c r="X957" s="85" t="n"/>
      <c r="Y957" s="85" t="n"/>
      <c r="Z957" s="85" t="n"/>
    </row>
    <row r="958" ht="15.75" customHeight="1" s="86">
      <c r="T958" s="85" t="n"/>
      <c r="U958" s="85" t="n"/>
      <c r="V958" s="85" t="n"/>
      <c r="W958" s="85" t="n"/>
      <c r="X958" s="85" t="n"/>
      <c r="Y958" s="85" t="n"/>
      <c r="Z958" s="85" t="n"/>
    </row>
    <row r="959" ht="15.75" customHeight="1" s="86">
      <c r="T959" s="85" t="n"/>
      <c r="U959" s="85" t="n"/>
      <c r="V959" s="85" t="n"/>
      <c r="W959" s="85" t="n"/>
      <c r="X959" s="85" t="n"/>
      <c r="Y959" s="85" t="n"/>
      <c r="Z959" s="85" t="n"/>
    </row>
    <row r="960" ht="15.75" customHeight="1" s="86">
      <c r="T960" s="85" t="n"/>
      <c r="U960" s="85" t="n"/>
      <c r="V960" s="85" t="n"/>
      <c r="W960" s="85" t="n"/>
      <c r="X960" s="85" t="n"/>
      <c r="Y960" s="85" t="n"/>
      <c r="Z960" s="85" t="n"/>
    </row>
    <row r="961" ht="15.75" customHeight="1" s="86">
      <c r="T961" s="85" t="n"/>
      <c r="U961" s="85" t="n"/>
      <c r="V961" s="85" t="n"/>
      <c r="W961" s="85" t="n"/>
      <c r="X961" s="85" t="n"/>
      <c r="Y961" s="85" t="n"/>
      <c r="Z961" s="85" t="n"/>
    </row>
    <row r="962" ht="15.75" customHeight="1" s="86">
      <c r="T962" s="85" t="n"/>
      <c r="U962" s="85" t="n"/>
      <c r="V962" s="85" t="n"/>
      <c r="W962" s="85" t="n"/>
      <c r="X962" s="85" t="n"/>
      <c r="Y962" s="85" t="n"/>
      <c r="Z962" s="85" t="n"/>
    </row>
    <row r="963" ht="15.75" customHeight="1" s="86">
      <c r="T963" s="85" t="n"/>
      <c r="U963" s="85" t="n"/>
      <c r="V963" s="85" t="n"/>
      <c r="W963" s="85" t="n"/>
      <c r="X963" s="85" t="n"/>
      <c r="Y963" s="85" t="n"/>
      <c r="Z963" s="85" t="n"/>
    </row>
    <row r="964" ht="15.75" customHeight="1" s="86">
      <c r="T964" s="85" t="n"/>
      <c r="U964" s="85" t="n"/>
      <c r="V964" s="85" t="n"/>
      <c r="W964" s="85" t="n"/>
      <c r="X964" s="85" t="n"/>
      <c r="Y964" s="85" t="n"/>
      <c r="Z964" s="85" t="n"/>
    </row>
    <row r="965" ht="15.75" customHeight="1" s="86">
      <c r="T965" s="85" t="n"/>
      <c r="U965" s="85" t="n"/>
      <c r="V965" s="85" t="n"/>
      <c r="W965" s="85" t="n"/>
      <c r="X965" s="85" t="n"/>
      <c r="Y965" s="85" t="n"/>
      <c r="Z965" s="85" t="n"/>
    </row>
    <row r="966" ht="15.75" customHeight="1" s="86">
      <c r="T966" s="85" t="n"/>
      <c r="U966" s="85" t="n"/>
      <c r="V966" s="85" t="n"/>
      <c r="W966" s="85" t="n"/>
      <c r="X966" s="85" t="n"/>
      <c r="Y966" s="85" t="n"/>
      <c r="Z966" s="85" t="n"/>
    </row>
    <row r="967" ht="15.75" customHeight="1" s="86">
      <c r="T967" s="85" t="n"/>
      <c r="U967" s="85" t="n"/>
      <c r="V967" s="85" t="n"/>
      <c r="W967" s="85" t="n"/>
      <c r="X967" s="85" t="n"/>
      <c r="Y967" s="85" t="n"/>
      <c r="Z967" s="85" t="n"/>
    </row>
    <row r="968" ht="15.75" customHeight="1" s="86">
      <c r="T968" s="85" t="n"/>
      <c r="U968" s="85" t="n"/>
      <c r="V968" s="85" t="n"/>
      <c r="W968" s="85" t="n"/>
      <c r="X968" s="85" t="n"/>
      <c r="Y968" s="85" t="n"/>
      <c r="Z968" s="85" t="n"/>
    </row>
    <row r="969" ht="15.75" customHeight="1" s="86">
      <c r="T969" s="85" t="n"/>
      <c r="U969" s="85" t="n"/>
      <c r="V969" s="85" t="n"/>
      <c r="W969" s="85" t="n"/>
      <c r="X969" s="85" t="n"/>
      <c r="Y969" s="85" t="n"/>
      <c r="Z969" s="85" t="n"/>
    </row>
    <row r="970" ht="15.75" customHeight="1" s="86">
      <c r="T970" s="85" t="n"/>
      <c r="U970" s="85" t="n"/>
      <c r="V970" s="85" t="n"/>
      <c r="W970" s="85" t="n"/>
      <c r="X970" s="85" t="n"/>
      <c r="Y970" s="85" t="n"/>
      <c r="Z970" s="85" t="n"/>
    </row>
    <row r="971" ht="15.75" customHeight="1" s="86">
      <c r="T971" s="85" t="n"/>
      <c r="U971" s="85" t="n"/>
      <c r="V971" s="85" t="n"/>
      <c r="W971" s="85" t="n"/>
      <c r="X971" s="85" t="n"/>
      <c r="Y971" s="85" t="n"/>
      <c r="Z971" s="85" t="n"/>
    </row>
    <row r="972" ht="15.75" customHeight="1" s="86">
      <c r="T972" s="85" t="n"/>
      <c r="U972" s="85" t="n"/>
      <c r="V972" s="85" t="n"/>
      <c r="W972" s="85" t="n"/>
      <c r="X972" s="85" t="n"/>
      <c r="Y972" s="85" t="n"/>
      <c r="Z972" s="85" t="n"/>
    </row>
    <row r="973" ht="15.75" customHeight="1" s="86">
      <c r="T973" s="85" t="n"/>
      <c r="U973" s="85" t="n"/>
      <c r="V973" s="85" t="n"/>
      <c r="W973" s="85" t="n"/>
      <c r="X973" s="85" t="n"/>
      <c r="Y973" s="85" t="n"/>
      <c r="Z973" s="85" t="n"/>
    </row>
    <row r="974" ht="15.75" customHeight="1" s="86">
      <c r="T974" s="85" t="n"/>
      <c r="U974" s="85" t="n"/>
      <c r="V974" s="85" t="n"/>
      <c r="W974" s="85" t="n"/>
      <c r="X974" s="85" t="n"/>
      <c r="Y974" s="85" t="n"/>
      <c r="Z974" s="85" t="n"/>
    </row>
    <row r="975" ht="15.75" customHeight="1" s="86">
      <c r="T975" s="85" t="n"/>
      <c r="U975" s="85" t="n"/>
      <c r="V975" s="85" t="n"/>
      <c r="W975" s="85" t="n"/>
      <c r="X975" s="85" t="n"/>
      <c r="Y975" s="85" t="n"/>
      <c r="Z975" s="85" t="n"/>
    </row>
    <row r="976" ht="15.75" customHeight="1" s="86">
      <c r="T976" s="85" t="n"/>
      <c r="U976" s="85" t="n"/>
      <c r="V976" s="85" t="n"/>
      <c r="W976" s="85" t="n"/>
      <c r="X976" s="85" t="n"/>
      <c r="Y976" s="85" t="n"/>
      <c r="Z976" s="85" t="n"/>
    </row>
    <row r="977" ht="15.75" customHeight="1" s="86">
      <c r="T977" s="85" t="n"/>
      <c r="U977" s="85" t="n"/>
      <c r="V977" s="85" t="n"/>
      <c r="W977" s="85" t="n"/>
      <c r="X977" s="85" t="n"/>
      <c r="Y977" s="85" t="n"/>
      <c r="Z977" s="85" t="n"/>
    </row>
    <row r="978" ht="15.75" customHeight="1" s="86">
      <c r="T978" s="85" t="n"/>
      <c r="U978" s="85" t="n"/>
      <c r="V978" s="85" t="n"/>
      <c r="W978" s="85" t="n"/>
      <c r="X978" s="85" t="n"/>
      <c r="Y978" s="85" t="n"/>
      <c r="Z978" s="85" t="n"/>
    </row>
    <row r="979" ht="15.75" customHeight="1" s="86">
      <c r="T979" s="85" t="n"/>
      <c r="U979" s="85" t="n"/>
      <c r="V979" s="85" t="n"/>
      <c r="W979" s="85" t="n"/>
      <c r="X979" s="85" t="n"/>
      <c r="Y979" s="85" t="n"/>
      <c r="Z979" s="85" t="n"/>
    </row>
    <row r="980" ht="15.75" customHeight="1" s="86">
      <c r="T980" s="85" t="n"/>
      <c r="U980" s="85" t="n"/>
      <c r="V980" s="85" t="n"/>
      <c r="W980" s="85" t="n"/>
      <c r="X980" s="85" t="n"/>
      <c r="Y980" s="85" t="n"/>
      <c r="Z980" s="85" t="n"/>
    </row>
    <row r="981" ht="15.75" customHeight="1" s="86">
      <c r="T981" s="85" t="n"/>
      <c r="U981" s="85" t="n"/>
      <c r="V981" s="85" t="n"/>
      <c r="W981" s="85" t="n"/>
      <c r="X981" s="85" t="n"/>
      <c r="Y981" s="85" t="n"/>
      <c r="Z981" s="85" t="n"/>
    </row>
    <row r="982" ht="15.75" customHeight="1" s="86">
      <c r="T982" s="85" t="n"/>
      <c r="U982" s="85" t="n"/>
      <c r="V982" s="85" t="n"/>
      <c r="W982" s="85" t="n"/>
      <c r="X982" s="85" t="n"/>
      <c r="Y982" s="85" t="n"/>
      <c r="Z982" s="85" t="n"/>
    </row>
    <row r="983" ht="15.75" customHeight="1" s="86">
      <c r="T983" s="85" t="n"/>
      <c r="U983" s="85" t="n"/>
      <c r="V983" s="85" t="n"/>
      <c r="W983" s="85" t="n"/>
      <c r="X983" s="85" t="n"/>
      <c r="Y983" s="85" t="n"/>
      <c r="Z983" s="85" t="n"/>
    </row>
    <row r="984" ht="15.75" customHeight="1" s="86">
      <c r="T984" s="85" t="n"/>
      <c r="U984" s="85" t="n"/>
      <c r="V984" s="85" t="n"/>
      <c r="W984" s="85" t="n"/>
      <c r="X984" s="85" t="n"/>
      <c r="Y984" s="85" t="n"/>
      <c r="Z984" s="85" t="n"/>
    </row>
    <row r="985" ht="15.75" customHeight="1" s="86">
      <c r="T985" s="85" t="n"/>
      <c r="U985" s="85" t="n"/>
      <c r="V985" s="85" t="n"/>
      <c r="W985" s="85" t="n"/>
      <c r="X985" s="85" t="n"/>
      <c r="Y985" s="85" t="n"/>
      <c r="Z985" s="85" t="n"/>
    </row>
    <row r="986" ht="15.75" customHeight="1" s="86">
      <c r="T986" s="85" t="n"/>
      <c r="U986" s="85" t="n"/>
      <c r="V986" s="85" t="n"/>
      <c r="W986" s="85" t="n"/>
      <c r="X986" s="85" t="n"/>
      <c r="Y986" s="85" t="n"/>
      <c r="Z986" s="85" t="n"/>
    </row>
    <row r="987" ht="15.75" customHeight="1" s="86">
      <c r="T987" s="85" t="n"/>
      <c r="U987" s="85" t="n"/>
      <c r="V987" s="85" t="n"/>
      <c r="W987" s="85" t="n"/>
      <c r="X987" s="85" t="n"/>
      <c r="Y987" s="85" t="n"/>
      <c r="Z987" s="85" t="n"/>
    </row>
    <row r="988" ht="15.75" customHeight="1" s="86">
      <c r="T988" s="85" t="n"/>
      <c r="U988" s="85" t="n"/>
      <c r="V988" s="85" t="n"/>
      <c r="W988" s="85" t="n"/>
      <c r="X988" s="85" t="n"/>
      <c r="Y988" s="85" t="n"/>
      <c r="Z988" s="85" t="n"/>
    </row>
    <row r="989" ht="15.75" customHeight="1" s="86">
      <c r="T989" s="85" t="n"/>
      <c r="U989" s="85" t="n"/>
      <c r="V989" s="85" t="n"/>
      <c r="W989" s="85" t="n"/>
      <c r="X989" s="85" t="n"/>
      <c r="Y989" s="85" t="n"/>
      <c r="Z989" s="85" t="n"/>
    </row>
    <row r="990" ht="15.75" customHeight="1" s="86">
      <c r="T990" s="85" t="n"/>
      <c r="U990" s="85" t="n"/>
      <c r="V990" s="85" t="n"/>
      <c r="W990" s="85" t="n"/>
      <c r="X990" s="85" t="n"/>
      <c r="Y990" s="85" t="n"/>
      <c r="Z990" s="85" t="n"/>
    </row>
    <row r="991" ht="15.75" customHeight="1" s="86">
      <c r="T991" s="85" t="n"/>
      <c r="U991" s="85" t="n"/>
      <c r="V991" s="85" t="n"/>
      <c r="W991" s="85" t="n"/>
      <c r="X991" s="85" t="n"/>
      <c r="Y991" s="85" t="n"/>
      <c r="Z991" s="85" t="n"/>
    </row>
    <row r="992" ht="15.75" customHeight="1" s="86">
      <c r="T992" s="85" t="n"/>
      <c r="U992" s="85" t="n"/>
      <c r="V992" s="85" t="n"/>
      <c r="W992" s="85" t="n"/>
      <c r="X992" s="85" t="n"/>
      <c r="Y992" s="85" t="n"/>
      <c r="Z992" s="85" t="n"/>
    </row>
    <row r="993" ht="15.75" customHeight="1" s="86">
      <c r="T993" s="85" t="n"/>
      <c r="U993" s="85" t="n"/>
      <c r="V993" s="85" t="n"/>
      <c r="W993" s="85" t="n"/>
      <c r="X993" s="85" t="n"/>
      <c r="Y993" s="85" t="n"/>
      <c r="Z993" s="85" t="n"/>
    </row>
    <row r="994" ht="15.75" customHeight="1" s="86">
      <c r="T994" s="85" t="n"/>
      <c r="U994" s="85" t="n"/>
      <c r="V994" s="85" t="n"/>
      <c r="W994" s="85" t="n"/>
      <c r="X994" s="85" t="n"/>
      <c r="Y994" s="85" t="n"/>
      <c r="Z994" s="85" t="n"/>
    </row>
    <row r="995" ht="15.75" customHeight="1" s="86">
      <c r="T995" s="85" t="n"/>
      <c r="U995" s="85" t="n"/>
      <c r="V995" s="85" t="n"/>
      <c r="W995" s="85" t="n"/>
      <c r="X995" s="85" t="n"/>
      <c r="Y995" s="85" t="n"/>
      <c r="Z995" s="85" t="n"/>
    </row>
    <row r="996" ht="15.75" customHeight="1" s="86">
      <c r="T996" s="85" t="n"/>
      <c r="U996" s="85" t="n"/>
      <c r="V996" s="85" t="n"/>
      <c r="W996" s="85" t="n"/>
      <c r="X996" s="85" t="n"/>
      <c r="Y996" s="85" t="n"/>
      <c r="Z996" s="85" t="n"/>
    </row>
    <row r="997" ht="15.75" customHeight="1" s="86">
      <c r="T997" s="85" t="n"/>
      <c r="U997" s="85" t="n"/>
      <c r="V997" s="85" t="n"/>
      <c r="W997" s="85" t="n"/>
      <c r="X997" s="85" t="n"/>
      <c r="Y997" s="85" t="n"/>
      <c r="Z997" s="85" t="n"/>
    </row>
    <row r="998" ht="15.75" customHeight="1" s="86">
      <c r="T998" s="85" t="n"/>
      <c r="U998" s="85" t="n"/>
      <c r="V998" s="85" t="n"/>
      <c r="W998" s="85" t="n"/>
      <c r="X998" s="85" t="n"/>
      <c r="Y998" s="85" t="n"/>
      <c r="Z998" s="85" t="n"/>
    </row>
    <row r="999" ht="15.75" customHeight="1" s="86">
      <c r="T999" s="85" t="n"/>
      <c r="U999" s="85" t="n"/>
      <c r="V999" s="85" t="n"/>
      <c r="W999" s="85" t="n"/>
      <c r="X999" s="85" t="n"/>
      <c r="Y999" s="85" t="n"/>
      <c r="Z999" s="85" t="n"/>
    </row>
    <row r="1000" ht="15.75" customHeight="1" s="86">
      <c r="T1000" s="85" t="n"/>
      <c r="U1000" s="85" t="n"/>
      <c r="V1000" s="85" t="n"/>
      <c r="W1000" s="85" t="n"/>
      <c r="X1000" s="85" t="n"/>
      <c r="Y1000" s="85" t="n"/>
      <c r="Z1000" s="8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">
    <mergeCell ref="A1:J1"/>
    <mergeCell ref="A4:E4"/>
    <mergeCell ref="G4:J4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2026-07-22T10:02:15Z</dcterms:created>
  <dcterms:modified xmlns:dcterms="http://purl.org/dc/terms/" xmlns:xsi="http://www.w3.org/2001/XMLSchema-instance" xsi:type="dcterms:W3CDTF">2026-08-19T12:01:19Z</dcterms:modified>
  <cp:revision>13</cp:revision>
</cp:coreProperties>
</file>