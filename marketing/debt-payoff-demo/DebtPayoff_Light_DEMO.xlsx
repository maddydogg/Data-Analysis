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Dashboard" sheetId="3" state="visible" r:id="rId5"/>
    <sheet name="Debt Tracker" sheetId="4" state="visible" r:id="rId6"/>
    <sheet name="Engine" sheetId="5" state="hidden" r:id="rId7"/>
    <sheet name="Compare" sheetId="6" state="hidden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<sst xmlns="http://schemas.openxmlformats.org/spreadsheetml/2006/main" count="73" uniqueCount="66">
  <si>
    <t xml:space="preserve">Start Here</t>
  </si>
  <si>
    <t xml:space="preserve">A debt payoff plan that does the math for you.</t>
  </si>
  <si>
    <t xml:space="preserve">HOW IT WORKS</t>
  </si>
  <si>
    <t xml:space="preserve">1. Setup</t>
  </si>
  <si>
    <t xml:space="preserve">List each debt: balance, APR and minimum payment. Pick Snowball, </t>
  </si>
  <si>
    <t xml:space="preserve">Avalanche or Custom, and add any extra monthly payment.</t>
  </si>
  <si>
    <t xml:space="preserve">2. Dashboard</t>
  </si>
  <si>
    <t xml:space="preserve">See your debt-free date, total interest and payoff order — all calculated.</t>
  </si>
  <si>
    <t xml:space="preserve">3. Debt Tracker</t>
  </si>
  <si>
    <t xml:space="preserve">Log what you've paid to watch each debt shrink.</t>
  </si>
  <si>
    <t xml:space="preserve">THE METHODS</t>
  </si>
  <si>
    <t xml:space="preserve">Snowball</t>
  </si>
  <si>
    <t xml:space="preserve">Pays the smallest balance first — quick wins for motivation.</t>
  </si>
  <si>
    <t xml:space="preserve">Avalanche</t>
  </si>
  <si>
    <t xml:space="preserve">Pays the highest interest first — saves the most money.</t>
  </si>
  <si>
    <t xml:space="preserve">Custom</t>
  </si>
  <si>
    <t xml:space="preserve">You choose the order in the Custom column on Setup.</t>
  </si>
  <si>
    <t xml:space="preserve">COLOR KEY</t>
  </si>
  <si>
    <t xml:space="preserve">Blue text</t>
  </si>
  <si>
    <t xml:space="preserve">You type it.</t>
  </si>
  <si>
    <t xml:space="preserve">Dark text</t>
  </si>
  <si>
    <t xml:space="preserve">Calculated — do not edit.</t>
  </si>
  <si>
    <t xml:space="preserve">If a debt never pays off</t>
  </si>
  <si>
    <t xml:space="preserve">Its minimum payment is below the monthly interest. </t>
  </si>
  <si>
    <t xml:space="preserve">Raise that minimum or add an extra monthly amount on Setup.</t>
  </si>
  <si>
    <t xml:space="preserve">Works in Google Sheets AND Excel. Formulas are protected — only the blue cells are yours. Handles up to 10 debts and 60 months.</t>
  </si>
  <si>
    <t xml:space="preserve">This is an organisation tool, not financial advice.</t>
  </si>
  <si>
    <t xml:space="preserve">Setup</t>
  </si>
  <si>
    <t xml:space="preserve">Enter your debts, pick a method, add any extra monthly payment. Edit once.</t>
  </si>
  <si>
    <t xml:space="preserve">Currency</t>
  </si>
  <si>
    <t xml:space="preserve">$</t>
  </si>
  <si>
    <t xml:space="preserve">Method</t>
  </si>
  <si>
    <t xml:space="preserve">Extra / month</t>
  </si>
  <si>
    <t xml:space="preserve">Start date</t>
  </si>
  <si>
    <t xml:space="preserve">Debt</t>
  </si>
  <si>
    <t xml:space="preserve">Balance</t>
  </si>
  <si>
    <t xml:space="preserve">APR %</t>
  </si>
  <si>
    <t xml:space="preserve">Min payment</t>
  </si>
  <si>
    <t xml:space="preserve">Custom order</t>
  </si>
  <si>
    <t xml:space="preserve">score</t>
  </si>
  <si>
    <t xml:space="preserve">helper — you can hide column F</t>
  </si>
  <si>
    <t xml:space="preserve">Dashboard</t>
  </si>
  <si>
    <t xml:space="preserve">Your debt-free plan. Nothing to fill in here — it updates from Setup.</t>
  </si>
  <si>
    <t xml:space="preserve">DEBT-FREE DATE</t>
  </si>
  <si>
    <t xml:space="preserve">MONTHS TO GO</t>
  </si>
  <si>
    <t xml:space="preserve">TOTAL DEBT</t>
  </si>
  <si>
    <t xml:space="preserve">TOTAL INTEREST</t>
  </si>
  <si>
    <t xml:space="preserve">Total paid (debt + interest)</t>
  </si>
  <si>
    <t xml:space="preserve">Paid so far</t>
  </si>
  <si>
    <t xml:space="preserve">Progress</t>
  </si>
  <si>
    <t xml:space="preserve">PAYOFF ORDER</t>
  </si>
  <si>
    <t xml:space="preserve">BALANCE OVER TIME</t>
  </si>
  <si>
    <t xml:space="preserve">#</t>
  </si>
  <si>
    <t xml:space="preserve">Debt Tracker</t>
  </si>
  <si>
    <t xml:space="preserve">Log what you've paid on each debt. Remaining and progress update themselves.</t>
  </si>
  <si>
    <t xml:space="preserve">Original balance</t>
  </si>
  <si>
    <t xml:space="preserve">Remaining</t>
  </si>
  <si>
    <t xml:space="preserve">% paid</t>
  </si>
  <si>
    <t xml:space="preserve">TOTAL</t>
  </si>
  <si>
    <t xml:space="preserve">Engine — payoff simulation (Snowball / Avalanche / Custom). Do not edit. You can hide this sheet.</t>
  </si>
  <si>
    <t xml:space="preserve">Start</t>
  </si>
  <si>
    <t xml:space="preserve">pool</t>
  </si>
  <si>
    <t xml:space="preserve">priority score</t>
  </si>
  <si>
    <t xml:space="preserve">total balance</t>
  </si>
  <si>
    <t xml:space="preserve">interest</t>
  </si>
  <si>
    <t xml:space="preserve">months to debt-free (helper)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</si>
</sst>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yyyy\-mm\-dd"/>
    <numFmt numFmtId="167" formatCode="0.0"/>
    <numFmt numFmtId="168" formatCode="0"/>
    <numFmt numFmtId="169" formatCode="General"/>
    <numFmt numFmtId="170" formatCode="0.0%;;\-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566B"/>
      <name val="Arial"/>
      <family val="0"/>
      <charset val="1"/>
    </font>
    <font>
      <sz val="10"/>
      <color rgb="FF33566B"/>
      <name val="Arial"/>
      <family val="0"/>
      <charset val="1"/>
    </font>
    <font>
      <b val="true"/>
      <sz val="12"/>
      <color rgb="FF33566B"/>
      <name val="Arial"/>
      <family val="0"/>
      <charset val="1"/>
    </font>
    <font>
      <b val="true"/>
      <sz val="11"/>
      <color rgb="FF33566B"/>
      <name val="Arial"/>
      <family val="0"/>
      <charset val="1"/>
    </font>
    <font>
      <sz val="10"/>
      <color rgb="FF3A4652"/>
      <name val="Arial"/>
      <family val="0"/>
      <charset val="1"/>
    </font>
    <font>
      <sz val="11"/>
      <color rgb="FF33566B"/>
      <name val="Calibri"/>
      <family val="0"/>
      <charset val="1"/>
    </font>
    <font>
      <sz val="11"/>
      <color rgb="FF3A4652"/>
      <name val="Calibri"/>
      <family val="0"/>
      <charset val="1"/>
    </font>
    <font>
      <sz val="11"/>
      <color rgb="FF3E7CC0"/>
      <name val="Arial"/>
      <family val="0"/>
      <charset val="1"/>
    </font>
    <font>
      <b val="true"/>
      <sz val="10"/>
      <color rgb="FF33566B"/>
      <name val="Arial"/>
      <family val="0"/>
      <charset val="1"/>
    </font>
    <font>
      <sz val="9"/>
      <color rgb="FF9AA7B4"/>
      <name val="Arial"/>
      <family val="0"/>
      <charset val="1"/>
    </font>
    <font>
      <sz val="8"/>
      <color rgb="FF9AA7B4"/>
      <name val="Arial"/>
      <family val="0"/>
      <charset val="1"/>
    </font>
    <font>
      <b val="true"/>
      <sz val="16"/>
      <color rgb="FF33566B"/>
      <name val="Arial"/>
      <family val="0"/>
      <charset val="1"/>
    </font>
    <font>
      <sz val="11"/>
      <color rgb="FF3A4652"/>
      <name val="Arial"/>
      <family val="0"/>
      <charset val="1"/>
    </font>
    <font>
      <sz val="11"/>
      <color rgb="FF3356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33566B"/>
      <name val="Arial"/>
      <family val="0"/>
      <charset val="1"/>
    </font>
    <font>
      <sz val="9"/>
      <color rgb="FF3A4652"/>
      <name val="Arial"/>
      <family val="0"/>
      <charset val="1"/>
    </font>
    <font>
      <b val="true"/>
      <sz val="9"/>
      <color rgb="FF33566B"/>
      <name val="Arial"/>
      <family val="0"/>
      <charset val="1"/>
    </font>
    <font>
      <b val="true"/>
      <sz val="9"/>
      <color rgb="FF3A465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FF3EA"/>
        <bgColor rgb="FFE4F3F6"/>
      </patternFill>
    </fill>
    <fill>
      <patternFill patternType="solid">
        <fgColor rgb="FFFBFCFD"/>
        <bgColor rgb="FFFFFFFF"/>
      </patternFill>
    </fill>
    <fill>
      <patternFill patternType="solid">
        <fgColor rgb="FFF1F5F9"/>
        <bgColor rgb="FFEAF5EE"/>
      </patternFill>
    </fill>
    <fill>
      <patternFill patternType="solid">
        <fgColor rgb="FFFFFFFF"/>
        <bgColor rgb="FFFBFCFD"/>
      </patternFill>
    </fill>
    <fill>
      <patternFill patternType="solid">
        <fgColor rgb="FFE4F3F6"/>
        <bgColor rgb="FFEAF5EE"/>
      </patternFill>
    </fill>
    <fill>
      <patternFill patternType="solid">
        <fgColor rgb="FFEAF5EE"/>
        <bgColor rgb="FFE4F3F6"/>
      </patternFill>
    </fill>
    <fill>
      <patternFill patternType="solid">
        <fgColor rgb="FFE7ECFA"/>
        <bgColor rgb="FFE4EA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AF0"/>
      </left>
      <right style="thin">
        <color rgb="FFE4EAF0"/>
      </right>
      <top style="thin">
        <color rgb="FFE4EAF0"/>
      </top>
      <bottom style="thin">
        <color rgb="FFE4EA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1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BFCFD"/>
      <rgbColor rgb="FFDFF3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3F6"/>
      <rgbColor rgb="FFEAF5EE"/>
      <rgbColor rgb="FFF1F5F9"/>
      <rgbColor rgb="FFE7ECFA"/>
      <rgbColor rgb="FFFF99CC"/>
      <rgbColor rgb="FFCC99FF"/>
      <rgbColor rgb="FFE4EAF0"/>
      <rgbColor rgb="FF3E7CC0"/>
      <rgbColor rgb="FF33CCCC"/>
      <rgbColor rgb="FF99CC00"/>
      <rgbColor rgb="FFFFCC00"/>
      <rgbColor rgb="FFFF9900"/>
      <rgbColor rgb="FFFF6600"/>
      <rgbColor rgb="FF4A7EBB"/>
      <rgbColor rgb="FF9AA7B4"/>
      <rgbColor rgb="FF003366"/>
      <rgbColor rgb="FF339966"/>
      <rgbColor rgb="FF003300"/>
      <rgbColor rgb="FF333300"/>
      <rgbColor rgb="FF993300"/>
      <rgbColor rgb="FF993366"/>
      <rgbColor rgb="FF33566B"/>
      <rgbColor rgb="FF3A46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Total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Engine!$C$2:$BJ$2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Engine!$C$15:$BJ$15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285650"/>
        <c:axId val="66990940"/>
      </c:lineChart>
      <c:catAx>
        <c:axId val="972856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990940"/>
        <c:crosses val="autoZero"/>
        <c:auto val="1"/>
        <c:lblAlgn val="ctr"/>
        <c:lblOffset val="100"/>
        <c:noMultiLvlLbl val="0"/>
      </c:catAx>
      <c:valAx>
        <c:axId val="6699094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285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</xdr:row>
      <xdr:rowOff>0</xdr:rowOff>
    </xdr:from>
    <xdr:to>
      <xdr:col>12</xdr:col>
      <xdr:colOff>394560</xdr:colOff>
      <xdr:row>30</xdr:row>
      <xdr:rowOff>9000</xdr:rowOff>
    </xdr:to>
    <xdr:graphicFrame>
      <xdr:nvGraphicFramePr>
        <xdr:cNvPr id="0" name="Chart 1"/>
        <xdr:cNvGraphicFramePr/>
      </xdr:nvGraphicFramePr>
      <xdr:xfrm>
        <a:off x="2678400" y="3305160"/>
        <a:ext cx="6133680" cy="305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3"/>
    <col collapsed="false" customWidth="true" hidden="false" outlineLevel="0" max="26" min="9" style="0" width="8.71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5" t="s">
        <v>3</v>
      </c>
      <c r="B5" s="2"/>
      <c r="C5" s="6" t="s">
        <v>4</v>
      </c>
      <c r="D5" s="6"/>
      <c r="E5" s="6"/>
      <c r="F5" s="6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2"/>
      <c r="C6" s="7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5" t="s">
        <v>6</v>
      </c>
      <c r="B7" s="2"/>
      <c r="C7" s="6" t="s">
        <v>7</v>
      </c>
      <c r="D7" s="6"/>
      <c r="E7" s="6"/>
      <c r="F7" s="6"/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5" t="s">
        <v>8</v>
      </c>
      <c r="B8" s="2"/>
      <c r="C8" s="6" t="s">
        <v>9</v>
      </c>
      <c r="D8" s="6"/>
      <c r="E8" s="6"/>
      <c r="F8" s="6"/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4" t="s">
        <v>10</v>
      </c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5" t="s">
        <v>11</v>
      </c>
      <c r="B11" s="2"/>
      <c r="C11" s="6" t="s">
        <v>12</v>
      </c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5" t="s">
        <v>13</v>
      </c>
      <c r="B12" s="2"/>
      <c r="C12" s="6" t="s">
        <v>14</v>
      </c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5" t="s">
        <v>15</v>
      </c>
      <c r="B13" s="2"/>
      <c r="C13" s="6" t="s">
        <v>16</v>
      </c>
      <c r="D13" s="6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4" t="s">
        <v>17</v>
      </c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5" t="s">
        <v>18</v>
      </c>
      <c r="B16" s="2"/>
      <c r="C16" s="6" t="s">
        <v>19</v>
      </c>
      <c r="D16" s="6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5" t="s">
        <v>20</v>
      </c>
      <c r="B17" s="2"/>
      <c r="C17" s="6" t="s">
        <v>21</v>
      </c>
      <c r="D17" s="6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5" t="s">
        <v>22</v>
      </c>
      <c r="B18" s="2"/>
      <c r="C18" s="6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8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6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6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</row>
  </sheetData>
  <sheetProtection sheet="true"/>
  <mergeCells count="13">
    <mergeCell ref="A1:H1"/>
    <mergeCell ref="A2:H2"/>
    <mergeCell ref="A4:H4"/>
    <mergeCell ref="C5:H5"/>
    <mergeCell ref="C7:H7"/>
    <mergeCell ref="C8:H8"/>
    <mergeCell ref="A10:H10"/>
    <mergeCell ref="C11:H11"/>
    <mergeCell ref="C12:H12"/>
    <mergeCell ref="C13:H13"/>
    <mergeCell ref="A15:H15"/>
    <mergeCell ref="C16:H16"/>
    <mergeCell ref="C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12" min="4" style="0" width="13"/>
    <col collapsed="false" customWidth="true" hidden="false" outlineLevel="0" max="26" min="13" style="0" width="8.71"/>
  </cols>
  <sheetData>
    <row r="1" customFormat="false" ht="42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2"/>
      <c r="B4" s="5" t="s">
        <v>29</v>
      </c>
      <c r="C4" s="10" t="s">
        <v>30</v>
      </c>
      <c r="D4" s="2"/>
      <c r="E4" s="5" t="s">
        <v>31</v>
      </c>
      <c r="F4" s="10" t="s">
        <v>11</v>
      </c>
      <c r="G4" s="2"/>
      <c r="H4" s="5" t="s">
        <v>32</v>
      </c>
      <c r="I4" s="11">
        <v>400</v>
      </c>
      <c r="J4" s="2"/>
      <c r="K4" s="5" t="s">
        <v>33</v>
      </c>
      <c r="L4" s="12" t="n">
        <v>46235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4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15" t="inlineStr">
        <is>
          <t>Store Card</t>
        </is>
      </c>
      <c r="B7" s="11">
        <v>640</v>
      </c>
      <c r="C7" s="16">
        <v>27.9</v>
      </c>
      <c r="D7" s="11">
        <v>30</v>
      </c>
      <c r="E7" s="17">
        <v>6</v>
      </c>
      <c r="F7" s="18" t="n">
        <f aca="false">IF(B7="",9999999,IF($F$4="Snowball",B7,IF($F$4="Avalanche",1-C7/100,IF(E7="",999,E7))))+(ROW()-6)*0.00001</f>
        <v>9999999.00001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15" t="inlineStr">
        <is>
          <t>Medical Bill</t>
        </is>
      </c>
      <c r="B8" s="11">
        <v>1200</v>
      </c>
      <c r="C8" s="16">
        <v>0.0</v>
      </c>
      <c r="D8" s="11">
        <v>50</v>
      </c>
      <c r="E8" s="17">
        <v>5</v>
      </c>
      <c r="F8" s="18" t="n">
        <f aca="false">IF(B8="",9999999,IF($F$4="Snowball",B8,IF($F$4="Avalanche",1-C8/100,IF(E8="",999,E8))))+(ROW()-6)*0.00001</f>
        <v>9999999.00002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15" t="inlineStr">
        <is>
          <t>Credit Card A</t>
        </is>
      </c>
      <c r="B9" s="11">
        <v>8900</v>
      </c>
      <c r="C9" s="16">
        <v>25.9</v>
      </c>
      <c r="D9" s="11">
        <v>220</v>
      </c>
      <c r="E9" s="17">
        <v>3</v>
      </c>
      <c r="F9" s="18" t="n">
        <f aca="false">IF(B9="",9999999,IF($F$4="Snowball",B9,IF($F$4="Avalanche",1-C9/100,IF(E9="",999,E9))))+(ROW()-6)*0.00001</f>
        <v>9999999.00003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15" t="inlineStr">
        <is>
          <t>Credit Card B</t>
        </is>
      </c>
      <c r="B10" s="11">
        <v>3100</v>
      </c>
      <c r="C10" s="16">
        <v>21.9</v>
      </c>
      <c r="D10" s="11">
        <v>95</v>
      </c>
      <c r="E10" s="17">
        <v>4</v>
      </c>
      <c r="F10" s="18" t="n">
        <f aca="false">IF(B10="",9999999,IF($F$4="Snowball",B10,IF($F$4="Avalanche",1-C10/100,IF(E10="",999,E10))))+(ROW()-6)*0.00001</f>
        <v>9999999.00004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15" t="inlineStr">
        <is>
          <t>Car Loan</t>
        </is>
      </c>
      <c r="B11" s="11">
        <v>12800</v>
      </c>
      <c r="C11" s="16">
        <v>7.4</v>
      </c>
      <c r="D11" s="11">
        <v>345</v>
      </c>
      <c r="E11" s="17">
        <v>1</v>
      </c>
      <c r="F11" s="18" t="n">
        <f aca="false">IF(B11="",9999999,IF($F$4="Snowball",B11,IF($F$4="Avalanche",1-C11/100,IF(E11="",999,E11))))+(ROW()-6)*0.00001</f>
        <v>9999999.00005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15" t="inlineStr">
        <is>
          <t>Student Loan</t>
        </is>
      </c>
      <c r="B12" s="11">
        <v>9400</v>
      </c>
      <c r="C12" s="16">
        <v>4.9</v>
      </c>
      <c r="D12" s="11">
        <v>205</v>
      </c>
      <c r="E12" s="17">
        <v>2</v>
      </c>
      <c r="F12" s="18" t="n">
        <f aca="false">IF(B12="",9999999,IF($F$4="Snowball",B12,IF($F$4="Avalanche",1-C12/100,IF(E12="",999,E12))))+(ROW()-6)*0.00001</f>
        <v>9999999.00006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15"/>
      <c r="B13" s="11"/>
      <c r="C13" s="16"/>
      <c r="D13" s="11"/>
      <c r="E13" s="17"/>
      <c r="F13" s="18" t="n">
        <f aca="false">IF(B13="",9999999,IF($F$4="Snowball",B13,IF($F$4="Avalanche",1-C13/100,IF(E13="",999,E13))))+(ROW()-6)*0.00001</f>
        <v>9999999.00007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15"/>
      <c r="B14" s="11"/>
      <c r="C14" s="16"/>
      <c r="D14" s="11"/>
      <c r="E14" s="17"/>
      <c r="F14" s="18" t="n">
        <f aca="false">IF(B14="",9999999,IF($F$4="Snowball",B14,IF($F$4="Avalanche",1-C14/100,IF(E14="",999,E14))))+(ROW()-6)*0.00001</f>
        <v>9999999.00008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15"/>
      <c r="B15" s="11"/>
      <c r="C15" s="16"/>
      <c r="D15" s="11"/>
      <c r="E15" s="17"/>
      <c r="F15" s="18" t="n">
        <f aca="false">IF(B15="",9999999,IF($F$4="Snowball",B15,IF($F$4="Avalanche",1-C15/100,IF(E15="",999,E15))))+(ROW()-6)*0.00001</f>
        <v>9999999.00009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15"/>
      <c r="B16" s="11"/>
      <c r="C16" s="16"/>
      <c r="D16" s="11"/>
      <c r="E16" s="17"/>
      <c r="F16" s="18" t="n">
        <f aca="false">IF(B16="",9999999,IF($F$4="Snowball",B16,IF($F$4="Avalanche",1-C16/100,IF(E16="",999,E16))))+(ROW()-6)*0.00001</f>
        <v>9999999.0001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19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</sheetData>
  <sheetProtection sheet="true"/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F4" type="list">
      <formula1>"Snowball,Avalanche,Custom"</formula1>
      <formula2>0</formula2>
    </dataValidation>
    <dataValidation allowBlank="true" errorStyle="stop" operator="greaterThanOrEqual" showDropDown="false" showErrorMessage="false" showInputMessage="false" sqref="B7:D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26" min="11" style="0" width="8.71"/>
  </cols>
  <sheetData>
    <row r="1" customFormat="false" ht="42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42</v>
      </c>
      <c r="B2" s="3"/>
      <c r="C2" s="3"/>
      <c r="D2" s="3"/>
      <c r="E2" s="3"/>
      <c r="F2" s="3"/>
      <c r="G2" s="3"/>
      <c r="H2" s="3"/>
      <c r="I2" s="3"/>
      <c r="J2" s="3"/>
      <c r="K2" s="21"/>
      <c r="L2" s="21"/>
      <c r="M2" s="2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2"/>
      <c r="B4" s="5" t="str">
        <f aca="false">CONCATENATE("Method: ",Setup!F4)</f>
      </c>
      <c r="C4" s="2"/>
      <c r="D4" s="2"/>
      <c r="E4" s="2"/>
      <c r="F4" s="2"/>
      <c r="G4" s="2"/>
      <c r="H4" s="2"/>
      <c r="I4" s="22"/>
      <c r="J4" s="1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23" t="s">
        <v>43</v>
      </c>
      <c r="C6" s="23"/>
      <c r="D6" s="24" t="s">
        <v>44</v>
      </c>
      <c r="E6" s="24"/>
      <c r="F6" s="25" t="s">
        <v>45</v>
      </c>
      <c r="G6" s="25"/>
      <c r="H6" s="26" t="s">
        <v>46</v>
      </c>
      <c r="I6" s="2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1.5" hidden="false" customHeight="true" outlineLevel="0" collapsed="false">
      <c r="A7" s="2"/>
      <c r="B7" s="27" t="str">
        <f aca="false">IF(SUM(Setup!$B$7:$B$16)=0,"—",IF(Engine!$A$18=0,"Over 60 mo",CHOOSE(MONTH(EDATE(Setup!$L$4,Engine!$A$18)),"Jan","Feb","Mar","Apr","May","Jun","Jul","Aug","Sep","Oct","Nov","Dec")&amp;" "&amp;YEAR(EDATE(Setup!$L$4,Engine!$A$18))))</f>
      </c>
      <c r="C7" s="27"/>
      <c r="D7" s="28" t="str">
        <f aca="false">IF(SUM(Setup!$B$7:$B$16)=0,"—",IF(Engine!$A$18=0,"&gt;60",Engine!$A$18))</f>
      </c>
      <c r="E7" s="28"/>
      <c r="F7" s="29" t="n">
        <f aca="false">SUM(Setup!B7:B16)</f>
        <v>0</v>
      </c>
      <c r="G7" s="29"/>
      <c r="H7" s="30" t="n">
        <f aca="false">SUM(Engine!$C$16:$BJ$16)</f>
        <v>0</v>
      </c>
      <c r="I7" s="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5" t="s">
        <v>47</v>
      </c>
      <c r="C10" s="2"/>
      <c r="D10" s="2"/>
      <c r="E10" s="31" t="n">
        <f aca="false">SUM(Setup!B7:B16)+SUM(Engine!$C$16:$BJ$16)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5" t="s">
        <v>48</v>
      </c>
      <c r="C11" s="2"/>
      <c r="D11" s="2"/>
      <c r="E11" s="31" t="n">
        <f aca="false">'Debt Tracker'!C15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5" t="s">
        <v>49</v>
      </c>
      <c r="C12" s="2"/>
      <c r="D12" s="2"/>
      <c r="E12" s="32" t="n">
        <f aca="false">IF(SUM(Setup!B7:B16)=0,0,'Debt Tracker'!C15/SUM(Setup!B7:B16))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33" t="s">
        <v>50</v>
      </c>
      <c r="C14" s="33"/>
      <c r="D14" s="2"/>
      <c r="E14" s="2"/>
      <c r="F14" s="13" t="s">
        <v>51</v>
      </c>
      <c r="G14" s="13"/>
      <c r="H14" s="13"/>
      <c r="I14" s="13"/>
      <c r="J14" s="13"/>
      <c r="K14" s="1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34" t="s">
        <v>52</v>
      </c>
      <c r="C15" s="34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35" t="n">
        <v>1</v>
      </c>
      <c r="C16" s="36" t="str">
        <f aca="false">IFERROR(IF(SMALL(Setup!$F$7:$F$16,1)&gt;=9999999,"",INDEX(Setup!$A$7:$A$16,MATCH(SMALL(Setup!$F$7:$F$16,1),Setup!$F$7:$F$16,0))),"")</f>
        <v/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35" t="n">
        <v>2</v>
      </c>
      <c r="C17" s="36" t="str">
        <f aca="false">IFERROR(IF(SMALL(Setup!$F$7:$F$16,2)&gt;=9999999,"",INDEX(Setup!$A$7:$A$16,MATCH(SMALL(Setup!$F$7:$F$16,2),Setup!$F$7:$F$16,0))),"")</f>
        <v/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35" t="n">
        <v>3</v>
      </c>
      <c r="C18" s="36" t="str">
        <f aca="false">IFERROR(IF(SMALL(Setup!$F$7:$F$16,3)&gt;=9999999,"",INDEX(Setup!$A$7:$A$16,MATCH(SMALL(Setup!$F$7:$F$16,3),Setup!$F$7:$F$16,0))),"")</f>
        <v/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35" t="n">
        <v>4</v>
      </c>
      <c r="C19" s="36" t="str">
        <f aca="false">IFERROR(IF(SMALL(Setup!$F$7:$F$16,4)&gt;=9999999,"",INDEX(Setup!$A$7:$A$16,MATCH(SMALL(Setup!$F$7:$F$16,4),Setup!$F$7:$F$16,0))),"")</f>
        <v/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35" t="n">
        <v>5</v>
      </c>
      <c r="C20" s="36" t="str">
        <f aca="false">IFERROR(IF(SMALL(Setup!$F$7:$F$16,5)&gt;=9999999,"",INDEX(Setup!$A$7:$A$16,MATCH(SMALL(Setup!$F$7:$F$16,5),Setup!$F$7:$F$16,0))),"")</f>
        <v/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35" t="n">
        <v>6</v>
      </c>
      <c r="C21" s="36" t="str">
        <f aca="false">IFERROR(IF(SMALL(Setup!$F$7:$F$16,6)&gt;=9999999,"",INDEX(Setup!$A$7:$A$16,MATCH(SMALL(Setup!$F$7:$F$16,6),Setup!$F$7:$F$16,0))),"")</f>
        <v/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35" t="n">
        <v>7</v>
      </c>
      <c r="C22" s="36" t="str">
        <f aca="false">IFERROR(IF(SMALL(Setup!$F$7:$F$16,7)&gt;=9999999,"",INDEX(Setup!$A$7:$A$16,MATCH(SMALL(Setup!$F$7:$F$16,7),Setup!$F$7:$F$16,0))),"")</f>
        <v/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35" t="n">
        <v>8</v>
      </c>
      <c r="C23" s="36" t="str">
        <f aca="false">IFERROR(IF(SMALL(Setup!$F$7:$F$16,8)&gt;=9999999,"",INDEX(Setup!$A$7:$A$16,MATCH(SMALL(Setup!$F$7:$F$16,8),Setup!$F$7:$F$16,0))),"")</f>
        <v/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35" t="n">
        <v>9</v>
      </c>
      <c r="C24" s="36" t="str">
        <f aca="false">IFERROR(IF(SMALL(Setup!$F$7:$F$16,9)&gt;=9999999,"",INDEX(Setup!$A$7:$A$16,MATCH(SMALL(Setup!$F$7:$F$16,9),Setup!$F$7:$F$16,0))),"")</f>
        <v/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35" t="n">
        <v>10</v>
      </c>
      <c r="C25" s="36" t="str">
        <f aca="false">IFERROR(IF(SMALL(Setup!$F$7:$F$16,10)&gt;=9999999,"",INDEX(Setup!$A$7:$A$16,MATCH(SMALL(Setup!$F$7:$F$16,10),Setup!$F$7:$F$16,0))),"")</f>
        <v/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33" t="inlineStr">
        <is>
          <t>SNOWBALL VS AVALANCHE</t>
        </is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34" t="inlineStr">
        <is>
          <t>Method</t>
        </is>
      </c>
      <c r="C34" s="34" t="inlineStr">
        <is>
          <t>Months</t>
        </is>
      </c>
      <c r="D34" s="2"/>
      <c r="E34" s="34" t="inlineStr">
        <is>
          <t>Total interest</t>
        </is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36" t="str">
        <f aca="false">Setup!$F$4</f>
      </c>
      <c r="C35" s="35" t="str">
        <f aca="false">IF(SUM(Setup!$B$7:$B$16)=0,"—",IF(Engine!$A$18=0,"&gt;60",Engine!$A$18))</f>
      </c>
      <c r="D35" s="2"/>
      <c r="E35" s="31" t="n">
        <f aca="false">SUM(Engine!$C$16:$BJ$16)</f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36" t="str">
        <f aca="false">Compare!$BM$1</f>
      </c>
      <c r="C36" s="35" t="str">
        <f aca="false">IF(SUM(Setup!$B$7:$B$16)=0,"—",IF(Compare!$A$18=0,"&gt;60",Compare!$A$18))</f>
      </c>
      <c r="D36" s="2"/>
      <c r="E36" s="31" t="n">
        <f aca="false">SUM(Compare!$C$16:$BJ$16)</f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36" t="str">
        <f aca="false">IF(SUM(Setup!$B$7:$B$16)=0,"Add your debts on Setup to compare the two methods.",IF(ABS(E35-E36)&lt;0.5,"Both methods cost about the same.",IF(E36&lt;E35,B36&amp;" would save you "&amp;TEXT(E35-E36,"$#,##0")&amp;" in interest.",B35&amp;" saves you "&amp;TEXT(E36-E35,"$#,##0")&amp;" in interest against "&amp;B36&amp;".")))</f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sheetProtection sheet="true"/>
  <mergeCells count="14">
    <mergeCell ref="A1:J1"/>
    <mergeCell ref="A2:J2"/>
    <mergeCell ref="B6:C6"/>
    <mergeCell ref="D6:E6"/>
    <mergeCell ref="F6:G6"/>
    <mergeCell ref="H6:I6"/>
    <mergeCell ref="B7:C7"/>
    <mergeCell ref="D7:E7"/>
    <mergeCell ref="F7:G7"/>
    <mergeCell ref="H7:I7"/>
    <mergeCell ref="B14:C14"/>
    <mergeCell ref="B33:E33"/>
    <mergeCell ref="B38:H38"/>
    <mergeCell ref="F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26" min="7" style="0" width="8.71"/>
  </cols>
  <sheetData>
    <row r="1" customFormat="false" ht="42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54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34" t="s">
        <v>34</v>
      </c>
      <c r="B4" s="34" t="s">
        <v>55</v>
      </c>
      <c r="C4" s="34" t="s">
        <v>48</v>
      </c>
      <c r="D4" s="34" t="s">
        <v>56</v>
      </c>
      <c r="E4" s="34" t="s">
        <v>57</v>
      </c>
      <c r="F4" s="34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36" t="str">
        <f aca="false">IF(Setup!A7="","",Setup!A7)</f>
        <v/>
      </c>
      <c r="B5" s="37" t="str">
        <f aca="false">IF(Setup!B7="","",Setup!B7)</f>
        <v/>
      </c>
      <c r="C5" s="11">
        <v>640</v>
      </c>
      <c r="D5" s="37" t="str">
        <f aca="false">IF($A5="","",MAX(0,B5-C5))</f>
        <v/>
      </c>
      <c r="E5" s="38" t="str">
        <f aca="false">IF(OR($A5="",B5=0),"",C5/B5)</f>
        <v/>
      </c>
      <c r="F5" s="37" t="str">
        <f aca="false">IF(Setup!D7="","",Setup!D7)</f>
        <v/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36" t="str">
        <f aca="false">IF(Setup!A8="","",Setup!A8)</f>
        <v/>
      </c>
      <c r="B6" s="37" t="str">
        <f aca="false">IF(Setup!B8="","",Setup!B8)</f>
        <v/>
      </c>
      <c r="C6" s="11">
        <v>600</v>
      </c>
      <c r="D6" s="37" t="str">
        <f aca="false">IF($A6="","",MAX(0,B6-C6))</f>
        <v/>
      </c>
      <c r="E6" s="38" t="str">
        <f aca="false">IF(OR($A6="",B6=0),"",C6/B6)</f>
        <v/>
      </c>
      <c r="F6" s="37" t="str">
        <f aca="false">IF(Setup!D8="","",Setup!D8)</f>
        <v/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36" t="str">
        <f aca="false">IF(Setup!A9="","",Setup!A9)</f>
        <v/>
      </c>
      <c r="B7" s="37" t="str">
        <f aca="false">IF(Setup!B9="","",Setup!B9)</f>
        <v/>
      </c>
      <c r="C7" s="11">
        <v>2400</v>
      </c>
      <c r="D7" s="37" t="str">
        <f aca="false">IF($A7="","",MAX(0,B7-C7))</f>
        <v/>
      </c>
      <c r="E7" s="38" t="str">
        <f aca="false">IF(OR($A7="",B7=0),"",C7/B7)</f>
        <v/>
      </c>
      <c r="F7" s="37" t="str">
        <f aca="false">IF(Setup!D9="","",Setup!D9)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36" t="str">
        <f aca="false">IF(Setup!A10="","",Setup!A10)</f>
        <v/>
      </c>
      <c r="B8" s="37" t="str">
        <f aca="false">IF(Setup!B10="","",Setup!B10)</f>
        <v/>
      </c>
      <c r="C8" s="11">
        <v>1150</v>
      </c>
      <c r="D8" s="37" t="str">
        <f aca="false">IF($A8="","",MAX(0,B8-C8))</f>
        <v/>
      </c>
      <c r="E8" s="38" t="str">
        <f aca="false">IF(OR($A8="",B8=0),"",C8/B8)</f>
        <v/>
      </c>
      <c r="F8" s="37" t="str">
        <f aca="false">IF(Setup!D10="","",Setup!D10)</f>
        <v/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36" t="str">
        <f aca="false">IF(Setup!A11="","",Setup!A11)</f>
        <v/>
      </c>
      <c r="B9" s="37" t="str">
        <f aca="false">IF(Setup!B11="","",Setup!B11)</f>
        <v/>
      </c>
      <c r="C9" s="11">
        <v>3900</v>
      </c>
      <c r="D9" s="37" t="str">
        <f aca="false">IF($A9="","",MAX(0,B9-C9))</f>
        <v/>
      </c>
      <c r="E9" s="38" t="str">
        <f aca="false">IF(OR($A9="",B9=0),"",C9/B9)</f>
        <v/>
      </c>
      <c r="F9" s="37" t="str">
        <f aca="false">IF(Setup!D11="","",Setup!D11)</f>
        <v/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36" t="str">
        <f aca="false">IF(Setup!A12="","",Setup!A12)</f>
        <v/>
      </c>
      <c r="B10" s="37" t="str">
        <f aca="false">IF(Setup!B12="","",Setup!B12)</f>
        <v/>
      </c>
      <c r="C10" s="11">
        <v>2200</v>
      </c>
      <c r="D10" s="37" t="str">
        <f aca="false">IF($A10="","",MAX(0,B10-C10))</f>
        <v/>
      </c>
      <c r="E10" s="38" t="str">
        <f aca="false">IF(OR($A10="",B10=0),"",C10/B10)</f>
        <v/>
      </c>
      <c r="F10" s="37" t="str">
        <f aca="false">IF(Setup!D12="","",Setup!D12)</f>
        <v/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6" t="str">
        <f aca="false">IF(Setup!A13="","",Setup!A13)</f>
        <v/>
      </c>
      <c r="B11" s="37" t="str">
        <f aca="false">IF(Setup!B13="","",Setup!B13)</f>
        <v/>
      </c>
      <c r="C11" s="11"/>
      <c r="D11" s="37" t="str">
        <f aca="false">IF($A11="","",MAX(0,B11-C11))</f>
        <v/>
      </c>
      <c r="E11" s="38" t="str">
        <f aca="false">IF(OR($A11="",B11=0),"",C11/B11)</f>
        <v/>
      </c>
      <c r="F11" s="37" t="str">
        <f aca="false">IF(Setup!D13="","",Setup!D13)</f>
        <v/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36" t="str">
        <f aca="false">IF(Setup!A14="","",Setup!A14)</f>
        <v/>
      </c>
      <c r="B12" s="37" t="str">
        <f aca="false">IF(Setup!B14="","",Setup!B14)</f>
        <v/>
      </c>
      <c r="C12" s="11"/>
      <c r="D12" s="37" t="str">
        <f aca="false">IF($A12="","",MAX(0,B12-C12))</f>
        <v/>
      </c>
      <c r="E12" s="38" t="str">
        <f aca="false">IF(OR($A12="",B12=0),"",C12/B12)</f>
        <v/>
      </c>
      <c r="F12" s="37" t="str">
        <f aca="false">IF(Setup!D14="","",Setup!D14)</f>
        <v/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36" t="str">
        <f aca="false">IF(Setup!A15="","",Setup!A15)</f>
        <v/>
      </c>
      <c r="B13" s="37" t="str">
        <f aca="false">IF(Setup!B15="","",Setup!B15)</f>
        <v/>
      </c>
      <c r="C13" s="11"/>
      <c r="D13" s="37" t="str">
        <f aca="false">IF($A13="","",MAX(0,B13-C13))</f>
        <v/>
      </c>
      <c r="E13" s="38" t="str">
        <f aca="false">IF(OR($A13="",B13=0),"",C13/B13)</f>
        <v/>
      </c>
      <c r="F13" s="37" t="str">
        <f aca="false">IF(Setup!D15="","",Setup!D15)</f>
        <v/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36" t="str">
        <f aca="false">IF(Setup!A16="","",Setup!A16)</f>
        <v/>
      </c>
      <c r="B14" s="37" t="str">
        <f aca="false">IF(Setup!B16="","",Setup!B16)</f>
        <v/>
      </c>
      <c r="C14" s="11"/>
      <c r="D14" s="37" t="str">
        <f aca="false">IF($A14="","",MAX(0,B14-C14))</f>
        <v/>
      </c>
      <c r="E14" s="38" t="str">
        <f aca="false">IF(OR($A14="",B14=0),"",C14/B14)</f>
        <v/>
      </c>
      <c r="F14" s="37" t="str">
        <f aca="false">IF(Setup!D16="","",Setup!D16)</f>
        <v/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39" t="s">
        <v>58</v>
      </c>
      <c r="B15" s="40" t="n">
        <f aca="false">SUM(B5:B14)</f>
        <v>0</v>
      </c>
      <c r="C15" s="40" t="n">
        <f aca="false">SUM(C5:C14)</f>
        <v>0</v>
      </c>
      <c r="D15" s="40" t="n">
        <f aca="false">SUM(D5:D14)</f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</row>
  </sheetData>
  <sheetProtection sheet="true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2" min="1" style="0" width="8.71"/>
  </cols>
  <sheetData>
    <row r="1" customFormat="false" ht="15" hidden="false" customHeight="true" outlineLevel="0" collapsed="false">
      <c r="A1" s="41" t="s">
        <v>59</v>
      </c>
    </row>
    <row r="2" customFormat="false" ht="15" hidden="false" customHeight="true" outlineLevel="0" collapsed="false">
      <c r="A2" s="42" t="s">
        <v>34</v>
      </c>
      <c r="B2" s="42" t="s">
        <v>60</v>
      </c>
      <c r="C2" s="43" t="n">
        <v>1</v>
      </c>
      <c r="D2" s="43" t="n">
        <v>2</v>
      </c>
      <c r="E2" s="43" t="n">
        <v>3</v>
      </c>
      <c r="F2" s="43" t="n">
        <v>4</v>
      </c>
      <c r="G2" s="43" t="n">
        <v>5</v>
      </c>
      <c r="H2" s="43" t="n">
        <v>6</v>
      </c>
      <c r="I2" s="43" t="n">
        <v>7</v>
      </c>
      <c r="J2" s="43" t="n">
        <v>8</v>
      </c>
      <c r="K2" s="43" t="n">
        <v>9</v>
      </c>
      <c r="L2" s="43" t="n">
        <v>10</v>
      </c>
      <c r="M2" s="43" t="n">
        <v>11</v>
      </c>
      <c r="N2" s="43" t="n">
        <v>12</v>
      </c>
      <c r="O2" s="43" t="n">
        <v>13</v>
      </c>
      <c r="P2" s="43" t="n">
        <v>14</v>
      </c>
      <c r="Q2" s="43" t="n">
        <v>15</v>
      </c>
      <c r="R2" s="43" t="n">
        <v>16</v>
      </c>
      <c r="S2" s="43" t="n">
        <v>17</v>
      </c>
      <c r="T2" s="43" t="n">
        <v>18</v>
      </c>
      <c r="U2" s="43" t="n">
        <v>19</v>
      </c>
      <c r="V2" s="43" t="n">
        <v>20</v>
      </c>
      <c r="W2" s="43" t="n">
        <v>21</v>
      </c>
      <c r="X2" s="43" t="n">
        <v>22</v>
      </c>
      <c r="Y2" s="43" t="n">
        <v>23</v>
      </c>
      <c r="Z2" s="43" t="n">
        <v>24</v>
      </c>
      <c r="AA2" s="43" t="n">
        <v>25</v>
      </c>
      <c r="AB2" s="43" t="n">
        <v>26</v>
      </c>
      <c r="AC2" s="43" t="n">
        <v>27</v>
      </c>
      <c r="AD2" s="43" t="n">
        <v>28</v>
      </c>
      <c r="AE2" s="43" t="n">
        <v>29</v>
      </c>
      <c r="AF2" s="43" t="n">
        <v>30</v>
      </c>
      <c r="AG2" s="43" t="n">
        <v>31</v>
      </c>
      <c r="AH2" s="43" t="n">
        <v>32</v>
      </c>
      <c r="AI2" s="43" t="n">
        <v>33</v>
      </c>
      <c r="AJ2" s="43" t="n">
        <v>34</v>
      </c>
      <c r="AK2" s="43" t="n">
        <v>35</v>
      </c>
      <c r="AL2" s="43" t="n">
        <v>36</v>
      </c>
      <c r="AM2" s="43" t="n">
        <v>37</v>
      </c>
      <c r="AN2" s="43" t="n">
        <v>38</v>
      </c>
      <c r="AO2" s="43" t="n">
        <v>39</v>
      </c>
      <c r="AP2" s="43" t="n">
        <v>40</v>
      </c>
      <c r="AQ2" s="43" t="n">
        <v>41</v>
      </c>
      <c r="AR2" s="43" t="n">
        <v>42</v>
      </c>
      <c r="AS2" s="43" t="n">
        <v>43</v>
      </c>
      <c r="AT2" s="43" t="n">
        <v>44</v>
      </c>
      <c r="AU2" s="43" t="n">
        <v>45</v>
      </c>
      <c r="AV2" s="43" t="n">
        <v>46</v>
      </c>
      <c r="AW2" s="43" t="n">
        <v>47</v>
      </c>
      <c r="AX2" s="43" t="n">
        <v>48</v>
      </c>
      <c r="AY2" s="43" t="n">
        <v>49</v>
      </c>
      <c r="AZ2" s="43" t="n">
        <v>50</v>
      </c>
      <c r="BA2" s="43" t="n">
        <v>51</v>
      </c>
      <c r="BB2" s="43" t="n">
        <v>52</v>
      </c>
      <c r="BC2" s="43" t="n">
        <v>53</v>
      </c>
      <c r="BD2" s="43" t="n">
        <v>54</v>
      </c>
      <c r="BE2" s="43" t="n">
        <v>55</v>
      </c>
      <c r="BF2" s="43" t="n">
        <v>56</v>
      </c>
      <c r="BG2" s="43" t="n">
        <v>57</v>
      </c>
      <c r="BH2" s="43" t="n">
        <v>58</v>
      </c>
      <c r="BI2" s="43" t="n">
        <v>59</v>
      </c>
      <c r="BJ2" s="43" t="n">
        <v>60</v>
      </c>
    </row>
    <row r="3" customFormat="false" ht="15" hidden="false" customHeight="true" outlineLevel="0" collapsed="false">
      <c r="A3" s="43" t="n">
        <f aca="false">Setup!A7</f>
        <v>0</v>
      </c>
      <c r="B3" s="44" t="n">
        <f aca="false">IF(Setup!B7="",0,Setup!B7)</f>
        <v>0</v>
      </c>
      <c r="C3" s="44" t="n">
        <f aca="false">MAX(0,B3+B3*Setup!$C$7/1200-(IF(B3&lt;=0,0,Setup!$D$7+IF(Setup!$F$7=C$14,C$13,0))))</f>
        <v>0</v>
      </c>
      <c r="D3" s="44" t="n">
        <f aca="false">MAX(0,C3+C3*Setup!$C$7/1200-(IF(C3&lt;=0,0,Setup!$D$7+IF(Setup!$F$7=D$14,D$13,0))))</f>
        <v>0</v>
      </c>
      <c r="E3" s="44" t="n">
        <f aca="false">MAX(0,D3+D3*Setup!$C$7/1200-(IF(D3&lt;=0,0,Setup!$D$7+IF(Setup!$F$7=E$14,E$13,0))))</f>
        <v>0</v>
      </c>
      <c r="F3" s="44" t="n">
        <f aca="false">MAX(0,E3+E3*Setup!$C$7/1200-(IF(E3&lt;=0,0,Setup!$D$7+IF(Setup!$F$7=F$14,F$13,0))))</f>
        <v>0</v>
      </c>
      <c r="G3" s="44" t="n">
        <f aca="false">MAX(0,F3+F3*Setup!$C$7/1200-(IF(F3&lt;=0,0,Setup!$D$7+IF(Setup!$F$7=G$14,G$13,0))))</f>
        <v>0</v>
      </c>
      <c r="H3" s="44" t="n">
        <f aca="false">MAX(0,G3+G3*Setup!$C$7/1200-(IF(G3&lt;=0,0,Setup!$D$7+IF(Setup!$F$7=H$14,H$13,0))))</f>
        <v>0</v>
      </c>
      <c r="I3" s="44" t="n">
        <f aca="false">MAX(0,H3+H3*Setup!$C$7/1200-(IF(H3&lt;=0,0,Setup!$D$7+IF(Setup!$F$7=I$14,I$13,0))))</f>
        <v>0</v>
      </c>
      <c r="J3" s="44" t="n">
        <f aca="false">MAX(0,I3+I3*Setup!$C$7/1200-(IF(I3&lt;=0,0,Setup!$D$7+IF(Setup!$F$7=J$14,J$13,0))))</f>
        <v>0</v>
      </c>
      <c r="K3" s="44" t="n">
        <f aca="false">MAX(0,J3+J3*Setup!$C$7/1200-(IF(J3&lt;=0,0,Setup!$D$7+IF(Setup!$F$7=K$14,K$13,0))))</f>
        <v>0</v>
      </c>
      <c r="L3" s="44" t="n">
        <f aca="false">MAX(0,K3+K3*Setup!$C$7/1200-(IF(K3&lt;=0,0,Setup!$D$7+IF(Setup!$F$7=L$14,L$13,0))))</f>
        <v>0</v>
      </c>
      <c r="M3" s="44" t="n">
        <f aca="false">MAX(0,L3+L3*Setup!$C$7/1200-(IF(L3&lt;=0,0,Setup!$D$7+IF(Setup!$F$7=M$14,M$13,0))))</f>
        <v>0</v>
      </c>
      <c r="N3" s="44" t="n">
        <f aca="false">MAX(0,M3+M3*Setup!$C$7/1200-(IF(M3&lt;=0,0,Setup!$D$7+IF(Setup!$F$7=N$14,N$13,0))))</f>
        <v>0</v>
      </c>
      <c r="O3" s="44" t="n">
        <f aca="false">MAX(0,N3+N3*Setup!$C$7/1200-(IF(N3&lt;=0,0,Setup!$D$7+IF(Setup!$F$7=O$14,O$13,0))))</f>
        <v>0</v>
      </c>
      <c r="P3" s="44" t="n">
        <f aca="false">MAX(0,O3+O3*Setup!$C$7/1200-(IF(O3&lt;=0,0,Setup!$D$7+IF(Setup!$F$7=P$14,P$13,0))))</f>
        <v>0</v>
      </c>
      <c r="Q3" s="44" t="n">
        <f aca="false">MAX(0,P3+P3*Setup!$C$7/1200-(IF(P3&lt;=0,0,Setup!$D$7+IF(Setup!$F$7=Q$14,Q$13,0))))</f>
        <v>0</v>
      </c>
      <c r="R3" s="44" t="n">
        <f aca="false">MAX(0,Q3+Q3*Setup!$C$7/1200-(IF(Q3&lt;=0,0,Setup!$D$7+IF(Setup!$F$7=R$14,R$13,0))))</f>
        <v>0</v>
      </c>
      <c r="S3" s="44" t="n">
        <f aca="false">MAX(0,R3+R3*Setup!$C$7/1200-(IF(R3&lt;=0,0,Setup!$D$7+IF(Setup!$F$7=S$14,S$13,0))))</f>
        <v>0</v>
      </c>
      <c r="T3" s="44" t="n">
        <f aca="false">MAX(0,S3+S3*Setup!$C$7/1200-(IF(S3&lt;=0,0,Setup!$D$7+IF(Setup!$F$7=T$14,T$13,0))))</f>
        <v>0</v>
      </c>
      <c r="U3" s="44" t="n">
        <f aca="false">MAX(0,T3+T3*Setup!$C$7/1200-(IF(T3&lt;=0,0,Setup!$D$7+IF(Setup!$F$7=U$14,U$13,0))))</f>
        <v>0</v>
      </c>
      <c r="V3" s="44" t="n">
        <f aca="false">MAX(0,U3+U3*Setup!$C$7/1200-(IF(U3&lt;=0,0,Setup!$D$7+IF(Setup!$F$7=V$14,V$13,0))))</f>
        <v>0</v>
      </c>
      <c r="W3" s="44" t="n">
        <f aca="false">MAX(0,V3+V3*Setup!$C$7/1200-(IF(V3&lt;=0,0,Setup!$D$7+IF(Setup!$F$7=W$14,W$13,0))))</f>
        <v>0</v>
      </c>
      <c r="X3" s="44" t="n">
        <f aca="false">MAX(0,W3+W3*Setup!$C$7/1200-(IF(W3&lt;=0,0,Setup!$D$7+IF(Setup!$F$7=X$14,X$13,0))))</f>
        <v>0</v>
      </c>
      <c r="Y3" s="44" t="n">
        <f aca="false">MAX(0,X3+X3*Setup!$C$7/1200-(IF(X3&lt;=0,0,Setup!$D$7+IF(Setup!$F$7=Y$14,Y$13,0))))</f>
        <v>0</v>
      </c>
      <c r="Z3" s="44" t="n">
        <f aca="false">MAX(0,Y3+Y3*Setup!$C$7/1200-(IF(Y3&lt;=0,0,Setup!$D$7+IF(Setup!$F$7=Z$14,Z$13,0))))</f>
        <v>0</v>
      </c>
      <c r="AA3" s="44" t="n">
        <f aca="false">MAX(0,Z3+Z3*Setup!$C$7/1200-(IF(Z3&lt;=0,0,Setup!$D$7+IF(Setup!$F$7=AA$14,AA$13,0))))</f>
        <v>0</v>
      </c>
      <c r="AB3" s="44" t="n">
        <f aca="false">MAX(0,AA3+AA3*Setup!$C$7/1200-(IF(AA3&lt;=0,0,Setup!$D$7+IF(Setup!$F$7=AB$14,AB$13,0))))</f>
        <v>0</v>
      </c>
      <c r="AC3" s="44" t="n">
        <f aca="false">MAX(0,AB3+AB3*Setup!$C$7/1200-(IF(AB3&lt;=0,0,Setup!$D$7+IF(Setup!$F$7=AC$14,AC$13,0))))</f>
        <v>0</v>
      </c>
      <c r="AD3" s="44" t="n">
        <f aca="false">MAX(0,AC3+AC3*Setup!$C$7/1200-(IF(AC3&lt;=0,0,Setup!$D$7+IF(Setup!$F$7=AD$14,AD$13,0))))</f>
        <v>0</v>
      </c>
      <c r="AE3" s="44" t="n">
        <f aca="false">MAX(0,AD3+AD3*Setup!$C$7/1200-(IF(AD3&lt;=0,0,Setup!$D$7+IF(Setup!$F$7=AE$14,AE$13,0))))</f>
        <v>0</v>
      </c>
      <c r="AF3" s="44" t="n">
        <f aca="false">MAX(0,AE3+AE3*Setup!$C$7/1200-(IF(AE3&lt;=0,0,Setup!$D$7+IF(Setup!$F$7=AF$14,AF$13,0))))</f>
        <v>0</v>
      </c>
      <c r="AG3" s="44" t="n">
        <f aca="false">MAX(0,AF3+AF3*Setup!$C$7/1200-(IF(AF3&lt;=0,0,Setup!$D$7+IF(Setup!$F$7=AG$14,AG$13,0))))</f>
        <v>0</v>
      </c>
      <c r="AH3" s="44" t="n">
        <f aca="false">MAX(0,AG3+AG3*Setup!$C$7/1200-(IF(AG3&lt;=0,0,Setup!$D$7+IF(Setup!$F$7=AH$14,AH$13,0))))</f>
        <v>0</v>
      </c>
      <c r="AI3" s="44" t="n">
        <f aca="false">MAX(0,AH3+AH3*Setup!$C$7/1200-(IF(AH3&lt;=0,0,Setup!$D$7+IF(Setup!$F$7=AI$14,AI$13,0))))</f>
        <v>0</v>
      </c>
      <c r="AJ3" s="44" t="n">
        <f aca="false">MAX(0,AI3+AI3*Setup!$C$7/1200-(IF(AI3&lt;=0,0,Setup!$D$7+IF(Setup!$F$7=AJ$14,AJ$13,0))))</f>
        <v>0</v>
      </c>
      <c r="AK3" s="44" t="n">
        <f aca="false">MAX(0,AJ3+AJ3*Setup!$C$7/1200-(IF(AJ3&lt;=0,0,Setup!$D$7+IF(Setup!$F$7=AK$14,AK$13,0))))</f>
        <v>0</v>
      </c>
      <c r="AL3" s="44" t="n">
        <f aca="false">MAX(0,AK3+AK3*Setup!$C$7/1200-(IF(AK3&lt;=0,0,Setup!$D$7+IF(Setup!$F$7=AL$14,AL$13,0))))</f>
        <v>0</v>
      </c>
      <c r="AM3" s="44" t="n">
        <f aca="false">MAX(0,AL3+AL3*Setup!$C$7/1200-(IF(AL3&lt;=0,0,Setup!$D$7+IF(Setup!$F$7=AM$14,AM$13,0))))</f>
        <v>0</v>
      </c>
      <c r="AN3" s="44" t="n">
        <f aca="false">MAX(0,AM3+AM3*Setup!$C$7/1200-(IF(AM3&lt;=0,0,Setup!$D$7+IF(Setup!$F$7=AN$14,AN$13,0))))</f>
        <v>0</v>
      </c>
      <c r="AO3" s="44" t="n">
        <f aca="false">MAX(0,AN3+AN3*Setup!$C$7/1200-(IF(AN3&lt;=0,0,Setup!$D$7+IF(Setup!$F$7=AO$14,AO$13,0))))</f>
        <v>0</v>
      </c>
      <c r="AP3" s="44" t="n">
        <f aca="false">MAX(0,AO3+AO3*Setup!$C$7/1200-(IF(AO3&lt;=0,0,Setup!$D$7+IF(Setup!$F$7=AP$14,AP$13,0))))</f>
        <v>0</v>
      </c>
      <c r="AQ3" s="44" t="n">
        <f aca="false">MAX(0,AP3+AP3*Setup!$C$7/1200-(IF(AP3&lt;=0,0,Setup!$D$7+IF(Setup!$F$7=AQ$14,AQ$13,0))))</f>
        <v>0</v>
      </c>
      <c r="AR3" s="44" t="n">
        <f aca="false">MAX(0,AQ3+AQ3*Setup!$C$7/1200-(IF(AQ3&lt;=0,0,Setup!$D$7+IF(Setup!$F$7=AR$14,AR$13,0))))</f>
        <v>0</v>
      </c>
      <c r="AS3" s="44" t="n">
        <f aca="false">MAX(0,AR3+AR3*Setup!$C$7/1200-(IF(AR3&lt;=0,0,Setup!$D$7+IF(Setup!$F$7=AS$14,AS$13,0))))</f>
        <v>0</v>
      </c>
      <c r="AT3" s="44" t="n">
        <f aca="false">MAX(0,AS3+AS3*Setup!$C$7/1200-(IF(AS3&lt;=0,0,Setup!$D$7+IF(Setup!$F$7=AT$14,AT$13,0))))</f>
        <v>0</v>
      </c>
      <c r="AU3" s="44" t="n">
        <f aca="false">MAX(0,AT3+AT3*Setup!$C$7/1200-(IF(AT3&lt;=0,0,Setup!$D$7+IF(Setup!$F$7=AU$14,AU$13,0))))</f>
        <v>0</v>
      </c>
      <c r="AV3" s="44" t="n">
        <f aca="false">MAX(0,AU3+AU3*Setup!$C$7/1200-(IF(AU3&lt;=0,0,Setup!$D$7+IF(Setup!$F$7=AV$14,AV$13,0))))</f>
        <v>0</v>
      </c>
      <c r="AW3" s="44" t="n">
        <f aca="false">MAX(0,AV3+AV3*Setup!$C$7/1200-(IF(AV3&lt;=0,0,Setup!$D$7+IF(Setup!$F$7=AW$14,AW$13,0))))</f>
        <v>0</v>
      </c>
      <c r="AX3" s="44" t="n">
        <f aca="false">MAX(0,AW3+AW3*Setup!$C$7/1200-(IF(AW3&lt;=0,0,Setup!$D$7+IF(Setup!$F$7=AX$14,AX$13,0))))</f>
        <v>0</v>
      </c>
      <c r="AY3" s="44" t="n">
        <f aca="false">MAX(0,AX3+AX3*Setup!$C$7/1200-(IF(AX3&lt;=0,0,Setup!$D$7+IF(Setup!$F$7=AY$14,AY$13,0))))</f>
        <v>0</v>
      </c>
      <c r="AZ3" s="44" t="n">
        <f aca="false">MAX(0,AY3+AY3*Setup!$C$7/1200-(IF(AY3&lt;=0,0,Setup!$D$7+IF(Setup!$F$7=AZ$14,AZ$13,0))))</f>
        <v>0</v>
      </c>
      <c r="BA3" s="44" t="n">
        <f aca="false">MAX(0,AZ3+AZ3*Setup!$C$7/1200-(IF(AZ3&lt;=0,0,Setup!$D$7+IF(Setup!$F$7=BA$14,BA$13,0))))</f>
        <v>0</v>
      </c>
      <c r="BB3" s="44" t="n">
        <f aca="false">MAX(0,BA3+BA3*Setup!$C$7/1200-(IF(BA3&lt;=0,0,Setup!$D$7+IF(Setup!$F$7=BB$14,BB$13,0))))</f>
        <v>0</v>
      </c>
      <c r="BC3" s="44" t="n">
        <f aca="false">MAX(0,BB3+BB3*Setup!$C$7/1200-(IF(BB3&lt;=0,0,Setup!$D$7+IF(Setup!$F$7=BC$14,BC$13,0))))</f>
        <v>0</v>
      </c>
      <c r="BD3" s="44" t="n">
        <f aca="false">MAX(0,BC3+BC3*Setup!$C$7/1200-(IF(BC3&lt;=0,0,Setup!$D$7+IF(Setup!$F$7=BD$14,BD$13,0))))</f>
        <v>0</v>
      </c>
      <c r="BE3" s="44" t="n">
        <f aca="false">MAX(0,BD3+BD3*Setup!$C$7/1200-(IF(BD3&lt;=0,0,Setup!$D$7+IF(Setup!$F$7=BE$14,BE$13,0))))</f>
        <v>0</v>
      </c>
      <c r="BF3" s="44" t="n">
        <f aca="false">MAX(0,BE3+BE3*Setup!$C$7/1200-(IF(BE3&lt;=0,0,Setup!$D$7+IF(Setup!$F$7=BF$14,BF$13,0))))</f>
        <v>0</v>
      </c>
      <c r="BG3" s="44" t="n">
        <f aca="false">MAX(0,BF3+BF3*Setup!$C$7/1200-(IF(BF3&lt;=0,0,Setup!$D$7+IF(Setup!$F$7=BG$14,BG$13,0))))</f>
        <v>0</v>
      </c>
      <c r="BH3" s="44" t="n">
        <f aca="false">MAX(0,BG3+BG3*Setup!$C$7/1200-(IF(BG3&lt;=0,0,Setup!$D$7+IF(Setup!$F$7=BH$14,BH$13,0))))</f>
        <v>0</v>
      </c>
      <c r="BI3" s="44" t="n">
        <f aca="false">MAX(0,BH3+BH3*Setup!$C$7/1200-(IF(BH3&lt;=0,0,Setup!$D$7+IF(Setup!$F$7=BI$14,BI$13,0))))</f>
        <v>0</v>
      </c>
      <c r="BJ3" s="44" t="n">
        <f aca="false">MAX(0,BI3+BI3*Setup!$C$7/1200-(IF(BI3&lt;=0,0,Setup!$D$7+IF(Setup!$F$7=BJ$14,BJ$13,0))))</f>
        <v>0</v>
      </c>
    </row>
    <row r="4" customFormat="false" ht="15" hidden="false" customHeight="true" outlineLevel="0" collapsed="false">
      <c r="A4" s="43" t="n">
        <f aca="false">Setup!A8</f>
        <v>0</v>
      </c>
      <c r="B4" s="44" t="n">
        <f aca="false">IF(Setup!B8="",0,Setup!B8)</f>
        <v>0</v>
      </c>
      <c r="C4" s="44" t="n">
        <f aca="false">MAX(0,B4+B4*Setup!$C$8/1200-(IF(B4&lt;=0,0,Setup!$D$8+IF(Setup!$F$8=C$14,C$13,0))))</f>
        <v>0</v>
      </c>
      <c r="D4" s="44" t="n">
        <f aca="false">MAX(0,C4+C4*Setup!$C$8/1200-(IF(C4&lt;=0,0,Setup!$D$8+IF(Setup!$F$8=D$14,D$13,0))))</f>
        <v>0</v>
      </c>
      <c r="E4" s="44" t="n">
        <f aca="false">MAX(0,D4+D4*Setup!$C$8/1200-(IF(D4&lt;=0,0,Setup!$D$8+IF(Setup!$F$8=E$14,E$13,0))))</f>
        <v>0</v>
      </c>
      <c r="F4" s="44" t="n">
        <f aca="false">MAX(0,E4+E4*Setup!$C$8/1200-(IF(E4&lt;=0,0,Setup!$D$8+IF(Setup!$F$8=F$14,F$13,0))))</f>
        <v>0</v>
      </c>
      <c r="G4" s="44" t="n">
        <f aca="false">MAX(0,F4+F4*Setup!$C$8/1200-(IF(F4&lt;=0,0,Setup!$D$8+IF(Setup!$F$8=G$14,G$13,0))))</f>
        <v>0</v>
      </c>
      <c r="H4" s="44" t="n">
        <f aca="false">MAX(0,G4+G4*Setup!$C$8/1200-(IF(G4&lt;=0,0,Setup!$D$8+IF(Setup!$F$8=H$14,H$13,0))))</f>
        <v>0</v>
      </c>
      <c r="I4" s="44" t="n">
        <f aca="false">MAX(0,H4+H4*Setup!$C$8/1200-(IF(H4&lt;=0,0,Setup!$D$8+IF(Setup!$F$8=I$14,I$13,0))))</f>
        <v>0</v>
      </c>
      <c r="J4" s="44" t="n">
        <f aca="false">MAX(0,I4+I4*Setup!$C$8/1200-(IF(I4&lt;=0,0,Setup!$D$8+IF(Setup!$F$8=J$14,J$13,0))))</f>
        <v>0</v>
      </c>
      <c r="K4" s="44" t="n">
        <f aca="false">MAX(0,J4+J4*Setup!$C$8/1200-(IF(J4&lt;=0,0,Setup!$D$8+IF(Setup!$F$8=K$14,K$13,0))))</f>
        <v>0</v>
      </c>
      <c r="L4" s="44" t="n">
        <f aca="false">MAX(0,K4+K4*Setup!$C$8/1200-(IF(K4&lt;=0,0,Setup!$D$8+IF(Setup!$F$8=L$14,L$13,0))))</f>
        <v>0</v>
      </c>
      <c r="M4" s="44" t="n">
        <f aca="false">MAX(0,L4+L4*Setup!$C$8/1200-(IF(L4&lt;=0,0,Setup!$D$8+IF(Setup!$F$8=M$14,M$13,0))))</f>
        <v>0</v>
      </c>
      <c r="N4" s="44" t="n">
        <f aca="false">MAX(0,M4+M4*Setup!$C$8/1200-(IF(M4&lt;=0,0,Setup!$D$8+IF(Setup!$F$8=N$14,N$13,0))))</f>
        <v>0</v>
      </c>
      <c r="O4" s="44" t="n">
        <f aca="false">MAX(0,N4+N4*Setup!$C$8/1200-(IF(N4&lt;=0,0,Setup!$D$8+IF(Setup!$F$8=O$14,O$13,0))))</f>
        <v>0</v>
      </c>
      <c r="P4" s="44" t="n">
        <f aca="false">MAX(0,O4+O4*Setup!$C$8/1200-(IF(O4&lt;=0,0,Setup!$D$8+IF(Setup!$F$8=P$14,P$13,0))))</f>
        <v>0</v>
      </c>
      <c r="Q4" s="44" t="n">
        <f aca="false">MAX(0,P4+P4*Setup!$C$8/1200-(IF(P4&lt;=0,0,Setup!$D$8+IF(Setup!$F$8=Q$14,Q$13,0))))</f>
        <v>0</v>
      </c>
      <c r="R4" s="44" t="n">
        <f aca="false">MAX(0,Q4+Q4*Setup!$C$8/1200-(IF(Q4&lt;=0,0,Setup!$D$8+IF(Setup!$F$8=R$14,R$13,0))))</f>
        <v>0</v>
      </c>
      <c r="S4" s="44" t="n">
        <f aca="false">MAX(0,R4+R4*Setup!$C$8/1200-(IF(R4&lt;=0,0,Setup!$D$8+IF(Setup!$F$8=S$14,S$13,0))))</f>
        <v>0</v>
      </c>
      <c r="T4" s="44" t="n">
        <f aca="false">MAX(0,S4+S4*Setup!$C$8/1200-(IF(S4&lt;=0,0,Setup!$D$8+IF(Setup!$F$8=T$14,T$13,0))))</f>
        <v>0</v>
      </c>
      <c r="U4" s="44" t="n">
        <f aca="false">MAX(0,T4+T4*Setup!$C$8/1200-(IF(T4&lt;=0,0,Setup!$D$8+IF(Setup!$F$8=U$14,U$13,0))))</f>
        <v>0</v>
      </c>
      <c r="V4" s="44" t="n">
        <f aca="false">MAX(0,U4+U4*Setup!$C$8/1200-(IF(U4&lt;=0,0,Setup!$D$8+IF(Setup!$F$8=V$14,V$13,0))))</f>
        <v>0</v>
      </c>
      <c r="W4" s="44" t="n">
        <f aca="false">MAX(0,V4+V4*Setup!$C$8/1200-(IF(V4&lt;=0,0,Setup!$D$8+IF(Setup!$F$8=W$14,W$13,0))))</f>
        <v>0</v>
      </c>
      <c r="X4" s="44" t="n">
        <f aca="false">MAX(0,W4+W4*Setup!$C$8/1200-(IF(W4&lt;=0,0,Setup!$D$8+IF(Setup!$F$8=X$14,X$13,0))))</f>
        <v>0</v>
      </c>
      <c r="Y4" s="44" t="n">
        <f aca="false">MAX(0,X4+X4*Setup!$C$8/1200-(IF(X4&lt;=0,0,Setup!$D$8+IF(Setup!$F$8=Y$14,Y$13,0))))</f>
        <v>0</v>
      </c>
      <c r="Z4" s="44" t="n">
        <f aca="false">MAX(0,Y4+Y4*Setup!$C$8/1200-(IF(Y4&lt;=0,0,Setup!$D$8+IF(Setup!$F$8=Z$14,Z$13,0))))</f>
        <v>0</v>
      </c>
      <c r="AA4" s="44" t="n">
        <f aca="false">MAX(0,Z4+Z4*Setup!$C$8/1200-(IF(Z4&lt;=0,0,Setup!$D$8+IF(Setup!$F$8=AA$14,AA$13,0))))</f>
        <v>0</v>
      </c>
      <c r="AB4" s="44" t="n">
        <f aca="false">MAX(0,AA4+AA4*Setup!$C$8/1200-(IF(AA4&lt;=0,0,Setup!$D$8+IF(Setup!$F$8=AB$14,AB$13,0))))</f>
        <v>0</v>
      </c>
      <c r="AC4" s="44" t="n">
        <f aca="false">MAX(0,AB4+AB4*Setup!$C$8/1200-(IF(AB4&lt;=0,0,Setup!$D$8+IF(Setup!$F$8=AC$14,AC$13,0))))</f>
        <v>0</v>
      </c>
      <c r="AD4" s="44" t="n">
        <f aca="false">MAX(0,AC4+AC4*Setup!$C$8/1200-(IF(AC4&lt;=0,0,Setup!$D$8+IF(Setup!$F$8=AD$14,AD$13,0))))</f>
        <v>0</v>
      </c>
      <c r="AE4" s="44" t="n">
        <f aca="false">MAX(0,AD4+AD4*Setup!$C$8/1200-(IF(AD4&lt;=0,0,Setup!$D$8+IF(Setup!$F$8=AE$14,AE$13,0))))</f>
        <v>0</v>
      </c>
      <c r="AF4" s="44" t="n">
        <f aca="false">MAX(0,AE4+AE4*Setup!$C$8/1200-(IF(AE4&lt;=0,0,Setup!$D$8+IF(Setup!$F$8=AF$14,AF$13,0))))</f>
        <v>0</v>
      </c>
      <c r="AG4" s="44" t="n">
        <f aca="false">MAX(0,AF4+AF4*Setup!$C$8/1200-(IF(AF4&lt;=0,0,Setup!$D$8+IF(Setup!$F$8=AG$14,AG$13,0))))</f>
        <v>0</v>
      </c>
      <c r="AH4" s="44" t="n">
        <f aca="false">MAX(0,AG4+AG4*Setup!$C$8/1200-(IF(AG4&lt;=0,0,Setup!$D$8+IF(Setup!$F$8=AH$14,AH$13,0))))</f>
        <v>0</v>
      </c>
      <c r="AI4" s="44" t="n">
        <f aca="false">MAX(0,AH4+AH4*Setup!$C$8/1200-(IF(AH4&lt;=0,0,Setup!$D$8+IF(Setup!$F$8=AI$14,AI$13,0))))</f>
        <v>0</v>
      </c>
      <c r="AJ4" s="44" t="n">
        <f aca="false">MAX(0,AI4+AI4*Setup!$C$8/1200-(IF(AI4&lt;=0,0,Setup!$D$8+IF(Setup!$F$8=AJ$14,AJ$13,0))))</f>
        <v>0</v>
      </c>
      <c r="AK4" s="44" t="n">
        <f aca="false">MAX(0,AJ4+AJ4*Setup!$C$8/1200-(IF(AJ4&lt;=0,0,Setup!$D$8+IF(Setup!$F$8=AK$14,AK$13,0))))</f>
        <v>0</v>
      </c>
      <c r="AL4" s="44" t="n">
        <f aca="false">MAX(0,AK4+AK4*Setup!$C$8/1200-(IF(AK4&lt;=0,0,Setup!$D$8+IF(Setup!$F$8=AL$14,AL$13,0))))</f>
        <v>0</v>
      </c>
      <c r="AM4" s="44" t="n">
        <f aca="false">MAX(0,AL4+AL4*Setup!$C$8/1200-(IF(AL4&lt;=0,0,Setup!$D$8+IF(Setup!$F$8=AM$14,AM$13,0))))</f>
        <v>0</v>
      </c>
      <c r="AN4" s="44" t="n">
        <f aca="false">MAX(0,AM4+AM4*Setup!$C$8/1200-(IF(AM4&lt;=0,0,Setup!$D$8+IF(Setup!$F$8=AN$14,AN$13,0))))</f>
        <v>0</v>
      </c>
      <c r="AO4" s="44" t="n">
        <f aca="false">MAX(0,AN4+AN4*Setup!$C$8/1200-(IF(AN4&lt;=0,0,Setup!$D$8+IF(Setup!$F$8=AO$14,AO$13,0))))</f>
        <v>0</v>
      </c>
      <c r="AP4" s="44" t="n">
        <f aca="false">MAX(0,AO4+AO4*Setup!$C$8/1200-(IF(AO4&lt;=0,0,Setup!$D$8+IF(Setup!$F$8=AP$14,AP$13,0))))</f>
        <v>0</v>
      </c>
      <c r="AQ4" s="44" t="n">
        <f aca="false">MAX(0,AP4+AP4*Setup!$C$8/1200-(IF(AP4&lt;=0,0,Setup!$D$8+IF(Setup!$F$8=AQ$14,AQ$13,0))))</f>
        <v>0</v>
      </c>
      <c r="AR4" s="44" t="n">
        <f aca="false">MAX(0,AQ4+AQ4*Setup!$C$8/1200-(IF(AQ4&lt;=0,0,Setup!$D$8+IF(Setup!$F$8=AR$14,AR$13,0))))</f>
        <v>0</v>
      </c>
      <c r="AS4" s="44" t="n">
        <f aca="false">MAX(0,AR4+AR4*Setup!$C$8/1200-(IF(AR4&lt;=0,0,Setup!$D$8+IF(Setup!$F$8=AS$14,AS$13,0))))</f>
        <v>0</v>
      </c>
      <c r="AT4" s="44" t="n">
        <f aca="false">MAX(0,AS4+AS4*Setup!$C$8/1200-(IF(AS4&lt;=0,0,Setup!$D$8+IF(Setup!$F$8=AT$14,AT$13,0))))</f>
        <v>0</v>
      </c>
      <c r="AU4" s="44" t="n">
        <f aca="false">MAX(0,AT4+AT4*Setup!$C$8/1200-(IF(AT4&lt;=0,0,Setup!$D$8+IF(Setup!$F$8=AU$14,AU$13,0))))</f>
        <v>0</v>
      </c>
      <c r="AV4" s="44" t="n">
        <f aca="false">MAX(0,AU4+AU4*Setup!$C$8/1200-(IF(AU4&lt;=0,0,Setup!$D$8+IF(Setup!$F$8=AV$14,AV$13,0))))</f>
        <v>0</v>
      </c>
      <c r="AW4" s="44" t="n">
        <f aca="false">MAX(0,AV4+AV4*Setup!$C$8/1200-(IF(AV4&lt;=0,0,Setup!$D$8+IF(Setup!$F$8=AW$14,AW$13,0))))</f>
        <v>0</v>
      </c>
      <c r="AX4" s="44" t="n">
        <f aca="false">MAX(0,AW4+AW4*Setup!$C$8/1200-(IF(AW4&lt;=0,0,Setup!$D$8+IF(Setup!$F$8=AX$14,AX$13,0))))</f>
        <v>0</v>
      </c>
      <c r="AY4" s="44" t="n">
        <f aca="false">MAX(0,AX4+AX4*Setup!$C$8/1200-(IF(AX4&lt;=0,0,Setup!$D$8+IF(Setup!$F$8=AY$14,AY$13,0))))</f>
        <v>0</v>
      </c>
      <c r="AZ4" s="44" t="n">
        <f aca="false">MAX(0,AY4+AY4*Setup!$C$8/1200-(IF(AY4&lt;=0,0,Setup!$D$8+IF(Setup!$F$8=AZ$14,AZ$13,0))))</f>
        <v>0</v>
      </c>
      <c r="BA4" s="44" t="n">
        <f aca="false">MAX(0,AZ4+AZ4*Setup!$C$8/1200-(IF(AZ4&lt;=0,0,Setup!$D$8+IF(Setup!$F$8=BA$14,BA$13,0))))</f>
        <v>0</v>
      </c>
      <c r="BB4" s="44" t="n">
        <f aca="false">MAX(0,BA4+BA4*Setup!$C$8/1200-(IF(BA4&lt;=0,0,Setup!$D$8+IF(Setup!$F$8=BB$14,BB$13,0))))</f>
        <v>0</v>
      </c>
      <c r="BC4" s="44" t="n">
        <f aca="false">MAX(0,BB4+BB4*Setup!$C$8/1200-(IF(BB4&lt;=0,0,Setup!$D$8+IF(Setup!$F$8=BC$14,BC$13,0))))</f>
        <v>0</v>
      </c>
      <c r="BD4" s="44" t="n">
        <f aca="false">MAX(0,BC4+BC4*Setup!$C$8/1200-(IF(BC4&lt;=0,0,Setup!$D$8+IF(Setup!$F$8=BD$14,BD$13,0))))</f>
        <v>0</v>
      </c>
      <c r="BE4" s="44" t="n">
        <f aca="false">MAX(0,BD4+BD4*Setup!$C$8/1200-(IF(BD4&lt;=0,0,Setup!$D$8+IF(Setup!$F$8=BE$14,BE$13,0))))</f>
        <v>0</v>
      </c>
      <c r="BF4" s="44" t="n">
        <f aca="false">MAX(0,BE4+BE4*Setup!$C$8/1200-(IF(BE4&lt;=0,0,Setup!$D$8+IF(Setup!$F$8=BF$14,BF$13,0))))</f>
        <v>0</v>
      </c>
      <c r="BG4" s="44" t="n">
        <f aca="false">MAX(0,BF4+BF4*Setup!$C$8/1200-(IF(BF4&lt;=0,0,Setup!$D$8+IF(Setup!$F$8=BG$14,BG$13,0))))</f>
        <v>0</v>
      </c>
      <c r="BH4" s="44" t="n">
        <f aca="false">MAX(0,BG4+BG4*Setup!$C$8/1200-(IF(BG4&lt;=0,0,Setup!$D$8+IF(Setup!$F$8=BH$14,BH$13,0))))</f>
        <v>0</v>
      </c>
      <c r="BI4" s="44" t="n">
        <f aca="false">MAX(0,BH4+BH4*Setup!$C$8/1200-(IF(BH4&lt;=0,0,Setup!$D$8+IF(Setup!$F$8=BI$14,BI$13,0))))</f>
        <v>0</v>
      </c>
      <c r="BJ4" s="44" t="n">
        <f aca="false">MAX(0,BI4+BI4*Setup!$C$8/1200-(IF(BI4&lt;=0,0,Setup!$D$8+IF(Setup!$F$8=BJ$14,BJ$13,0))))</f>
        <v>0</v>
      </c>
    </row>
    <row r="5" customFormat="false" ht="15" hidden="false" customHeight="true" outlineLevel="0" collapsed="false">
      <c r="A5" s="43" t="n">
        <f aca="false">Setup!A9</f>
        <v>0</v>
      </c>
      <c r="B5" s="44" t="n">
        <f aca="false">IF(Setup!B9="",0,Setup!B9)</f>
        <v>0</v>
      </c>
      <c r="C5" s="44" t="n">
        <f aca="false">MAX(0,B5+B5*Setup!$C$9/1200-(IF(B5&lt;=0,0,Setup!$D$9+IF(Setup!$F$9=C$14,C$13,0))))</f>
        <v>0</v>
      </c>
      <c r="D5" s="44" t="n">
        <f aca="false">MAX(0,C5+C5*Setup!$C$9/1200-(IF(C5&lt;=0,0,Setup!$D$9+IF(Setup!$F$9=D$14,D$13,0))))</f>
        <v>0</v>
      </c>
      <c r="E5" s="44" t="n">
        <f aca="false">MAX(0,D5+D5*Setup!$C$9/1200-(IF(D5&lt;=0,0,Setup!$D$9+IF(Setup!$F$9=E$14,E$13,0))))</f>
        <v>0</v>
      </c>
      <c r="F5" s="44" t="n">
        <f aca="false">MAX(0,E5+E5*Setup!$C$9/1200-(IF(E5&lt;=0,0,Setup!$D$9+IF(Setup!$F$9=F$14,F$13,0))))</f>
        <v>0</v>
      </c>
      <c r="G5" s="44" t="n">
        <f aca="false">MAX(0,F5+F5*Setup!$C$9/1200-(IF(F5&lt;=0,0,Setup!$D$9+IF(Setup!$F$9=G$14,G$13,0))))</f>
        <v>0</v>
      </c>
      <c r="H5" s="44" t="n">
        <f aca="false">MAX(0,G5+G5*Setup!$C$9/1200-(IF(G5&lt;=0,0,Setup!$D$9+IF(Setup!$F$9=H$14,H$13,0))))</f>
        <v>0</v>
      </c>
      <c r="I5" s="44" t="n">
        <f aca="false">MAX(0,H5+H5*Setup!$C$9/1200-(IF(H5&lt;=0,0,Setup!$D$9+IF(Setup!$F$9=I$14,I$13,0))))</f>
        <v>0</v>
      </c>
      <c r="J5" s="44" t="n">
        <f aca="false">MAX(0,I5+I5*Setup!$C$9/1200-(IF(I5&lt;=0,0,Setup!$D$9+IF(Setup!$F$9=J$14,J$13,0))))</f>
        <v>0</v>
      </c>
      <c r="K5" s="44" t="n">
        <f aca="false">MAX(0,J5+J5*Setup!$C$9/1200-(IF(J5&lt;=0,0,Setup!$D$9+IF(Setup!$F$9=K$14,K$13,0))))</f>
        <v>0</v>
      </c>
      <c r="L5" s="44" t="n">
        <f aca="false">MAX(0,K5+K5*Setup!$C$9/1200-(IF(K5&lt;=0,0,Setup!$D$9+IF(Setup!$F$9=L$14,L$13,0))))</f>
        <v>0</v>
      </c>
      <c r="M5" s="44" t="n">
        <f aca="false">MAX(0,L5+L5*Setup!$C$9/1200-(IF(L5&lt;=0,0,Setup!$D$9+IF(Setup!$F$9=M$14,M$13,0))))</f>
        <v>0</v>
      </c>
      <c r="N5" s="44" t="n">
        <f aca="false">MAX(0,M5+M5*Setup!$C$9/1200-(IF(M5&lt;=0,0,Setup!$D$9+IF(Setup!$F$9=N$14,N$13,0))))</f>
        <v>0</v>
      </c>
      <c r="O5" s="44" t="n">
        <f aca="false">MAX(0,N5+N5*Setup!$C$9/1200-(IF(N5&lt;=0,0,Setup!$D$9+IF(Setup!$F$9=O$14,O$13,0))))</f>
        <v>0</v>
      </c>
      <c r="P5" s="44" t="n">
        <f aca="false">MAX(0,O5+O5*Setup!$C$9/1200-(IF(O5&lt;=0,0,Setup!$D$9+IF(Setup!$F$9=P$14,P$13,0))))</f>
        <v>0</v>
      </c>
      <c r="Q5" s="44" t="n">
        <f aca="false">MAX(0,P5+P5*Setup!$C$9/1200-(IF(P5&lt;=0,0,Setup!$D$9+IF(Setup!$F$9=Q$14,Q$13,0))))</f>
        <v>0</v>
      </c>
      <c r="R5" s="44" t="n">
        <f aca="false">MAX(0,Q5+Q5*Setup!$C$9/1200-(IF(Q5&lt;=0,0,Setup!$D$9+IF(Setup!$F$9=R$14,R$13,0))))</f>
        <v>0</v>
      </c>
      <c r="S5" s="44" t="n">
        <f aca="false">MAX(0,R5+R5*Setup!$C$9/1200-(IF(R5&lt;=0,0,Setup!$D$9+IF(Setup!$F$9=S$14,S$13,0))))</f>
        <v>0</v>
      </c>
      <c r="T5" s="44" t="n">
        <f aca="false">MAX(0,S5+S5*Setup!$C$9/1200-(IF(S5&lt;=0,0,Setup!$D$9+IF(Setup!$F$9=T$14,T$13,0))))</f>
        <v>0</v>
      </c>
      <c r="U5" s="44" t="n">
        <f aca="false">MAX(0,T5+T5*Setup!$C$9/1200-(IF(T5&lt;=0,0,Setup!$D$9+IF(Setup!$F$9=U$14,U$13,0))))</f>
        <v>0</v>
      </c>
      <c r="V5" s="44" t="n">
        <f aca="false">MAX(0,U5+U5*Setup!$C$9/1200-(IF(U5&lt;=0,0,Setup!$D$9+IF(Setup!$F$9=V$14,V$13,0))))</f>
        <v>0</v>
      </c>
      <c r="W5" s="44" t="n">
        <f aca="false">MAX(0,V5+V5*Setup!$C$9/1200-(IF(V5&lt;=0,0,Setup!$D$9+IF(Setup!$F$9=W$14,W$13,0))))</f>
        <v>0</v>
      </c>
      <c r="X5" s="44" t="n">
        <f aca="false">MAX(0,W5+W5*Setup!$C$9/1200-(IF(W5&lt;=0,0,Setup!$D$9+IF(Setup!$F$9=X$14,X$13,0))))</f>
        <v>0</v>
      </c>
      <c r="Y5" s="44" t="n">
        <f aca="false">MAX(0,X5+X5*Setup!$C$9/1200-(IF(X5&lt;=0,0,Setup!$D$9+IF(Setup!$F$9=Y$14,Y$13,0))))</f>
        <v>0</v>
      </c>
      <c r="Z5" s="44" t="n">
        <f aca="false">MAX(0,Y5+Y5*Setup!$C$9/1200-(IF(Y5&lt;=0,0,Setup!$D$9+IF(Setup!$F$9=Z$14,Z$13,0))))</f>
        <v>0</v>
      </c>
      <c r="AA5" s="44" t="n">
        <f aca="false">MAX(0,Z5+Z5*Setup!$C$9/1200-(IF(Z5&lt;=0,0,Setup!$D$9+IF(Setup!$F$9=AA$14,AA$13,0))))</f>
        <v>0</v>
      </c>
      <c r="AB5" s="44" t="n">
        <f aca="false">MAX(0,AA5+AA5*Setup!$C$9/1200-(IF(AA5&lt;=0,0,Setup!$D$9+IF(Setup!$F$9=AB$14,AB$13,0))))</f>
        <v>0</v>
      </c>
      <c r="AC5" s="44" t="n">
        <f aca="false">MAX(0,AB5+AB5*Setup!$C$9/1200-(IF(AB5&lt;=0,0,Setup!$D$9+IF(Setup!$F$9=AC$14,AC$13,0))))</f>
        <v>0</v>
      </c>
      <c r="AD5" s="44" t="n">
        <f aca="false">MAX(0,AC5+AC5*Setup!$C$9/1200-(IF(AC5&lt;=0,0,Setup!$D$9+IF(Setup!$F$9=AD$14,AD$13,0))))</f>
        <v>0</v>
      </c>
      <c r="AE5" s="44" t="n">
        <f aca="false">MAX(0,AD5+AD5*Setup!$C$9/1200-(IF(AD5&lt;=0,0,Setup!$D$9+IF(Setup!$F$9=AE$14,AE$13,0))))</f>
        <v>0</v>
      </c>
      <c r="AF5" s="44" t="n">
        <f aca="false">MAX(0,AE5+AE5*Setup!$C$9/1200-(IF(AE5&lt;=0,0,Setup!$D$9+IF(Setup!$F$9=AF$14,AF$13,0))))</f>
        <v>0</v>
      </c>
      <c r="AG5" s="44" t="n">
        <f aca="false">MAX(0,AF5+AF5*Setup!$C$9/1200-(IF(AF5&lt;=0,0,Setup!$D$9+IF(Setup!$F$9=AG$14,AG$13,0))))</f>
        <v>0</v>
      </c>
      <c r="AH5" s="44" t="n">
        <f aca="false">MAX(0,AG5+AG5*Setup!$C$9/1200-(IF(AG5&lt;=0,0,Setup!$D$9+IF(Setup!$F$9=AH$14,AH$13,0))))</f>
        <v>0</v>
      </c>
      <c r="AI5" s="44" t="n">
        <f aca="false">MAX(0,AH5+AH5*Setup!$C$9/1200-(IF(AH5&lt;=0,0,Setup!$D$9+IF(Setup!$F$9=AI$14,AI$13,0))))</f>
        <v>0</v>
      </c>
      <c r="AJ5" s="44" t="n">
        <f aca="false">MAX(0,AI5+AI5*Setup!$C$9/1200-(IF(AI5&lt;=0,0,Setup!$D$9+IF(Setup!$F$9=AJ$14,AJ$13,0))))</f>
        <v>0</v>
      </c>
      <c r="AK5" s="44" t="n">
        <f aca="false">MAX(0,AJ5+AJ5*Setup!$C$9/1200-(IF(AJ5&lt;=0,0,Setup!$D$9+IF(Setup!$F$9=AK$14,AK$13,0))))</f>
        <v>0</v>
      </c>
      <c r="AL5" s="44" t="n">
        <f aca="false">MAX(0,AK5+AK5*Setup!$C$9/1200-(IF(AK5&lt;=0,0,Setup!$D$9+IF(Setup!$F$9=AL$14,AL$13,0))))</f>
        <v>0</v>
      </c>
      <c r="AM5" s="44" t="n">
        <f aca="false">MAX(0,AL5+AL5*Setup!$C$9/1200-(IF(AL5&lt;=0,0,Setup!$D$9+IF(Setup!$F$9=AM$14,AM$13,0))))</f>
        <v>0</v>
      </c>
      <c r="AN5" s="44" t="n">
        <f aca="false">MAX(0,AM5+AM5*Setup!$C$9/1200-(IF(AM5&lt;=0,0,Setup!$D$9+IF(Setup!$F$9=AN$14,AN$13,0))))</f>
        <v>0</v>
      </c>
      <c r="AO5" s="44" t="n">
        <f aca="false">MAX(0,AN5+AN5*Setup!$C$9/1200-(IF(AN5&lt;=0,0,Setup!$D$9+IF(Setup!$F$9=AO$14,AO$13,0))))</f>
        <v>0</v>
      </c>
      <c r="AP5" s="44" t="n">
        <f aca="false">MAX(0,AO5+AO5*Setup!$C$9/1200-(IF(AO5&lt;=0,0,Setup!$D$9+IF(Setup!$F$9=AP$14,AP$13,0))))</f>
        <v>0</v>
      </c>
      <c r="AQ5" s="44" t="n">
        <f aca="false">MAX(0,AP5+AP5*Setup!$C$9/1200-(IF(AP5&lt;=0,0,Setup!$D$9+IF(Setup!$F$9=AQ$14,AQ$13,0))))</f>
        <v>0</v>
      </c>
      <c r="AR5" s="44" t="n">
        <f aca="false">MAX(0,AQ5+AQ5*Setup!$C$9/1200-(IF(AQ5&lt;=0,0,Setup!$D$9+IF(Setup!$F$9=AR$14,AR$13,0))))</f>
        <v>0</v>
      </c>
      <c r="AS5" s="44" t="n">
        <f aca="false">MAX(0,AR5+AR5*Setup!$C$9/1200-(IF(AR5&lt;=0,0,Setup!$D$9+IF(Setup!$F$9=AS$14,AS$13,0))))</f>
        <v>0</v>
      </c>
      <c r="AT5" s="44" t="n">
        <f aca="false">MAX(0,AS5+AS5*Setup!$C$9/1200-(IF(AS5&lt;=0,0,Setup!$D$9+IF(Setup!$F$9=AT$14,AT$13,0))))</f>
        <v>0</v>
      </c>
      <c r="AU5" s="44" t="n">
        <f aca="false">MAX(0,AT5+AT5*Setup!$C$9/1200-(IF(AT5&lt;=0,0,Setup!$D$9+IF(Setup!$F$9=AU$14,AU$13,0))))</f>
        <v>0</v>
      </c>
      <c r="AV5" s="44" t="n">
        <f aca="false">MAX(0,AU5+AU5*Setup!$C$9/1200-(IF(AU5&lt;=0,0,Setup!$D$9+IF(Setup!$F$9=AV$14,AV$13,0))))</f>
        <v>0</v>
      </c>
      <c r="AW5" s="44" t="n">
        <f aca="false">MAX(0,AV5+AV5*Setup!$C$9/1200-(IF(AV5&lt;=0,0,Setup!$D$9+IF(Setup!$F$9=AW$14,AW$13,0))))</f>
        <v>0</v>
      </c>
      <c r="AX5" s="44" t="n">
        <f aca="false">MAX(0,AW5+AW5*Setup!$C$9/1200-(IF(AW5&lt;=0,0,Setup!$D$9+IF(Setup!$F$9=AX$14,AX$13,0))))</f>
        <v>0</v>
      </c>
      <c r="AY5" s="44" t="n">
        <f aca="false">MAX(0,AX5+AX5*Setup!$C$9/1200-(IF(AX5&lt;=0,0,Setup!$D$9+IF(Setup!$F$9=AY$14,AY$13,0))))</f>
        <v>0</v>
      </c>
      <c r="AZ5" s="44" t="n">
        <f aca="false">MAX(0,AY5+AY5*Setup!$C$9/1200-(IF(AY5&lt;=0,0,Setup!$D$9+IF(Setup!$F$9=AZ$14,AZ$13,0))))</f>
        <v>0</v>
      </c>
      <c r="BA5" s="44" t="n">
        <f aca="false">MAX(0,AZ5+AZ5*Setup!$C$9/1200-(IF(AZ5&lt;=0,0,Setup!$D$9+IF(Setup!$F$9=BA$14,BA$13,0))))</f>
        <v>0</v>
      </c>
      <c r="BB5" s="44" t="n">
        <f aca="false">MAX(0,BA5+BA5*Setup!$C$9/1200-(IF(BA5&lt;=0,0,Setup!$D$9+IF(Setup!$F$9=BB$14,BB$13,0))))</f>
        <v>0</v>
      </c>
      <c r="BC5" s="44" t="n">
        <f aca="false">MAX(0,BB5+BB5*Setup!$C$9/1200-(IF(BB5&lt;=0,0,Setup!$D$9+IF(Setup!$F$9=BC$14,BC$13,0))))</f>
        <v>0</v>
      </c>
      <c r="BD5" s="44" t="n">
        <f aca="false">MAX(0,BC5+BC5*Setup!$C$9/1200-(IF(BC5&lt;=0,0,Setup!$D$9+IF(Setup!$F$9=BD$14,BD$13,0))))</f>
        <v>0</v>
      </c>
      <c r="BE5" s="44" t="n">
        <f aca="false">MAX(0,BD5+BD5*Setup!$C$9/1200-(IF(BD5&lt;=0,0,Setup!$D$9+IF(Setup!$F$9=BE$14,BE$13,0))))</f>
        <v>0</v>
      </c>
      <c r="BF5" s="44" t="n">
        <f aca="false">MAX(0,BE5+BE5*Setup!$C$9/1200-(IF(BE5&lt;=0,0,Setup!$D$9+IF(Setup!$F$9=BF$14,BF$13,0))))</f>
        <v>0</v>
      </c>
      <c r="BG5" s="44" t="n">
        <f aca="false">MAX(0,BF5+BF5*Setup!$C$9/1200-(IF(BF5&lt;=0,0,Setup!$D$9+IF(Setup!$F$9=BG$14,BG$13,0))))</f>
        <v>0</v>
      </c>
      <c r="BH5" s="44" t="n">
        <f aca="false">MAX(0,BG5+BG5*Setup!$C$9/1200-(IF(BG5&lt;=0,0,Setup!$D$9+IF(Setup!$F$9=BH$14,BH$13,0))))</f>
        <v>0</v>
      </c>
      <c r="BI5" s="44" t="n">
        <f aca="false">MAX(0,BH5+BH5*Setup!$C$9/1200-(IF(BH5&lt;=0,0,Setup!$D$9+IF(Setup!$F$9=BI$14,BI$13,0))))</f>
        <v>0</v>
      </c>
      <c r="BJ5" s="44" t="n">
        <f aca="false">MAX(0,BI5+BI5*Setup!$C$9/1200-(IF(BI5&lt;=0,0,Setup!$D$9+IF(Setup!$F$9=BJ$14,BJ$13,0))))</f>
        <v>0</v>
      </c>
    </row>
    <row r="6" customFormat="false" ht="15" hidden="false" customHeight="true" outlineLevel="0" collapsed="false">
      <c r="A6" s="43" t="n">
        <f aca="false">Setup!A10</f>
        <v>0</v>
      </c>
      <c r="B6" s="44" t="n">
        <f aca="false">IF(Setup!B10="",0,Setup!B10)</f>
        <v>0</v>
      </c>
      <c r="C6" s="44" t="n">
        <f aca="false">MAX(0,B6+B6*Setup!$C$10/1200-(IF(B6&lt;=0,0,Setup!$D$10+IF(Setup!$F$10=C$14,C$13,0))))</f>
        <v>0</v>
      </c>
      <c r="D6" s="44" t="n">
        <f aca="false">MAX(0,C6+C6*Setup!$C$10/1200-(IF(C6&lt;=0,0,Setup!$D$10+IF(Setup!$F$10=D$14,D$13,0))))</f>
        <v>0</v>
      </c>
      <c r="E6" s="44" t="n">
        <f aca="false">MAX(0,D6+D6*Setup!$C$10/1200-(IF(D6&lt;=0,0,Setup!$D$10+IF(Setup!$F$10=E$14,E$13,0))))</f>
        <v>0</v>
      </c>
      <c r="F6" s="44" t="n">
        <f aca="false">MAX(0,E6+E6*Setup!$C$10/1200-(IF(E6&lt;=0,0,Setup!$D$10+IF(Setup!$F$10=F$14,F$13,0))))</f>
        <v>0</v>
      </c>
      <c r="G6" s="44" t="n">
        <f aca="false">MAX(0,F6+F6*Setup!$C$10/1200-(IF(F6&lt;=0,0,Setup!$D$10+IF(Setup!$F$10=G$14,G$13,0))))</f>
        <v>0</v>
      </c>
      <c r="H6" s="44" t="n">
        <f aca="false">MAX(0,G6+G6*Setup!$C$10/1200-(IF(G6&lt;=0,0,Setup!$D$10+IF(Setup!$F$10=H$14,H$13,0))))</f>
        <v>0</v>
      </c>
      <c r="I6" s="44" t="n">
        <f aca="false">MAX(0,H6+H6*Setup!$C$10/1200-(IF(H6&lt;=0,0,Setup!$D$10+IF(Setup!$F$10=I$14,I$13,0))))</f>
        <v>0</v>
      </c>
      <c r="J6" s="44" t="n">
        <f aca="false">MAX(0,I6+I6*Setup!$C$10/1200-(IF(I6&lt;=0,0,Setup!$D$10+IF(Setup!$F$10=J$14,J$13,0))))</f>
        <v>0</v>
      </c>
      <c r="K6" s="44" t="n">
        <f aca="false">MAX(0,J6+J6*Setup!$C$10/1200-(IF(J6&lt;=0,0,Setup!$D$10+IF(Setup!$F$10=K$14,K$13,0))))</f>
        <v>0</v>
      </c>
      <c r="L6" s="44" t="n">
        <f aca="false">MAX(0,K6+K6*Setup!$C$10/1200-(IF(K6&lt;=0,0,Setup!$D$10+IF(Setup!$F$10=L$14,L$13,0))))</f>
        <v>0</v>
      </c>
      <c r="M6" s="44" t="n">
        <f aca="false">MAX(0,L6+L6*Setup!$C$10/1200-(IF(L6&lt;=0,0,Setup!$D$10+IF(Setup!$F$10=M$14,M$13,0))))</f>
        <v>0</v>
      </c>
      <c r="N6" s="44" t="n">
        <f aca="false">MAX(0,M6+M6*Setup!$C$10/1200-(IF(M6&lt;=0,0,Setup!$D$10+IF(Setup!$F$10=N$14,N$13,0))))</f>
        <v>0</v>
      </c>
      <c r="O6" s="44" t="n">
        <f aca="false">MAX(0,N6+N6*Setup!$C$10/1200-(IF(N6&lt;=0,0,Setup!$D$10+IF(Setup!$F$10=O$14,O$13,0))))</f>
        <v>0</v>
      </c>
      <c r="P6" s="44" t="n">
        <f aca="false">MAX(0,O6+O6*Setup!$C$10/1200-(IF(O6&lt;=0,0,Setup!$D$10+IF(Setup!$F$10=P$14,P$13,0))))</f>
        <v>0</v>
      </c>
      <c r="Q6" s="44" t="n">
        <f aca="false">MAX(0,P6+P6*Setup!$C$10/1200-(IF(P6&lt;=0,0,Setup!$D$10+IF(Setup!$F$10=Q$14,Q$13,0))))</f>
        <v>0</v>
      </c>
      <c r="R6" s="44" t="n">
        <f aca="false">MAX(0,Q6+Q6*Setup!$C$10/1200-(IF(Q6&lt;=0,0,Setup!$D$10+IF(Setup!$F$10=R$14,R$13,0))))</f>
        <v>0</v>
      </c>
      <c r="S6" s="44" t="n">
        <f aca="false">MAX(0,R6+R6*Setup!$C$10/1200-(IF(R6&lt;=0,0,Setup!$D$10+IF(Setup!$F$10=S$14,S$13,0))))</f>
        <v>0</v>
      </c>
      <c r="T6" s="44" t="n">
        <f aca="false">MAX(0,S6+S6*Setup!$C$10/1200-(IF(S6&lt;=0,0,Setup!$D$10+IF(Setup!$F$10=T$14,T$13,0))))</f>
        <v>0</v>
      </c>
      <c r="U6" s="44" t="n">
        <f aca="false">MAX(0,T6+T6*Setup!$C$10/1200-(IF(T6&lt;=0,0,Setup!$D$10+IF(Setup!$F$10=U$14,U$13,0))))</f>
        <v>0</v>
      </c>
      <c r="V6" s="44" t="n">
        <f aca="false">MAX(0,U6+U6*Setup!$C$10/1200-(IF(U6&lt;=0,0,Setup!$D$10+IF(Setup!$F$10=V$14,V$13,0))))</f>
        <v>0</v>
      </c>
      <c r="W6" s="44" t="n">
        <f aca="false">MAX(0,V6+V6*Setup!$C$10/1200-(IF(V6&lt;=0,0,Setup!$D$10+IF(Setup!$F$10=W$14,W$13,0))))</f>
        <v>0</v>
      </c>
      <c r="X6" s="44" t="n">
        <f aca="false">MAX(0,W6+W6*Setup!$C$10/1200-(IF(W6&lt;=0,0,Setup!$D$10+IF(Setup!$F$10=X$14,X$13,0))))</f>
        <v>0</v>
      </c>
      <c r="Y6" s="44" t="n">
        <f aca="false">MAX(0,X6+X6*Setup!$C$10/1200-(IF(X6&lt;=0,0,Setup!$D$10+IF(Setup!$F$10=Y$14,Y$13,0))))</f>
        <v>0</v>
      </c>
      <c r="Z6" s="44" t="n">
        <f aca="false">MAX(0,Y6+Y6*Setup!$C$10/1200-(IF(Y6&lt;=0,0,Setup!$D$10+IF(Setup!$F$10=Z$14,Z$13,0))))</f>
        <v>0</v>
      </c>
      <c r="AA6" s="44" t="n">
        <f aca="false">MAX(0,Z6+Z6*Setup!$C$10/1200-(IF(Z6&lt;=0,0,Setup!$D$10+IF(Setup!$F$10=AA$14,AA$13,0))))</f>
        <v>0</v>
      </c>
      <c r="AB6" s="44" t="n">
        <f aca="false">MAX(0,AA6+AA6*Setup!$C$10/1200-(IF(AA6&lt;=0,0,Setup!$D$10+IF(Setup!$F$10=AB$14,AB$13,0))))</f>
        <v>0</v>
      </c>
      <c r="AC6" s="44" t="n">
        <f aca="false">MAX(0,AB6+AB6*Setup!$C$10/1200-(IF(AB6&lt;=0,0,Setup!$D$10+IF(Setup!$F$10=AC$14,AC$13,0))))</f>
        <v>0</v>
      </c>
      <c r="AD6" s="44" t="n">
        <f aca="false">MAX(0,AC6+AC6*Setup!$C$10/1200-(IF(AC6&lt;=0,0,Setup!$D$10+IF(Setup!$F$10=AD$14,AD$13,0))))</f>
        <v>0</v>
      </c>
      <c r="AE6" s="44" t="n">
        <f aca="false">MAX(0,AD6+AD6*Setup!$C$10/1200-(IF(AD6&lt;=0,0,Setup!$D$10+IF(Setup!$F$10=AE$14,AE$13,0))))</f>
        <v>0</v>
      </c>
      <c r="AF6" s="44" t="n">
        <f aca="false">MAX(0,AE6+AE6*Setup!$C$10/1200-(IF(AE6&lt;=0,0,Setup!$D$10+IF(Setup!$F$10=AF$14,AF$13,0))))</f>
        <v>0</v>
      </c>
      <c r="AG6" s="44" t="n">
        <f aca="false">MAX(0,AF6+AF6*Setup!$C$10/1200-(IF(AF6&lt;=0,0,Setup!$D$10+IF(Setup!$F$10=AG$14,AG$13,0))))</f>
        <v>0</v>
      </c>
      <c r="AH6" s="44" t="n">
        <f aca="false">MAX(0,AG6+AG6*Setup!$C$10/1200-(IF(AG6&lt;=0,0,Setup!$D$10+IF(Setup!$F$10=AH$14,AH$13,0))))</f>
        <v>0</v>
      </c>
      <c r="AI6" s="44" t="n">
        <f aca="false">MAX(0,AH6+AH6*Setup!$C$10/1200-(IF(AH6&lt;=0,0,Setup!$D$10+IF(Setup!$F$10=AI$14,AI$13,0))))</f>
        <v>0</v>
      </c>
      <c r="AJ6" s="44" t="n">
        <f aca="false">MAX(0,AI6+AI6*Setup!$C$10/1200-(IF(AI6&lt;=0,0,Setup!$D$10+IF(Setup!$F$10=AJ$14,AJ$13,0))))</f>
        <v>0</v>
      </c>
      <c r="AK6" s="44" t="n">
        <f aca="false">MAX(0,AJ6+AJ6*Setup!$C$10/1200-(IF(AJ6&lt;=0,0,Setup!$D$10+IF(Setup!$F$10=AK$14,AK$13,0))))</f>
        <v>0</v>
      </c>
      <c r="AL6" s="44" t="n">
        <f aca="false">MAX(0,AK6+AK6*Setup!$C$10/1200-(IF(AK6&lt;=0,0,Setup!$D$10+IF(Setup!$F$10=AL$14,AL$13,0))))</f>
        <v>0</v>
      </c>
      <c r="AM6" s="44" t="n">
        <f aca="false">MAX(0,AL6+AL6*Setup!$C$10/1200-(IF(AL6&lt;=0,0,Setup!$D$10+IF(Setup!$F$10=AM$14,AM$13,0))))</f>
        <v>0</v>
      </c>
      <c r="AN6" s="44" t="n">
        <f aca="false">MAX(0,AM6+AM6*Setup!$C$10/1200-(IF(AM6&lt;=0,0,Setup!$D$10+IF(Setup!$F$10=AN$14,AN$13,0))))</f>
        <v>0</v>
      </c>
      <c r="AO6" s="44" t="n">
        <f aca="false">MAX(0,AN6+AN6*Setup!$C$10/1200-(IF(AN6&lt;=0,0,Setup!$D$10+IF(Setup!$F$10=AO$14,AO$13,0))))</f>
        <v>0</v>
      </c>
      <c r="AP6" s="44" t="n">
        <f aca="false">MAX(0,AO6+AO6*Setup!$C$10/1200-(IF(AO6&lt;=0,0,Setup!$D$10+IF(Setup!$F$10=AP$14,AP$13,0))))</f>
        <v>0</v>
      </c>
      <c r="AQ6" s="44" t="n">
        <f aca="false">MAX(0,AP6+AP6*Setup!$C$10/1200-(IF(AP6&lt;=0,0,Setup!$D$10+IF(Setup!$F$10=AQ$14,AQ$13,0))))</f>
        <v>0</v>
      </c>
      <c r="AR6" s="44" t="n">
        <f aca="false">MAX(0,AQ6+AQ6*Setup!$C$10/1200-(IF(AQ6&lt;=0,0,Setup!$D$10+IF(Setup!$F$10=AR$14,AR$13,0))))</f>
        <v>0</v>
      </c>
      <c r="AS6" s="44" t="n">
        <f aca="false">MAX(0,AR6+AR6*Setup!$C$10/1200-(IF(AR6&lt;=0,0,Setup!$D$10+IF(Setup!$F$10=AS$14,AS$13,0))))</f>
        <v>0</v>
      </c>
      <c r="AT6" s="44" t="n">
        <f aca="false">MAX(0,AS6+AS6*Setup!$C$10/1200-(IF(AS6&lt;=0,0,Setup!$D$10+IF(Setup!$F$10=AT$14,AT$13,0))))</f>
        <v>0</v>
      </c>
      <c r="AU6" s="44" t="n">
        <f aca="false">MAX(0,AT6+AT6*Setup!$C$10/1200-(IF(AT6&lt;=0,0,Setup!$D$10+IF(Setup!$F$10=AU$14,AU$13,0))))</f>
        <v>0</v>
      </c>
      <c r="AV6" s="44" t="n">
        <f aca="false">MAX(0,AU6+AU6*Setup!$C$10/1200-(IF(AU6&lt;=0,0,Setup!$D$10+IF(Setup!$F$10=AV$14,AV$13,0))))</f>
        <v>0</v>
      </c>
      <c r="AW6" s="44" t="n">
        <f aca="false">MAX(0,AV6+AV6*Setup!$C$10/1200-(IF(AV6&lt;=0,0,Setup!$D$10+IF(Setup!$F$10=AW$14,AW$13,0))))</f>
        <v>0</v>
      </c>
      <c r="AX6" s="44" t="n">
        <f aca="false">MAX(0,AW6+AW6*Setup!$C$10/1200-(IF(AW6&lt;=0,0,Setup!$D$10+IF(Setup!$F$10=AX$14,AX$13,0))))</f>
        <v>0</v>
      </c>
      <c r="AY6" s="44" t="n">
        <f aca="false">MAX(0,AX6+AX6*Setup!$C$10/1200-(IF(AX6&lt;=0,0,Setup!$D$10+IF(Setup!$F$10=AY$14,AY$13,0))))</f>
        <v>0</v>
      </c>
      <c r="AZ6" s="44" t="n">
        <f aca="false">MAX(0,AY6+AY6*Setup!$C$10/1200-(IF(AY6&lt;=0,0,Setup!$D$10+IF(Setup!$F$10=AZ$14,AZ$13,0))))</f>
        <v>0</v>
      </c>
      <c r="BA6" s="44" t="n">
        <f aca="false">MAX(0,AZ6+AZ6*Setup!$C$10/1200-(IF(AZ6&lt;=0,0,Setup!$D$10+IF(Setup!$F$10=BA$14,BA$13,0))))</f>
        <v>0</v>
      </c>
      <c r="BB6" s="44" t="n">
        <f aca="false">MAX(0,BA6+BA6*Setup!$C$10/1200-(IF(BA6&lt;=0,0,Setup!$D$10+IF(Setup!$F$10=BB$14,BB$13,0))))</f>
        <v>0</v>
      </c>
      <c r="BC6" s="44" t="n">
        <f aca="false">MAX(0,BB6+BB6*Setup!$C$10/1200-(IF(BB6&lt;=0,0,Setup!$D$10+IF(Setup!$F$10=BC$14,BC$13,0))))</f>
        <v>0</v>
      </c>
      <c r="BD6" s="44" t="n">
        <f aca="false">MAX(0,BC6+BC6*Setup!$C$10/1200-(IF(BC6&lt;=0,0,Setup!$D$10+IF(Setup!$F$10=BD$14,BD$13,0))))</f>
        <v>0</v>
      </c>
      <c r="BE6" s="44" t="n">
        <f aca="false">MAX(0,BD6+BD6*Setup!$C$10/1200-(IF(BD6&lt;=0,0,Setup!$D$10+IF(Setup!$F$10=BE$14,BE$13,0))))</f>
        <v>0</v>
      </c>
      <c r="BF6" s="44" t="n">
        <f aca="false">MAX(0,BE6+BE6*Setup!$C$10/1200-(IF(BE6&lt;=0,0,Setup!$D$10+IF(Setup!$F$10=BF$14,BF$13,0))))</f>
        <v>0</v>
      </c>
      <c r="BG6" s="44" t="n">
        <f aca="false">MAX(0,BF6+BF6*Setup!$C$10/1200-(IF(BF6&lt;=0,0,Setup!$D$10+IF(Setup!$F$10=BG$14,BG$13,0))))</f>
        <v>0</v>
      </c>
      <c r="BH6" s="44" t="n">
        <f aca="false">MAX(0,BG6+BG6*Setup!$C$10/1200-(IF(BG6&lt;=0,0,Setup!$D$10+IF(Setup!$F$10=BH$14,BH$13,0))))</f>
        <v>0</v>
      </c>
      <c r="BI6" s="44" t="n">
        <f aca="false">MAX(0,BH6+BH6*Setup!$C$10/1200-(IF(BH6&lt;=0,0,Setup!$D$10+IF(Setup!$F$10=BI$14,BI$13,0))))</f>
        <v>0</v>
      </c>
      <c r="BJ6" s="44" t="n">
        <f aca="false">MAX(0,BI6+BI6*Setup!$C$10/1200-(IF(BI6&lt;=0,0,Setup!$D$10+IF(Setup!$F$10=BJ$14,BJ$13,0))))</f>
        <v>0</v>
      </c>
    </row>
    <row r="7" customFormat="false" ht="15" hidden="false" customHeight="true" outlineLevel="0" collapsed="false">
      <c r="A7" s="43" t="n">
        <f aca="false">Setup!A11</f>
        <v>0</v>
      </c>
      <c r="B7" s="44" t="n">
        <f aca="false">IF(Setup!B11="",0,Setup!B11)</f>
        <v>0</v>
      </c>
      <c r="C7" s="44" t="n">
        <f aca="false">MAX(0,B7+B7*Setup!$C$11/1200-(IF(B7&lt;=0,0,Setup!$D$11+IF(Setup!$F$11=C$14,C$13,0))))</f>
        <v>0</v>
      </c>
      <c r="D7" s="44" t="n">
        <f aca="false">MAX(0,C7+C7*Setup!$C$11/1200-(IF(C7&lt;=0,0,Setup!$D$11+IF(Setup!$F$11=D$14,D$13,0))))</f>
        <v>0</v>
      </c>
      <c r="E7" s="44" t="n">
        <f aca="false">MAX(0,D7+D7*Setup!$C$11/1200-(IF(D7&lt;=0,0,Setup!$D$11+IF(Setup!$F$11=E$14,E$13,0))))</f>
        <v>0</v>
      </c>
      <c r="F7" s="44" t="n">
        <f aca="false">MAX(0,E7+E7*Setup!$C$11/1200-(IF(E7&lt;=0,0,Setup!$D$11+IF(Setup!$F$11=F$14,F$13,0))))</f>
        <v>0</v>
      </c>
      <c r="G7" s="44" t="n">
        <f aca="false">MAX(0,F7+F7*Setup!$C$11/1200-(IF(F7&lt;=0,0,Setup!$D$11+IF(Setup!$F$11=G$14,G$13,0))))</f>
        <v>0</v>
      </c>
      <c r="H7" s="44" t="n">
        <f aca="false">MAX(0,G7+G7*Setup!$C$11/1200-(IF(G7&lt;=0,0,Setup!$D$11+IF(Setup!$F$11=H$14,H$13,0))))</f>
        <v>0</v>
      </c>
      <c r="I7" s="44" t="n">
        <f aca="false">MAX(0,H7+H7*Setup!$C$11/1200-(IF(H7&lt;=0,0,Setup!$D$11+IF(Setup!$F$11=I$14,I$13,0))))</f>
        <v>0</v>
      </c>
      <c r="J7" s="44" t="n">
        <f aca="false">MAX(0,I7+I7*Setup!$C$11/1200-(IF(I7&lt;=0,0,Setup!$D$11+IF(Setup!$F$11=J$14,J$13,0))))</f>
        <v>0</v>
      </c>
      <c r="K7" s="44" t="n">
        <f aca="false">MAX(0,J7+J7*Setup!$C$11/1200-(IF(J7&lt;=0,0,Setup!$D$11+IF(Setup!$F$11=K$14,K$13,0))))</f>
        <v>0</v>
      </c>
      <c r="L7" s="44" t="n">
        <f aca="false">MAX(0,K7+K7*Setup!$C$11/1200-(IF(K7&lt;=0,0,Setup!$D$11+IF(Setup!$F$11=L$14,L$13,0))))</f>
        <v>0</v>
      </c>
      <c r="M7" s="44" t="n">
        <f aca="false">MAX(0,L7+L7*Setup!$C$11/1200-(IF(L7&lt;=0,0,Setup!$D$11+IF(Setup!$F$11=M$14,M$13,0))))</f>
        <v>0</v>
      </c>
      <c r="N7" s="44" t="n">
        <f aca="false">MAX(0,M7+M7*Setup!$C$11/1200-(IF(M7&lt;=0,0,Setup!$D$11+IF(Setup!$F$11=N$14,N$13,0))))</f>
        <v>0</v>
      </c>
      <c r="O7" s="44" t="n">
        <f aca="false">MAX(0,N7+N7*Setup!$C$11/1200-(IF(N7&lt;=0,0,Setup!$D$11+IF(Setup!$F$11=O$14,O$13,0))))</f>
        <v>0</v>
      </c>
      <c r="P7" s="44" t="n">
        <f aca="false">MAX(0,O7+O7*Setup!$C$11/1200-(IF(O7&lt;=0,0,Setup!$D$11+IF(Setup!$F$11=P$14,P$13,0))))</f>
        <v>0</v>
      </c>
      <c r="Q7" s="44" t="n">
        <f aca="false">MAX(0,P7+P7*Setup!$C$11/1200-(IF(P7&lt;=0,0,Setup!$D$11+IF(Setup!$F$11=Q$14,Q$13,0))))</f>
        <v>0</v>
      </c>
      <c r="R7" s="44" t="n">
        <f aca="false">MAX(0,Q7+Q7*Setup!$C$11/1200-(IF(Q7&lt;=0,0,Setup!$D$11+IF(Setup!$F$11=R$14,R$13,0))))</f>
        <v>0</v>
      </c>
      <c r="S7" s="44" t="n">
        <f aca="false">MAX(0,R7+R7*Setup!$C$11/1200-(IF(R7&lt;=0,0,Setup!$D$11+IF(Setup!$F$11=S$14,S$13,0))))</f>
        <v>0</v>
      </c>
      <c r="T7" s="44" t="n">
        <f aca="false">MAX(0,S7+S7*Setup!$C$11/1200-(IF(S7&lt;=0,0,Setup!$D$11+IF(Setup!$F$11=T$14,T$13,0))))</f>
        <v>0</v>
      </c>
      <c r="U7" s="44" t="n">
        <f aca="false">MAX(0,T7+T7*Setup!$C$11/1200-(IF(T7&lt;=0,0,Setup!$D$11+IF(Setup!$F$11=U$14,U$13,0))))</f>
        <v>0</v>
      </c>
      <c r="V7" s="44" t="n">
        <f aca="false">MAX(0,U7+U7*Setup!$C$11/1200-(IF(U7&lt;=0,0,Setup!$D$11+IF(Setup!$F$11=V$14,V$13,0))))</f>
        <v>0</v>
      </c>
      <c r="W7" s="44" t="n">
        <f aca="false">MAX(0,V7+V7*Setup!$C$11/1200-(IF(V7&lt;=0,0,Setup!$D$11+IF(Setup!$F$11=W$14,W$13,0))))</f>
        <v>0</v>
      </c>
      <c r="X7" s="44" t="n">
        <f aca="false">MAX(0,W7+W7*Setup!$C$11/1200-(IF(W7&lt;=0,0,Setup!$D$11+IF(Setup!$F$11=X$14,X$13,0))))</f>
        <v>0</v>
      </c>
      <c r="Y7" s="44" t="n">
        <f aca="false">MAX(0,X7+X7*Setup!$C$11/1200-(IF(X7&lt;=0,0,Setup!$D$11+IF(Setup!$F$11=Y$14,Y$13,0))))</f>
        <v>0</v>
      </c>
      <c r="Z7" s="44" t="n">
        <f aca="false">MAX(0,Y7+Y7*Setup!$C$11/1200-(IF(Y7&lt;=0,0,Setup!$D$11+IF(Setup!$F$11=Z$14,Z$13,0))))</f>
        <v>0</v>
      </c>
      <c r="AA7" s="44" t="n">
        <f aca="false">MAX(0,Z7+Z7*Setup!$C$11/1200-(IF(Z7&lt;=0,0,Setup!$D$11+IF(Setup!$F$11=AA$14,AA$13,0))))</f>
        <v>0</v>
      </c>
      <c r="AB7" s="44" t="n">
        <f aca="false">MAX(0,AA7+AA7*Setup!$C$11/1200-(IF(AA7&lt;=0,0,Setup!$D$11+IF(Setup!$F$11=AB$14,AB$13,0))))</f>
        <v>0</v>
      </c>
      <c r="AC7" s="44" t="n">
        <f aca="false">MAX(0,AB7+AB7*Setup!$C$11/1200-(IF(AB7&lt;=0,0,Setup!$D$11+IF(Setup!$F$11=AC$14,AC$13,0))))</f>
        <v>0</v>
      </c>
      <c r="AD7" s="44" t="n">
        <f aca="false">MAX(0,AC7+AC7*Setup!$C$11/1200-(IF(AC7&lt;=0,0,Setup!$D$11+IF(Setup!$F$11=AD$14,AD$13,0))))</f>
        <v>0</v>
      </c>
      <c r="AE7" s="44" t="n">
        <f aca="false">MAX(0,AD7+AD7*Setup!$C$11/1200-(IF(AD7&lt;=0,0,Setup!$D$11+IF(Setup!$F$11=AE$14,AE$13,0))))</f>
        <v>0</v>
      </c>
      <c r="AF7" s="44" t="n">
        <f aca="false">MAX(0,AE7+AE7*Setup!$C$11/1200-(IF(AE7&lt;=0,0,Setup!$D$11+IF(Setup!$F$11=AF$14,AF$13,0))))</f>
        <v>0</v>
      </c>
      <c r="AG7" s="44" t="n">
        <f aca="false">MAX(0,AF7+AF7*Setup!$C$11/1200-(IF(AF7&lt;=0,0,Setup!$D$11+IF(Setup!$F$11=AG$14,AG$13,0))))</f>
        <v>0</v>
      </c>
      <c r="AH7" s="44" t="n">
        <f aca="false">MAX(0,AG7+AG7*Setup!$C$11/1200-(IF(AG7&lt;=0,0,Setup!$D$11+IF(Setup!$F$11=AH$14,AH$13,0))))</f>
        <v>0</v>
      </c>
      <c r="AI7" s="44" t="n">
        <f aca="false">MAX(0,AH7+AH7*Setup!$C$11/1200-(IF(AH7&lt;=0,0,Setup!$D$11+IF(Setup!$F$11=AI$14,AI$13,0))))</f>
        <v>0</v>
      </c>
      <c r="AJ7" s="44" t="n">
        <f aca="false">MAX(0,AI7+AI7*Setup!$C$11/1200-(IF(AI7&lt;=0,0,Setup!$D$11+IF(Setup!$F$11=AJ$14,AJ$13,0))))</f>
        <v>0</v>
      </c>
      <c r="AK7" s="44" t="n">
        <f aca="false">MAX(0,AJ7+AJ7*Setup!$C$11/1200-(IF(AJ7&lt;=0,0,Setup!$D$11+IF(Setup!$F$11=AK$14,AK$13,0))))</f>
        <v>0</v>
      </c>
      <c r="AL7" s="44" t="n">
        <f aca="false">MAX(0,AK7+AK7*Setup!$C$11/1200-(IF(AK7&lt;=0,0,Setup!$D$11+IF(Setup!$F$11=AL$14,AL$13,0))))</f>
        <v>0</v>
      </c>
      <c r="AM7" s="44" t="n">
        <f aca="false">MAX(0,AL7+AL7*Setup!$C$11/1200-(IF(AL7&lt;=0,0,Setup!$D$11+IF(Setup!$F$11=AM$14,AM$13,0))))</f>
        <v>0</v>
      </c>
      <c r="AN7" s="44" t="n">
        <f aca="false">MAX(0,AM7+AM7*Setup!$C$11/1200-(IF(AM7&lt;=0,0,Setup!$D$11+IF(Setup!$F$11=AN$14,AN$13,0))))</f>
        <v>0</v>
      </c>
      <c r="AO7" s="44" t="n">
        <f aca="false">MAX(0,AN7+AN7*Setup!$C$11/1200-(IF(AN7&lt;=0,0,Setup!$D$11+IF(Setup!$F$11=AO$14,AO$13,0))))</f>
        <v>0</v>
      </c>
      <c r="AP7" s="44" t="n">
        <f aca="false">MAX(0,AO7+AO7*Setup!$C$11/1200-(IF(AO7&lt;=0,0,Setup!$D$11+IF(Setup!$F$11=AP$14,AP$13,0))))</f>
        <v>0</v>
      </c>
      <c r="AQ7" s="44" t="n">
        <f aca="false">MAX(0,AP7+AP7*Setup!$C$11/1200-(IF(AP7&lt;=0,0,Setup!$D$11+IF(Setup!$F$11=AQ$14,AQ$13,0))))</f>
        <v>0</v>
      </c>
      <c r="AR7" s="44" t="n">
        <f aca="false">MAX(0,AQ7+AQ7*Setup!$C$11/1200-(IF(AQ7&lt;=0,0,Setup!$D$11+IF(Setup!$F$11=AR$14,AR$13,0))))</f>
        <v>0</v>
      </c>
      <c r="AS7" s="44" t="n">
        <f aca="false">MAX(0,AR7+AR7*Setup!$C$11/1200-(IF(AR7&lt;=0,0,Setup!$D$11+IF(Setup!$F$11=AS$14,AS$13,0))))</f>
        <v>0</v>
      </c>
      <c r="AT7" s="44" t="n">
        <f aca="false">MAX(0,AS7+AS7*Setup!$C$11/1200-(IF(AS7&lt;=0,0,Setup!$D$11+IF(Setup!$F$11=AT$14,AT$13,0))))</f>
        <v>0</v>
      </c>
      <c r="AU7" s="44" t="n">
        <f aca="false">MAX(0,AT7+AT7*Setup!$C$11/1200-(IF(AT7&lt;=0,0,Setup!$D$11+IF(Setup!$F$11=AU$14,AU$13,0))))</f>
        <v>0</v>
      </c>
      <c r="AV7" s="44" t="n">
        <f aca="false">MAX(0,AU7+AU7*Setup!$C$11/1200-(IF(AU7&lt;=0,0,Setup!$D$11+IF(Setup!$F$11=AV$14,AV$13,0))))</f>
        <v>0</v>
      </c>
      <c r="AW7" s="44" t="n">
        <f aca="false">MAX(0,AV7+AV7*Setup!$C$11/1200-(IF(AV7&lt;=0,0,Setup!$D$11+IF(Setup!$F$11=AW$14,AW$13,0))))</f>
        <v>0</v>
      </c>
      <c r="AX7" s="44" t="n">
        <f aca="false">MAX(0,AW7+AW7*Setup!$C$11/1200-(IF(AW7&lt;=0,0,Setup!$D$11+IF(Setup!$F$11=AX$14,AX$13,0))))</f>
        <v>0</v>
      </c>
      <c r="AY7" s="44" t="n">
        <f aca="false">MAX(0,AX7+AX7*Setup!$C$11/1200-(IF(AX7&lt;=0,0,Setup!$D$11+IF(Setup!$F$11=AY$14,AY$13,0))))</f>
        <v>0</v>
      </c>
      <c r="AZ7" s="44" t="n">
        <f aca="false">MAX(0,AY7+AY7*Setup!$C$11/1200-(IF(AY7&lt;=0,0,Setup!$D$11+IF(Setup!$F$11=AZ$14,AZ$13,0))))</f>
        <v>0</v>
      </c>
      <c r="BA7" s="44" t="n">
        <f aca="false">MAX(0,AZ7+AZ7*Setup!$C$11/1200-(IF(AZ7&lt;=0,0,Setup!$D$11+IF(Setup!$F$11=BA$14,BA$13,0))))</f>
        <v>0</v>
      </c>
      <c r="BB7" s="44" t="n">
        <f aca="false">MAX(0,BA7+BA7*Setup!$C$11/1200-(IF(BA7&lt;=0,0,Setup!$D$11+IF(Setup!$F$11=BB$14,BB$13,0))))</f>
        <v>0</v>
      </c>
      <c r="BC7" s="44" t="n">
        <f aca="false">MAX(0,BB7+BB7*Setup!$C$11/1200-(IF(BB7&lt;=0,0,Setup!$D$11+IF(Setup!$F$11=BC$14,BC$13,0))))</f>
        <v>0</v>
      </c>
      <c r="BD7" s="44" t="n">
        <f aca="false">MAX(0,BC7+BC7*Setup!$C$11/1200-(IF(BC7&lt;=0,0,Setup!$D$11+IF(Setup!$F$11=BD$14,BD$13,0))))</f>
        <v>0</v>
      </c>
      <c r="BE7" s="44" t="n">
        <f aca="false">MAX(0,BD7+BD7*Setup!$C$11/1200-(IF(BD7&lt;=0,0,Setup!$D$11+IF(Setup!$F$11=BE$14,BE$13,0))))</f>
        <v>0</v>
      </c>
      <c r="BF7" s="44" t="n">
        <f aca="false">MAX(0,BE7+BE7*Setup!$C$11/1200-(IF(BE7&lt;=0,0,Setup!$D$11+IF(Setup!$F$11=BF$14,BF$13,0))))</f>
        <v>0</v>
      </c>
      <c r="BG7" s="44" t="n">
        <f aca="false">MAX(0,BF7+BF7*Setup!$C$11/1200-(IF(BF7&lt;=0,0,Setup!$D$11+IF(Setup!$F$11=BG$14,BG$13,0))))</f>
        <v>0</v>
      </c>
      <c r="BH7" s="44" t="n">
        <f aca="false">MAX(0,BG7+BG7*Setup!$C$11/1200-(IF(BG7&lt;=0,0,Setup!$D$11+IF(Setup!$F$11=BH$14,BH$13,0))))</f>
        <v>0</v>
      </c>
      <c r="BI7" s="44" t="n">
        <f aca="false">MAX(0,BH7+BH7*Setup!$C$11/1200-(IF(BH7&lt;=0,0,Setup!$D$11+IF(Setup!$F$11=BI$14,BI$13,0))))</f>
        <v>0</v>
      </c>
      <c r="BJ7" s="44" t="n">
        <f aca="false">MAX(0,BI7+BI7*Setup!$C$11/1200-(IF(BI7&lt;=0,0,Setup!$D$11+IF(Setup!$F$11=BJ$14,BJ$13,0))))</f>
        <v>0</v>
      </c>
    </row>
    <row r="8" customFormat="false" ht="15" hidden="false" customHeight="true" outlineLevel="0" collapsed="false">
      <c r="A8" s="43" t="n">
        <f aca="false">Setup!A12</f>
        <v>0</v>
      </c>
      <c r="B8" s="44" t="n">
        <f aca="false">IF(Setup!B12="",0,Setup!B12)</f>
        <v>0</v>
      </c>
      <c r="C8" s="44" t="n">
        <f aca="false">MAX(0,B8+B8*Setup!$C$12/1200-(IF(B8&lt;=0,0,Setup!$D$12+IF(Setup!$F$12=C$14,C$13,0))))</f>
        <v>0</v>
      </c>
      <c r="D8" s="44" t="n">
        <f aca="false">MAX(0,C8+C8*Setup!$C$12/1200-(IF(C8&lt;=0,0,Setup!$D$12+IF(Setup!$F$12=D$14,D$13,0))))</f>
        <v>0</v>
      </c>
      <c r="E8" s="44" t="n">
        <f aca="false">MAX(0,D8+D8*Setup!$C$12/1200-(IF(D8&lt;=0,0,Setup!$D$12+IF(Setup!$F$12=E$14,E$13,0))))</f>
        <v>0</v>
      </c>
      <c r="F8" s="44" t="n">
        <f aca="false">MAX(0,E8+E8*Setup!$C$12/1200-(IF(E8&lt;=0,0,Setup!$D$12+IF(Setup!$F$12=F$14,F$13,0))))</f>
        <v>0</v>
      </c>
      <c r="G8" s="44" t="n">
        <f aca="false">MAX(0,F8+F8*Setup!$C$12/1200-(IF(F8&lt;=0,0,Setup!$D$12+IF(Setup!$F$12=G$14,G$13,0))))</f>
        <v>0</v>
      </c>
      <c r="H8" s="44" t="n">
        <f aca="false">MAX(0,G8+G8*Setup!$C$12/1200-(IF(G8&lt;=0,0,Setup!$D$12+IF(Setup!$F$12=H$14,H$13,0))))</f>
        <v>0</v>
      </c>
      <c r="I8" s="44" t="n">
        <f aca="false">MAX(0,H8+H8*Setup!$C$12/1200-(IF(H8&lt;=0,0,Setup!$D$12+IF(Setup!$F$12=I$14,I$13,0))))</f>
        <v>0</v>
      </c>
      <c r="J8" s="44" t="n">
        <f aca="false">MAX(0,I8+I8*Setup!$C$12/1200-(IF(I8&lt;=0,0,Setup!$D$12+IF(Setup!$F$12=J$14,J$13,0))))</f>
        <v>0</v>
      </c>
      <c r="K8" s="44" t="n">
        <f aca="false">MAX(0,J8+J8*Setup!$C$12/1200-(IF(J8&lt;=0,0,Setup!$D$12+IF(Setup!$F$12=K$14,K$13,0))))</f>
        <v>0</v>
      </c>
      <c r="L8" s="44" t="n">
        <f aca="false">MAX(0,K8+K8*Setup!$C$12/1200-(IF(K8&lt;=0,0,Setup!$D$12+IF(Setup!$F$12=L$14,L$13,0))))</f>
        <v>0</v>
      </c>
      <c r="M8" s="44" t="n">
        <f aca="false">MAX(0,L8+L8*Setup!$C$12/1200-(IF(L8&lt;=0,0,Setup!$D$12+IF(Setup!$F$12=M$14,M$13,0))))</f>
        <v>0</v>
      </c>
      <c r="N8" s="44" t="n">
        <f aca="false">MAX(0,M8+M8*Setup!$C$12/1200-(IF(M8&lt;=0,0,Setup!$D$12+IF(Setup!$F$12=N$14,N$13,0))))</f>
        <v>0</v>
      </c>
      <c r="O8" s="44" t="n">
        <f aca="false">MAX(0,N8+N8*Setup!$C$12/1200-(IF(N8&lt;=0,0,Setup!$D$12+IF(Setup!$F$12=O$14,O$13,0))))</f>
        <v>0</v>
      </c>
      <c r="P8" s="44" t="n">
        <f aca="false">MAX(0,O8+O8*Setup!$C$12/1200-(IF(O8&lt;=0,0,Setup!$D$12+IF(Setup!$F$12=P$14,P$13,0))))</f>
        <v>0</v>
      </c>
      <c r="Q8" s="44" t="n">
        <f aca="false">MAX(0,P8+P8*Setup!$C$12/1200-(IF(P8&lt;=0,0,Setup!$D$12+IF(Setup!$F$12=Q$14,Q$13,0))))</f>
        <v>0</v>
      </c>
      <c r="R8" s="44" t="n">
        <f aca="false">MAX(0,Q8+Q8*Setup!$C$12/1200-(IF(Q8&lt;=0,0,Setup!$D$12+IF(Setup!$F$12=R$14,R$13,0))))</f>
        <v>0</v>
      </c>
      <c r="S8" s="44" t="n">
        <f aca="false">MAX(0,R8+R8*Setup!$C$12/1200-(IF(R8&lt;=0,0,Setup!$D$12+IF(Setup!$F$12=S$14,S$13,0))))</f>
        <v>0</v>
      </c>
      <c r="T8" s="44" t="n">
        <f aca="false">MAX(0,S8+S8*Setup!$C$12/1200-(IF(S8&lt;=0,0,Setup!$D$12+IF(Setup!$F$12=T$14,T$13,0))))</f>
        <v>0</v>
      </c>
      <c r="U8" s="44" t="n">
        <f aca="false">MAX(0,T8+T8*Setup!$C$12/1200-(IF(T8&lt;=0,0,Setup!$D$12+IF(Setup!$F$12=U$14,U$13,0))))</f>
        <v>0</v>
      </c>
      <c r="V8" s="44" t="n">
        <f aca="false">MAX(0,U8+U8*Setup!$C$12/1200-(IF(U8&lt;=0,0,Setup!$D$12+IF(Setup!$F$12=V$14,V$13,0))))</f>
        <v>0</v>
      </c>
      <c r="W8" s="44" t="n">
        <f aca="false">MAX(0,V8+V8*Setup!$C$12/1200-(IF(V8&lt;=0,0,Setup!$D$12+IF(Setup!$F$12=W$14,W$13,0))))</f>
        <v>0</v>
      </c>
      <c r="X8" s="44" t="n">
        <f aca="false">MAX(0,W8+W8*Setup!$C$12/1200-(IF(W8&lt;=0,0,Setup!$D$12+IF(Setup!$F$12=X$14,X$13,0))))</f>
        <v>0</v>
      </c>
      <c r="Y8" s="44" t="n">
        <f aca="false">MAX(0,X8+X8*Setup!$C$12/1200-(IF(X8&lt;=0,0,Setup!$D$12+IF(Setup!$F$12=Y$14,Y$13,0))))</f>
        <v>0</v>
      </c>
      <c r="Z8" s="44" t="n">
        <f aca="false">MAX(0,Y8+Y8*Setup!$C$12/1200-(IF(Y8&lt;=0,0,Setup!$D$12+IF(Setup!$F$12=Z$14,Z$13,0))))</f>
        <v>0</v>
      </c>
      <c r="AA8" s="44" t="n">
        <f aca="false">MAX(0,Z8+Z8*Setup!$C$12/1200-(IF(Z8&lt;=0,0,Setup!$D$12+IF(Setup!$F$12=AA$14,AA$13,0))))</f>
        <v>0</v>
      </c>
      <c r="AB8" s="44" t="n">
        <f aca="false">MAX(0,AA8+AA8*Setup!$C$12/1200-(IF(AA8&lt;=0,0,Setup!$D$12+IF(Setup!$F$12=AB$14,AB$13,0))))</f>
        <v>0</v>
      </c>
      <c r="AC8" s="44" t="n">
        <f aca="false">MAX(0,AB8+AB8*Setup!$C$12/1200-(IF(AB8&lt;=0,0,Setup!$D$12+IF(Setup!$F$12=AC$14,AC$13,0))))</f>
        <v>0</v>
      </c>
      <c r="AD8" s="44" t="n">
        <f aca="false">MAX(0,AC8+AC8*Setup!$C$12/1200-(IF(AC8&lt;=0,0,Setup!$D$12+IF(Setup!$F$12=AD$14,AD$13,0))))</f>
        <v>0</v>
      </c>
      <c r="AE8" s="44" t="n">
        <f aca="false">MAX(0,AD8+AD8*Setup!$C$12/1200-(IF(AD8&lt;=0,0,Setup!$D$12+IF(Setup!$F$12=AE$14,AE$13,0))))</f>
        <v>0</v>
      </c>
      <c r="AF8" s="44" t="n">
        <f aca="false">MAX(0,AE8+AE8*Setup!$C$12/1200-(IF(AE8&lt;=0,0,Setup!$D$12+IF(Setup!$F$12=AF$14,AF$13,0))))</f>
        <v>0</v>
      </c>
      <c r="AG8" s="44" t="n">
        <f aca="false">MAX(0,AF8+AF8*Setup!$C$12/1200-(IF(AF8&lt;=0,0,Setup!$D$12+IF(Setup!$F$12=AG$14,AG$13,0))))</f>
        <v>0</v>
      </c>
      <c r="AH8" s="44" t="n">
        <f aca="false">MAX(0,AG8+AG8*Setup!$C$12/1200-(IF(AG8&lt;=0,0,Setup!$D$12+IF(Setup!$F$12=AH$14,AH$13,0))))</f>
        <v>0</v>
      </c>
      <c r="AI8" s="44" t="n">
        <f aca="false">MAX(0,AH8+AH8*Setup!$C$12/1200-(IF(AH8&lt;=0,0,Setup!$D$12+IF(Setup!$F$12=AI$14,AI$13,0))))</f>
        <v>0</v>
      </c>
      <c r="AJ8" s="44" t="n">
        <f aca="false">MAX(0,AI8+AI8*Setup!$C$12/1200-(IF(AI8&lt;=0,0,Setup!$D$12+IF(Setup!$F$12=AJ$14,AJ$13,0))))</f>
        <v>0</v>
      </c>
      <c r="AK8" s="44" t="n">
        <f aca="false">MAX(0,AJ8+AJ8*Setup!$C$12/1200-(IF(AJ8&lt;=0,0,Setup!$D$12+IF(Setup!$F$12=AK$14,AK$13,0))))</f>
        <v>0</v>
      </c>
      <c r="AL8" s="44" t="n">
        <f aca="false">MAX(0,AK8+AK8*Setup!$C$12/1200-(IF(AK8&lt;=0,0,Setup!$D$12+IF(Setup!$F$12=AL$14,AL$13,0))))</f>
        <v>0</v>
      </c>
      <c r="AM8" s="44" t="n">
        <f aca="false">MAX(0,AL8+AL8*Setup!$C$12/1200-(IF(AL8&lt;=0,0,Setup!$D$12+IF(Setup!$F$12=AM$14,AM$13,0))))</f>
        <v>0</v>
      </c>
      <c r="AN8" s="44" t="n">
        <f aca="false">MAX(0,AM8+AM8*Setup!$C$12/1200-(IF(AM8&lt;=0,0,Setup!$D$12+IF(Setup!$F$12=AN$14,AN$13,0))))</f>
        <v>0</v>
      </c>
      <c r="AO8" s="44" t="n">
        <f aca="false">MAX(0,AN8+AN8*Setup!$C$12/1200-(IF(AN8&lt;=0,0,Setup!$D$12+IF(Setup!$F$12=AO$14,AO$13,0))))</f>
        <v>0</v>
      </c>
      <c r="AP8" s="44" t="n">
        <f aca="false">MAX(0,AO8+AO8*Setup!$C$12/1200-(IF(AO8&lt;=0,0,Setup!$D$12+IF(Setup!$F$12=AP$14,AP$13,0))))</f>
        <v>0</v>
      </c>
      <c r="AQ8" s="44" t="n">
        <f aca="false">MAX(0,AP8+AP8*Setup!$C$12/1200-(IF(AP8&lt;=0,0,Setup!$D$12+IF(Setup!$F$12=AQ$14,AQ$13,0))))</f>
        <v>0</v>
      </c>
      <c r="AR8" s="44" t="n">
        <f aca="false">MAX(0,AQ8+AQ8*Setup!$C$12/1200-(IF(AQ8&lt;=0,0,Setup!$D$12+IF(Setup!$F$12=AR$14,AR$13,0))))</f>
        <v>0</v>
      </c>
      <c r="AS8" s="44" t="n">
        <f aca="false">MAX(0,AR8+AR8*Setup!$C$12/1200-(IF(AR8&lt;=0,0,Setup!$D$12+IF(Setup!$F$12=AS$14,AS$13,0))))</f>
        <v>0</v>
      </c>
      <c r="AT8" s="44" t="n">
        <f aca="false">MAX(0,AS8+AS8*Setup!$C$12/1200-(IF(AS8&lt;=0,0,Setup!$D$12+IF(Setup!$F$12=AT$14,AT$13,0))))</f>
        <v>0</v>
      </c>
      <c r="AU8" s="44" t="n">
        <f aca="false">MAX(0,AT8+AT8*Setup!$C$12/1200-(IF(AT8&lt;=0,0,Setup!$D$12+IF(Setup!$F$12=AU$14,AU$13,0))))</f>
        <v>0</v>
      </c>
      <c r="AV8" s="44" t="n">
        <f aca="false">MAX(0,AU8+AU8*Setup!$C$12/1200-(IF(AU8&lt;=0,0,Setup!$D$12+IF(Setup!$F$12=AV$14,AV$13,0))))</f>
        <v>0</v>
      </c>
      <c r="AW8" s="44" t="n">
        <f aca="false">MAX(0,AV8+AV8*Setup!$C$12/1200-(IF(AV8&lt;=0,0,Setup!$D$12+IF(Setup!$F$12=AW$14,AW$13,0))))</f>
        <v>0</v>
      </c>
      <c r="AX8" s="44" t="n">
        <f aca="false">MAX(0,AW8+AW8*Setup!$C$12/1200-(IF(AW8&lt;=0,0,Setup!$D$12+IF(Setup!$F$12=AX$14,AX$13,0))))</f>
        <v>0</v>
      </c>
      <c r="AY8" s="44" t="n">
        <f aca="false">MAX(0,AX8+AX8*Setup!$C$12/1200-(IF(AX8&lt;=0,0,Setup!$D$12+IF(Setup!$F$12=AY$14,AY$13,0))))</f>
        <v>0</v>
      </c>
      <c r="AZ8" s="44" t="n">
        <f aca="false">MAX(0,AY8+AY8*Setup!$C$12/1200-(IF(AY8&lt;=0,0,Setup!$D$12+IF(Setup!$F$12=AZ$14,AZ$13,0))))</f>
        <v>0</v>
      </c>
      <c r="BA8" s="44" t="n">
        <f aca="false">MAX(0,AZ8+AZ8*Setup!$C$12/1200-(IF(AZ8&lt;=0,0,Setup!$D$12+IF(Setup!$F$12=BA$14,BA$13,0))))</f>
        <v>0</v>
      </c>
      <c r="BB8" s="44" t="n">
        <f aca="false">MAX(0,BA8+BA8*Setup!$C$12/1200-(IF(BA8&lt;=0,0,Setup!$D$12+IF(Setup!$F$12=BB$14,BB$13,0))))</f>
        <v>0</v>
      </c>
      <c r="BC8" s="44" t="n">
        <f aca="false">MAX(0,BB8+BB8*Setup!$C$12/1200-(IF(BB8&lt;=0,0,Setup!$D$12+IF(Setup!$F$12=BC$14,BC$13,0))))</f>
        <v>0</v>
      </c>
      <c r="BD8" s="44" t="n">
        <f aca="false">MAX(0,BC8+BC8*Setup!$C$12/1200-(IF(BC8&lt;=0,0,Setup!$D$12+IF(Setup!$F$12=BD$14,BD$13,0))))</f>
        <v>0</v>
      </c>
      <c r="BE8" s="44" t="n">
        <f aca="false">MAX(0,BD8+BD8*Setup!$C$12/1200-(IF(BD8&lt;=0,0,Setup!$D$12+IF(Setup!$F$12=BE$14,BE$13,0))))</f>
        <v>0</v>
      </c>
      <c r="BF8" s="44" t="n">
        <f aca="false">MAX(0,BE8+BE8*Setup!$C$12/1200-(IF(BE8&lt;=0,0,Setup!$D$12+IF(Setup!$F$12=BF$14,BF$13,0))))</f>
        <v>0</v>
      </c>
      <c r="BG8" s="44" t="n">
        <f aca="false">MAX(0,BF8+BF8*Setup!$C$12/1200-(IF(BF8&lt;=0,0,Setup!$D$12+IF(Setup!$F$12=BG$14,BG$13,0))))</f>
        <v>0</v>
      </c>
      <c r="BH8" s="44" t="n">
        <f aca="false">MAX(0,BG8+BG8*Setup!$C$12/1200-(IF(BG8&lt;=0,0,Setup!$D$12+IF(Setup!$F$12=BH$14,BH$13,0))))</f>
        <v>0</v>
      </c>
      <c r="BI8" s="44" t="n">
        <f aca="false">MAX(0,BH8+BH8*Setup!$C$12/1200-(IF(BH8&lt;=0,0,Setup!$D$12+IF(Setup!$F$12=BI$14,BI$13,0))))</f>
        <v>0</v>
      </c>
      <c r="BJ8" s="44" t="n">
        <f aca="false">MAX(0,BI8+BI8*Setup!$C$12/1200-(IF(BI8&lt;=0,0,Setup!$D$12+IF(Setup!$F$12=BJ$14,BJ$13,0))))</f>
        <v>0</v>
      </c>
    </row>
    <row r="9" customFormat="false" ht="15" hidden="false" customHeight="true" outlineLevel="0" collapsed="false">
      <c r="A9" s="43" t="n">
        <f aca="false">Setup!A13</f>
        <v>0</v>
      </c>
      <c r="B9" s="44" t="n">
        <f aca="false">IF(Setup!B13="",0,Setup!B13)</f>
        <v>0</v>
      </c>
      <c r="C9" s="44" t="n">
        <f aca="false">MAX(0,B9+B9*Setup!$C$13/1200-(IF(B9&lt;=0,0,Setup!$D$13+IF(Setup!$F$13=C$14,C$13,0))))</f>
        <v>0</v>
      </c>
      <c r="D9" s="44" t="n">
        <f aca="false">MAX(0,C9+C9*Setup!$C$13/1200-(IF(C9&lt;=0,0,Setup!$D$13+IF(Setup!$F$13=D$14,D$13,0))))</f>
        <v>0</v>
      </c>
      <c r="E9" s="44" t="n">
        <f aca="false">MAX(0,D9+D9*Setup!$C$13/1200-(IF(D9&lt;=0,0,Setup!$D$13+IF(Setup!$F$13=E$14,E$13,0))))</f>
        <v>0</v>
      </c>
      <c r="F9" s="44" t="n">
        <f aca="false">MAX(0,E9+E9*Setup!$C$13/1200-(IF(E9&lt;=0,0,Setup!$D$13+IF(Setup!$F$13=F$14,F$13,0))))</f>
        <v>0</v>
      </c>
      <c r="G9" s="44" t="n">
        <f aca="false">MAX(0,F9+F9*Setup!$C$13/1200-(IF(F9&lt;=0,0,Setup!$D$13+IF(Setup!$F$13=G$14,G$13,0))))</f>
        <v>0</v>
      </c>
      <c r="H9" s="44" t="n">
        <f aca="false">MAX(0,G9+G9*Setup!$C$13/1200-(IF(G9&lt;=0,0,Setup!$D$13+IF(Setup!$F$13=H$14,H$13,0))))</f>
        <v>0</v>
      </c>
      <c r="I9" s="44" t="n">
        <f aca="false">MAX(0,H9+H9*Setup!$C$13/1200-(IF(H9&lt;=0,0,Setup!$D$13+IF(Setup!$F$13=I$14,I$13,0))))</f>
        <v>0</v>
      </c>
      <c r="J9" s="44" t="n">
        <f aca="false">MAX(0,I9+I9*Setup!$C$13/1200-(IF(I9&lt;=0,0,Setup!$D$13+IF(Setup!$F$13=J$14,J$13,0))))</f>
        <v>0</v>
      </c>
      <c r="K9" s="44" t="n">
        <f aca="false">MAX(0,J9+J9*Setup!$C$13/1200-(IF(J9&lt;=0,0,Setup!$D$13+IF(Setup!$F$13=K$14,K$13,0))))</f>
        <v>0</v>
      </c>
      <c r="L9" s="44" t="n">
        <f aca="false">MAX(0,K9+K9*Setup!$C$13/1200-(IF(K9&lt;=0,0,Setup!$D$13+IF(Setup!$F$13=L$14,L$13,0))))</f>
        <v>0</v>
      </c>
      <c r="M9" s="44" t="n">
        <f aca="false">MAX(0,L9+L9*Setup!$C$13/1200-(IF(L9&lt;=0,0,Setup!$D$13+IF(Setup!$F$13=M$14,M$13,0))))</f>
        <v>0</v>
      </c>
      <c r="N9" s="44" t="n">
        <f aca="false">MAX(0,M9+M9*Setup!$C$13/1200-(IF(M9&lt;=0,0,Setup!$D$13+IF(Setup!$F$13=N$14,N$13,0))))</f>
        <v>0</v>
      </c>
      <c r="O9" s="44" t="n">
        <f aca="false">MAX(0,N9+N9*Setup!$C$13/1200-(IF(N9&lt;=0,0,Setup!$D$13+IF(Setup!$F$13=O$14,O$13,0))))</f>
        <v>0</v>
      </c>
      <c r="P9" s="44" t="n">
        <f aca="false">MAX(0,O9+O9*Setup!$C$13/1200-(IF(O9&lt;=0,0,Setup!$D$13+IF(Setup!$F$13=P$14,P$13,0))))</f>
        <v>0</v>
      </c>
      <c r="Q9" s="44" t="n">
        <f aca="false">MAX(0,P9+P9*Setup!$C$13/1200-(IF(P9&lt;=0,0,Setup!$D$13+IF(Setup!$F$13=Q$14,Q$13,0))))</f>
        <v>0</v>
      </c>
      <c r="R9" s="44" t="n">
        <f aca="false">MAX(0,Q9+Q9*Setup!$C$13/1200-(IF(Q9&lt;=0,0,Setup!$D$13+IF(Setup!$F$13=R$14,R$13,0))))</f>
        <v>0</v>
      </c>
      <c r="S9" s="44" t="n">
        <f aca="false">MAX(0,R9+R9*Setup!$C$13/1200-(IF(R9&lt;=0,0,Setup!$D$13+IF(Setup!$F$13=S$14,S$13,0))))</f>
        <v>0</v>
      </c>
      <c r="T9" s="44" t="n">
        <f aca="false">MAX(0,S9+S9*Setup!$C$13/1200-(IF(S9&lt;=0,0,Setup!$D$13+IF(Setup!$F$13=T$14,T$13,0))))</f>
        <v>0</v>
      </c>
      <c r="U9" s="44" t="n">
        <f aca="false">MAX(0,T9+T9*Setup!$C$13/1200-(IF(T9&lt;=0,0,Setup!$D$13+IF(Setup!$F$13=U$14,U$13,0))))</f>
        <v>0</v>
      </c>
      <c r="V9" s="44" t="n">
        <f aca="false">MAX(0,U9+U9*Setup!$C$13/1200-(IF(U9&lt;=0,0,Setup!$D$13+IF(Setup!$F$13=V$14,V$13,0))))</f>
        <v>0</v>
      </c>
      <c r="W9" s="44" t="n">
        <f aca="false">MAX(0,V9+V9*Setup!$C$13/1200-(IF(V9&lt;=0,0,Setup!$D$13+IF(Setup!$F$13=W$14,W$13,0))))</f>
        <v>0</v>
      </c>
      <c r="X9" s="44" t="n">
        <f aca="false">MAX(0,W9+W9*Setup!$C$13/1200-(IF(W9&lt;=0,0,Setup!$D$13+IF(Setup!$F$13=X$14,X$13,0))))</f>
        <v>0</v>
      </c>
      <c r="Y9" s="44" t="n">
        <f aca="false">MAX(0,X9+X9*Setup!$C$13/1200-(IF(X9&lt;=0,0,Setup!$D$13+IF(Setup!$F$13=Y$14,Y$13,0))))</f>
        <v>0</v>
      </c>
      <c r="Z9" s="44" t="n">
        <f aca="false">MAX(0,Y9+Y9*Setup!$C$13/1200-(IF(Y9&lt;=0,0,Setup!$D$13+IF(Setup!$F$13=Z$14,Z$13,0))))</f>
        <v>0</v>
      </c>
      <c r="AA9" s="44" t="n">
        <f aca="false">MAX(0,Z9+Z9*Setup!$C$13/1200-(IF(Z9&lt;=0,0,Setup!$D$13+IF(Setup!$F$13=AA$14,AA$13,0))))</f>
        <v>0</v>
      </c>
      <c r="AB9" s="44" t="n">
        <f aca="false">MAX(0,AA9+AA9*Setup!$C$13/1200-(IF(AA9&lt;=0,0,Setup!$D$13+IF(Setup!$F$13=AB$14,AB$13,0))))</f>
        <v>0</v>
      </c>
      <c r="AC9" s="44" t="n">
        <f aca="false">MAX(0,AB9+AB9*Setup!$C$13/1200-(IF(AB9&lt;=0,0,Setup!$D$13+IF(Setup!$F$13=AC$14,AC$13,0))))</f>
        <v>0</v>
      </c>
      <c r="AD9" s="44" t="n">
        <f aca="false">MAX(0,AC9+AC9*Setup!$C$13/1200-(IF(AC9&lt;=0,0,Setup!$D$13+IF(Setup!$F$13=AD$14,AD$13,0))))</f>
        <v>0</v>
      </c>
      <c r="AE9" s="44" t="n">
        <f aca="false">MAX(0,AD9+AD9*Setup!$C$13/1200-(IF(AD9&lt;=0,0,Setup!$D$13+IF(Setup!$F$13=AE$14,AE$13,0))))</f>
        <v>0</v>
      </c>
      <c r="AF9" s="44" t="n">
        <f aca="false">MAX(0,AE9+AE9*Setup!$C$13/1200-(IF(AE9&lt;=0,0,Setup!$D$13+IF(Setup!$F$13=AF$14,AF$13,0))))</f>
        <v>0</v>
      </c>
      <c r="AG9" s="44" t="n">
        <f aca="false">MAX(0,AF9+AF9*Setup!$C$13/1200-(IF(AF9&lt;=0,0,Setup!$D$13+IF(Setup!$F$13=AG$14,AG$13,0))))</f>
        <v>0</v>
      </c>
      <c r="AH9" s="44" t="n">
        <f aca="false">MAX(0,AG9+AG9*Setup!$C$13/1200-(IF(AG9&lt;=0,0,Setup!$D$13+IF(Setup!$F$13=AH$14,AH$13,0))))</f>
        <v>0</v>
      </c>
      <c r="AI9" s="44" t="n">
        <f aca="false">MAX(0,AH9+AH9*Setup!$C$13/1200-(IF(AH9&lt;=0,0,Setup!$D$13+IF(Setup!$F$13=AI$14,AI$13,0))))</f>
        <v>0</v>
      </c>
      <c r="AJ9" s="44" t="n">
        <f aca="false">MAX(0,AI9+AI9*Setup!$C$13/1200-(IF(AI9&lt;=0,0,Setup!$D$13+IF(Setup!$F$13=AJ$14,AJ$13,0))))</f>
        <v>0</v>
      </c>
      <c r="AK9" s="44" t="n">
        <f aca="false">MAX(0,AJ9+AJ9*Setup!$C$13/1200-(IF(AJ9&lt;=0,0,Setup!$D$13+IF(Setup!$F$13=AK$14,AK$13,0))))</f>
        <v>0</v>
      </c>
      <c r="AL9" s="44" t="n">
        <f aca="false">MAX(0,AK9+AK9*Setup!$C$13/1200-(IF(AK9&lt;=0,0,Setup!$D$13+IF(Setup!$F$13=AL$14,AL$13,0))))</f>
        <v>0</v>
      </c>
      <c r="AM9" s="44" t="n">
        <f aca="false">MAX(0,AL9+AL9*Setup!$C$13/1200-(IF(AL9&lt;=0,0,Setup!$D$13+IF(Setup!$F$13=AM$14,AM$13,0))))</f>
        <v>0</v>
      </c>
      <c r="AN9" s="44" t="n">
        <f aca="false">MAX(0,AM9+AM9*Setup!$C$13/1200-(IF(AM9&lt;=0,0,Setup!$D$13+IF(Setup!$F$13=AN$14,AN$13,0))))</f>
        <v>0</v>
      </c>
      <c r="AO9" s="44" t="n">
        <f aca="false">MAX(0,AN9+AN9*Setup!$C$13/1200-(IF(AN9&lt;=0,0,Setup!$D$13+IF(Setup!$F$13=AO$14,AO$13,0))))</f>
        <v>0</v>
      </c>
      <c r="AP9" s="44" t="n">
        <f aca="false">MAX(0,AO9+AO9*Setup!$C$13/1200-(IF(AO9&lt;=0,0,Setup!$D$13+IF(Setup!$F$13=AP$14,AP$13,0))))</f>
        <v>0</v>
      </c>
      <c r="AQ9" s="44" t="n">
        <f aca="false">MAX(0,AP9+AP9*Setup!$C$13/1200-(IF(AP9&lt;=0,0,Setup!$D$13+IF(Setup!$F$13=AQ$14,AQ$13,0))))</f>
        <v>0</v>
      </c>
      <c r="AR9" s="44" t="n">
        <f aca="false">MAX(0,AQ9+AQ9*Setup!$C$13/1200-(IF(AQ9&lt;=0,0,Setup!$D$13+IF(Setup!$F$13=AR$14,AR$13,0))))</f>
        <v>0</v>
      </c>
      <c r="AS9" s="44" t="n">
        <f aca="false">MAX(0,AR9+AR9*Setup!$C$13/1200-(IF(AR9&lt;=0,0,Setup!$D$13+IF(Setup!$F$13=AS$14,AS$13,0))))</f>
        <v>0</v>
      </c>
      <c r="AT9" s="44" t="n">
        <f aca="false">MAX(0,AS9+AS9*Setup!$C$13/1200-(IF(AS9&lt;=0,0,Setup!$D$13+IF(Setup!$F$13=AT$14,AT$13,0))))</f>
        <v>0</v>
      </c>
      <c r="AU9" s="44" t="n">
        <f aca="false">MAX(0,AT9+AT9*Setup!$C$13/1200-(IF(AT9&lt;=0,0,Setup!$D$13+IF(Setup!$F$13=AU$14,AU$13,0))))</f>
        <v>0</v>
      </c>
      <c r="AV9" s="44" t="n">
        <f aca="false">MAX(0,AU9+AU9*Setup!$C$13/1200-(IF(AU9&lt;=0,0,Setup!$D$13+IF(Setup!$F$13=AV$14,AV$13,0))))</f>
        <v>0</v>
      </c>
      <c r="AW9" s="44" t="n">
        <f aca="false">MAX(0,AV9+AV9*Setup!$C$13/1200-(IF(AV9&lt;=0,0,Setup!$D$13+IF(Setup!$F$13=AW$14,AW$13,0))))</f>
        <v>0</v>
      </c>
      <c r="AX9" s="44" t="n">
        <f aca="false">MAX(0,AW9+AW9*Setup!$C$13/1200-(IF(AW9&lt;=0,0,Setup!$D$13+IF(Setup!$F$13=AX$14,AX$13,0))))</f>
        <v>0</v>
      </c>
      <c r="AY9" s="44" t="n">
        <f aca="false">MAX(0,AX9+AX9*Setup!$C$13/1200-(IF(AX9&lt;=0,0,Setup!$D$13+IF(Setup!$F$13=AY$14,AY$13,0))))</f>
        <v>0</v>
      </c>
      <c r="AZ9" s="44" t="n">
        <f aca="false">MAX(0,AY9+AY9*Setup!$C$13/1200-(IF(AY9&lt;=0,0,Setup!$D$13+IF(Setup!$F$13=AZ$14,AZ$13,0))))</f>
        <v>0</v>
      </c>
      <c r="BA9" s="44" t="n">
        <f aca="false">MAX(0,AZ9+AZ9*Setup!$C$13/1200-(IF(AZ9&lt;=0,0,Setup!$D$13+IF(Setup!$F$13=BA$14,BA$13,0))))</f>
        <v>0</v>
      </c>
      <c r="BB9" s="44" t="n">
        <f aca="false">MAX(0,BA9+BA9*Setup!$C$13/1200-(IF(BA9&lt;=0,0,Setup!$D$13+IF(Setup!$F$13=BB$14,BB$13,0))))</f>
        <v>0</v>
      </c>
      <c r="BC9" s="44" t="n">
        <f aca="false">MAX(0,BB9+BB9*Setup!$C$13/1200-(IF(BB9&lt;=0,0,Setup!$D$13+IF(Setup!$F$13=BC$14,BC$13,0))))</f>
        <v>0</v>
      </c>
      <c r="BD9" s="44" t="n">
        <f aca="false">MAX(0,BC9+BC9*Setup!$C$13/1200-(IF(BC9&lt;=0,0,Setup!$D$13+IF(Setup!$F$13=BD$14,BD$13,0))))</f>
        <v>0</v>
      </c>
      <c r="BE9" s="44" t="n">
        <f aca="false">MAX(0,BD9+BD9*Setup!$C$13/1200-(IF(BD9&lt;=0,0,Setup!$D$13+IF(Setup!$F$13=BE$14,BE$13,0))))</f>
        <v>0</v>
      </c>
      <c r="BF9" s="44" t="n">
        <f aca="false">MAX(0,BE9+BE9*Setup!$C$13/1200-(IF(BE9&lt;=0,0,Setup!$D$13+IF(Setup!$F$13=BF$14,BF$13,0))))</f>
        <v>0</v>
      </c>
      <c r="BG9" s="44" t="n">
        <f aca="false">MAX(0,BF9+BF9*Setup!$C$13/1200-(IF(BF9&lt;=0,0,Setup!$D$13+IF(Setup!$F$13=BG$14,BG$13,0))))</f>
        <v>0</v>
      </c>
      <c r="BH9" s="44" t="n">
        <f aca="false">MAX(0,BG9+BG9*Setup!$C$13/1200-(IF(BG9&lt;=0,0,Setup!$D$13+IF(Setup!$F$13=BH$14,BH$13,0))))</f>
        <v>0</v>
      </c>
      <c r="BI9" s="44" t="n">
        <f aca="false">MAX(0,BH9+BH9*Setup!$C$13/1200-(IF(BH9&lt;=0,0,Setup!$D$13+IF(Setup!$F$13=BI$14,BI$13,0))))</f>
        <v>0</v>
      </c>
      <c r="BJ9" s="44" t="n">
        <f aca="false">MAX(0,BI9+BI9*Setup!$C$13/1200-(IF(BI9&lt;=0,0,Setup!$D$13+IF(Setup!$F$13=BJ$14,BJ$13,0))))</f>
        <v>0</v>
      </c>
    </row>
    <row r="10" customFormat="false" ht="15" hidden="false" customHeight="true" outlineLevel="0" collapsed="false">
      <c r="A10" s="43" t="n">
        <f aca="false">Setup!A14</f>
        <v>0</v>
      </c>
      <c r="B10" s="44" t="n">
        <f aca="false">IF(Setup!B14="",0,Setup!B14)</f>
        <v>0</v>
      </c>
      <c r="C10" s="44" t="n">
        <f aca="false">MAX(0,B10+B10*Setup!$C$14/1200-(IF(B10&lt;=0,0,Setup!$D$14+IF(Setup!$F$14=C$14,C$13,0))))</f>
        <v>0</v>
      </c>
      <c r="D10" s="44" t="n">
        <f aca="false">MAX(0,C10+C10*Setup!$C$14/1200-(IF(C10&lt;=0,0,Setup!$D$14+IF(Setup!$F$14=D$14,D$13,0))))</f>
        <v>0</v>
      </c>
      <c r="E10" s="44" t="n">
        <f aca="false">MAX(0,D10+D10*Setup!$C$14/1200-(IF(D10&lt;=0,0,Setup!$D$14+IF(Setup!$F$14=E$14,E$13,0))))</f>
        <v>0</v>
      </c>
      <c r="F10" s="44" t="n">
        <f aca="false">MAX(0,E10+E10*Setup!$C$14/1200-(IF(E10&lt;=0,0,Setup!$D$14+IF(Setup!$F$14=F$14,F$13,0))))</f>
        <v>0</v>
      </c>
      <c r="G10" s="44" t="n">
        <f aca="false">MAX(0,F10+F10*Setup!$C$14/1200-(IF(F10&lt;=0,0,Setup!$D$14+IF(Setup!$F$14=G$14,G$13,0))))</f>
        <v>0</v>
      </c>
      <c r="H10" s="44" t="n">
        <f aca="false">MAX(0,G10+G10*Setup!$C$14/1200-(IF(G10&lt;=0,0,Setup!$D$14+IF(Setup!$F$14=H$14,H$13,0))))</f>
        <v>0</v>
      </c>
      <c r="I10" s="44" t="n">
        <f aca="false">MAX(0,H10+H10*Setup!$C$14/1200-(IF(H10&lt;=0,0,Setup!$D$14+IF(Setup!$F$14=I$14,I$13,0))))</f>
        <v>0</v>
      </c>
      <c r="J10" s="44" t="n">
        <f aca="false">MAX(0,I10+I10*Setup!$C$14/1200-(IF(I10&lt;=0,0,Setup!$D$14+IF(Setup!$F$14=J$14,J$13,0))))</f>
        <v>0</v>
      </c>
      <c r="K10" s="44" t="n">
        <f aca="false">MAX(0,J10+J10*Setup!$C$14/1200-(IF(J10&lt;=0,0,Setup!$D$14+IF(Setup!$F$14=K$14,K$13,0))))</f>
        <v>0</v>
      </c>
      <c r="L10" s="44" t="n">
        <f aca="false">MAX(0,K10+K10*Setup!$C$14/1200-(IF(K10&lt;=0,0,Setup!$D$14+IF(Setup!$F$14=L$14,L$13,0))))</f>
        <v>0</v>
      </c>
      <c r="M10" s="44" t="n">
        <f aca="false">MAX(0,L10+L10*Setup!$C$14/1200-(IF(L10&lt;=0,0,Setup!$D$14+IF(Setup!$F$14=M$14,M$13,0))))</f>
        <v>0</v>
      </c>
      <c r="N10" s="44" t="n">
        <f aca="false">MAX(0,M10+M10*Setup!$C$14/1200-(IF(M10&lt;=0,0,Setup!$D$14+IF(Setup!$F$14=N$14,N$13,0))))</f>
        <v>0</v>
      </c>
      <c r="O10" s="44" t="n">
        <f aca="false">MAX(0,N10+N10*Setup!$C$14/1200-(IF(N10&lt;=0,0,Setup!$D$14+IF(Setup!$F$14=O$14,O$13,0))))</f>
        <v>0</v>
      </c>
      <c r="P10" s="44" t="n">
        <f aca="false">MAX(0,O10+O10*Setup!$C$14/1200-(IF(O10&lt;=0,0,Setup!$D$14+IF(Setup!$F$14=P$14,P$13,0))))</f>
        <v>0</v>
      </c>
      <c r="Q10" s="44" t="n">
        <f aca="false">MAX(0,P10+P10*Setup!$C$14/1200-(IF(P10&lt;=0,0,Setup!$D$14+IF(Setup!$F$14=Q$14,Q$13,0))))</f>
        <v>0</v>
      </c>
      <c r="R10" s="44" t="n">
        <f aca="false">MAX(0,Q10+Q10*Setup!$C$14/1200-(IF(Q10&lt;=0,0,Setup!$D$14+IF(Setup!$F$14=R$14,R$13,0))))</f>
        <v>0</v>
      </c>
      <c r="S10" s="44" t="n">
        <f aca="false">MAX(0,R10+R10*Setup!$C$14/1200-(IF(R10&lt;=0,0,Setup!$D$14+IF(Setup!$F$14=S$14,S$13,0))))</f>
        <v>0</v>
      </c>
      <c r="T10" s="44" t="n">
        <f aca="false">MAX(0,S10+S10*Setup!$C$14/1200-(IF(S10&lt;=0,0,Setup!$D$14+IF(Setup!$F$14=T$14,T$13,0))))</f>
        <v>0</v>
      </c>
      <c r="U10" s="44" t="n">
        <f aca="false">MAX(0,T10+T10*Setup!$C$14/1200-(IF(T10&lt;=0,0,Setup!$D$14+IF(Setup!$F$14=U$14,U$13,0))))</f>
        <v>0</v>
      </c>
      <c r="V10" s="44" t="n">
        <f aca="false">MAX(0,U10+U10*Setup!$C$14/1200-(IF(U10&lt;=0,0,Setup!$D$14+IF(Setup!$F$14=V$14,V$13,0))))</f>
        <v>0</v>
      </c>
      <c r="W10" s="44" t="n">
        <f aca="false">MAX(0,V10+V10*Setup!$C$14/1200-(IF(V10&lt;=0,0,Setup!$D$14+IF(Setup!$F$14=W$14,W$13,0))))</f>
        <v>0</v>
      </c>
      <c r="X10" s="44" t="n">
        <f aca="false">MAX(0,W10+W10*Setup!$C$14/1200-(IF(W10&lt;=0,0,Setup!$D$14+IF(Setup!$F$14=X$14,X$13,0))))</f>
        <v>0</v>
      </c>
      <c r="Y10" s="44" t="n">
        <f aca="false">MAX(0,X10+X10*Setup!$C$14/1200-(IF(X10&lt;=0,0,Setup!$D$14+IF(Setup!$F$14=Y$14,Y$13,0))))</f>
        <v>0</v>
      </c>
      <c r="Z10" s="44" t="n">
        <f aca="false">MAX(0,Y10+Y10*Setup!$C$14/1200-(IF(Y10&lt;=0,0,Setup!$D$14+IF(Setup!$F$14=Z$14,Z$13,0))))</f>
        <v>0</v>
      </c>
      <c r="AA10" s="44" t="n">
        <f aca="false">MAX(0,Z10+Z10*Setup!$C$14/1200-(IF(Z10&lt;=0,0,Setup!$D$14+IF(Setup!$F$14=AA$14,AA$13,0))))</f>
        <v>0</v>
      </c>
      <c r="AB10" s="44" t="n">
        <f aca="false">MAX(0,AA10+AA10*Setup!$C$14/1200-(IF(AA10&lt;=0,0,Setup!$D$14+IF(Setup!$F$14=AB$14,AB$13,0))))</f>
        <v>0</v>
      </c>
      <c r="AC10" s="44" t="n">
        <f aca="false">MAX(0,AB10+AB10*Setup!$C$14/1200-(IF(AB10&lt;=0,0,Setup!$D$14+IF(Setup!$F$14=AC$14,AC$13,0))))</f>
        <v>0</v>
      </c>
      <c r="AD10" s="44" t="n">
        <f aca="false">MAX(0,AC10+AC10*Setup!$C$14/1200-(IF(AC10&lt;=0,0,Setup!$D$14+IF(Setup!$F$14=AD$14,AD$13,0))))</f>
        <v>0</v>
      </c>
      <c r="AE10" s="44" t="n">
        <f aca="false">MAX(0,AD10+AD10*Setup!$C$14/1200-(IF(AD10&lt;=0,0,Setup!$D$14+IF(Setup!$F$14=AE$14,AE$13,0))))</f>
        <v>0</v>
      </c>
      <c r="AF10" s="44" t="n">
        <f aca="false">MAX(0,AE10+AE10*Setup!$C$14/1200-(IF(AE10&lt;=0,0,Setup!$D$14+IF(Setup!$F$14=AF$14,AF$13,0))))</f>
        <v>0</v>
      </c>
      <c r="AG10" s="44" t="n">
        <f aca="false">MAX(0,AF10+AF10*Setup!$C$14/1200-(IF(AF10&lt;=0,0,Setup!$D$14+IF(Setup!$F$14=AG$14,AG$13,0))))</f>
        <v>0</v>
      </c>
      <c r="AH10" s="44" t="n">
        <f aca="false">MAX(0,AG10+AG10*Setup!$C$14/1200-(IF(AG10&lt;=0,0,Setup!$D$14+IF(Setup!$F$14=AH$14,AH$13,0))))</f>
        <v>0</v>
      </c>
      <c r="AI10" s="44" t="n">
        <f aca="false">MAX(0,AH10+AH10*Setup!$C$14/1200-(IF(AH10&lt;=0,0,Setup!$D$14+IF(Setup!$F$14=AI$14,AI$13,0))))</f>
        <v>0</v>
      </c>
      <c r="AJ10" s="44" t="n">
        <f aca="false">MAX(0,AI10+AI10*Setup!$C$14/1200-(IF(AI10&lt;=0,0,Setup!$D$14+IF(Setup!$F$14=AJ$14,AJ$13,0))))</f>
        <v>0</v>
      </c>
      <c r="AK10" s="44" t="n">
        <f aca="false">MAX(0,AJ10+AJ10*Setup!$C$14/1200-(IF(AJ10&lt;=0,0,Setup!$D$14+IF(Setup!$F$14=AK$14,AK$13,0))))</f>
        <v>0</v>
      </c>
      <c r="AL10" s="44" t="n">
        <f aca="false">MAX(0,AK10+AK10*Setup!$C$14/1200-(IF(AK10&lt;=0,0,Setup!$D$14+IF(Setup!$F$14=AL$14,AL$13,0))))</f>
        <v>0</v>
      </c>
      <c r="AM10" s="44" t="n">
        <f aca="false">MAX(0,AL10+AL10*Setup!$C$14/1200-(IF(AL10&lt;=0,0,Setup!$D$14+IF(Setup!$F$14=AM$14,AM$13,0))))</f>
        <v>0</v>
      </c>
      <c r="AN10" s="44" t="n">
        <f aca="false">MAX(0,AM10+AM10*Setup!$C$14/1200-(IF(AM10&lt;=0,0,Setup!$D$14+IF(Setup!$F$14=AN$14,AN$13,0))))</f>
        <v>0</v>
      </c>
      <c r="AO10" s="44" t="n">
        <f aca="false">MAX(0,AN10+AN10*Setup!$C$14/1200-(IF(AN10&lt;=0,0,Setup!$D$14+IF(Setup!$F$14=AO$14,AO$13,0))))</f>
        <v>0</v>
      </c>
      <c r="AP10" s="44" t="n">
        <f aca="false">MAX(0,AO10+AO10*Setup!$C$14/1200-(IF(AO10&lt;=0,0,Setup!$D$14+IF(Setup!$F$14=AP$14,AP$13,0))))</f>
        <v>0</v>
      </c>
      <c r="AQ10" s="44" t="n">
        <f aca="false">MAX(0,AP10+AP10*Setup!$C$14/1200-(IF(AP10&lt;=0,0,Setup!$D$14+IF(Setup!$F$14=AQ$14,AQ$13,0))))</f>
        <v>0</v>
      </c>
      <c r="AR10" s="44" t="n">
        <f aca="false">MAX(0,AQ10+AQ10*Setup!$C$14/1200-(IF(AQ10&lt;=0,0,Setup!$D$14+IF(Setup!$F$14=AR$14,AR$13,0))))</f>
        <v>0</v>
      </c>
      <c r="AS10" s="44" t="n">
        <f aca="false">MAX(0,AR10+AR10*Setup!$C$14/1200-(IF(AR10&lt;=0,0,Setup!$D$14+IF(Setup!$F$14=AS$14,AS$13,0))))</f>
        <v>0</v>
      </c>
      <c r="AT10" s="44" t="n">
        <f aca="false">MAX(0,AS10+AS10*Setup!$C$14/1200-(IF(AS10&lt;=0,0,Setup!$D$14+IF(Setup!$F$14=AT$14,AT$13,0))))</f>
        <v>0</v>
      </c>
      <c r="AU10" s="44" t="n">
        <f aca="false">MAX(0,AT10+AT10*Setup!$C$14/1200-(IF(AT10&lt;=0,0,Setup!$D$14+IF(Setup!$F$14=AU$14,AU$13,0))))</f>
        <v>0</v>
      </c>
      <c r="AV10" s="44" t="n">
        <f aca="false">MAX(0,AU10+AU10*Setup!$C$14/1200-(IF(AU10&lt;=0,0,Setup!$D$14+IF(Setup!$F$14=AV$14,AV$13,0))))</f>
        <v>0</v>
      </c>
      <c r="AW10" s="44" t="n">
        <f aca="false">MAX(0,AV10+AV10*Setup!$C$14/1200-(IF(AV10&lt;=0,0,Setup!$D$14+IF(Setup!$F$14=AW$14,AW$13,0))))</f>
        <v>0</v>
      </c>
      <c r="AX10" s="44" t="n">
        <f aca="false">MAX(0,AW10+AW10*Setup!$C$14/1200-(IF(AW10&lt;=0,0,Setup!$D$14+IF(Setup!$F$14=AX$14,AX$13,0))))</f>
        <v>0</v>
      </c>
      <c r="AY10" s="44" t="n">
        <f aca="false">MAX(0,AX10+AX10*Setup!$C$14/1200-(IF(AX10&lt;=0,0,Setup!$D$14+IF(Setup!$F$14=AY$14,AY$13,0))))</f>
        <v>0</v>
      </c>
      <c r="AZ10" s="44" t="n">
        <f aca="false">MAX(0,AY10+AY10*Setup!$C$14/1200-(IF(AY10&lt;=0,0,Setup!$D$14+IF(Setup!$F$14=AZ$14,AZ$13,0))))</f>
        <v>0</v>
      </c>
      <c r="BA10" s="44" t="n">
        <f aca="false">MAX(0,AZ10+AZ10*Setup!$C$14/1200-(IF(AZ10&lt;=0,0,Setup!$D$14+IF(Setup!$F$14=BA$14,BA$13,0))))</f>
        <v>0</v>
      </c>
      <c r="BB10" s="44" t="n">
        <f aca="false">MAX(0,BA10+BA10*Setup!$C$14/1200-(IF(BA10&lt;=0,0,Setup!$D$14+IF(Setup!$F$14=BB$14,BB$13,0))))</f>
        <v>0</v>
      </c>
      <c r="BC10" s="44" t="n">
        <f aca="false">MAX(0,BB10+BB10*Setup!$C$14/1200-(IF(BB10&lt;=0,0,Setup!$D$14+IF(Setup!$F$14=BC$14,BC$13,0))))</f>
        <v>0</v>
      </c>
      <c r="BD10" s="44" t="n">
        <f aca="false">MAX(0,BC10+BC10*Setup!$C$14/1200-(IF(BC10&lt;=0,0,Setup!$D$14+IF(Setup!$F$14=BD$14,BD$13,0))))</f>
        <v>0</v>
      </c>
      <c r="BE10" s="44" t="n">
        <f aca="false">MAX(0,BD10+BD10*Setup!$C$14/1200-(IF(BD10&lt;=0,0,Setup!$D$14+IF(Setup!$F$14=BE$14,BE$13,0))))</f>
        <v>0</v>
      </c>
      <c r="BF10" s="44" t="n">
        <f aca="false">MAX(0,BE10+BE10*Setup!$C$14/1200-(IF(BE10&lt;=0,0,Setup!$D$14+IF(Setup!$F$14=BF$14,BF$13,0))))</f>
        <v>0</v>
      </c>
      <c r="BG10" s="44" t="n">
        <f aca="false">MAX(0,BF10+BF10*Setup!$C$14/1200-(IF(BF10&lt;=0,0,Setup!$D$14+IF(Setup!$F$14=BG$14,BG$13,0))))</f>
        <v>0</v>
      </c>
      <c r="BH10" s="44" t="n">
        <f aca="false">MAX(0,BG10+BG10*Setup!$C$14/1200-(IF(BG10&lt;=0,0,Setup!$D$14+IF(Setup!$F$14=BH$14,BH$13,0))))</f>
        <v>0</v>
      </c>
      <c r="BI10" s="44" t="n">
        <f aca="false">MAX(0,BH10+BH10*Setup!$C$14/1200-(IF(BH10&lt;=0,0,Setup!$D$14+IF(Setup!$F$14=BI$14,BI$13,0))))</f>
        <v>0</v>
      </c>
      <c r="BJ10" s="44" t="n">
        <f aca="false">MAX(0,BI10+BI10*Setup!$C$14/1200-(IF(BI10&lt;=0,0,Setup!$D$14+IF(Setup!$F$14=BJ$14,BJ$13,0))))</f>
        <v>0</v>
      </c>
    </row>
    <row r="11" customFormat="false" ht="15" hidden="false" customHeight="true" outlineLevel="0" collapsed="false">
      <c r="A11" s="43" t="n">
        <f aca="false">Setup!A15</f>
        <v>0</v>
      </c>
      <c r="B11" s="44" t="n">
        <f aca="false">IF(Setup!B15="",0,Setup!B15)</f>
        <v>0</v>
      </c>
      <c r="C11" s="44" t="n">
        <f aca="false">MAX(0,B11+B11*Setup!$C$15/1200-(IF(B11&lt;=0,0,Setup!$D$15+IF(Setup!$F$15=C$14,C$13,0))))</f>
        <v>0</v>
      </c>
      <c r="D11" s="44" t="n">
        <f aca="false">MAX(0,C11+C11*Setup!$C$15/1200-(IF(C11&lt;=0,0,Setup!$D$15+IF(Setup!$F$15=D$14,D$13,0))))</f>
        <v>0</v>
      </c>
      <c r="E11" s="44" t="n">
        <f aca="false">MAX(0,D11+D11*Setup!$C$15/1200-(IF(D11&lt;=0,0,Setup!$D$15+IF(Setup!$F$15=E$14,E$13,0))))</f>
        <v>0</v>
      </c>
      <c r="F11" s="44" t="n">
        <f aca="false">MAX(0,E11+E11*Setup!$C$15/1200-(IF(E11&lt;=0,0,Setup!$D$15+IF(Setup!$F$15=F$14,F$13,0))))</f>
        <v>0</v>
      </c>
      <c r="G11" s="44" t="n">
        <f aca="false">MAX(0,F11+F11*Setup!$C$15/1200-(IF(F11&lt;=0,0,Setup!$D$15+IF(Setup!$F$15=G$14,G$13,0))))</f>
        <v>0</v>
      </c>
      <c r="H11" s="44" t="n">
        <f aca="false">MAX(0,G11+G11*Setup!$C$15/1200-(IF(G11&lt;=0,0,Setup!$D$15+IF(Setup!$F$15=H$14,H$13,0))))</f>
        <v>0</v>
      </c>
      <c r="I11" s="44" t="n">
        <f aca="false">MAX(0,H11+H11*Setup!$C$15/1200-(IF(H11&lt;=0,0,Setup!$D$15+IF(Setup!$F$15=I$14,I$13,0))))</f>
        <v>0</v>
      </c>
      <c r="J11" s="44" t="n">
        <f aca="false">MAX(0,I11+I11*Setup!$C$15/1200-(IF(I11&lt;=0,0,Setup!$D$15+IF(Setup!$F$15=J$14,J$13,0))))</f>
        <v>0</v>
      </c>
      <c r="K11" s="44" t="n">
        <f aca="false">MAX(0,J11+J11*Setup!$C$15/1200-(IF(J11&lt;=0,0,Setup!$D$15+IF(Setup!$F$15=K$14,K$13,0))))</f>
        <v>0</v>
      </c>
      <c r="L11" s="44" t="n">
        <f aca="false">MAX(0,K11+K11*Setup!$C$15/1200-(IF(K11&lt;=0,0,Setup!$D$15+IF(Setup!$F$15=L$14,L$13,0))))</f>
        <v>0</v>
      </c>
      <c r="M11" s="44" t="n">
        <f aca="false">MAX(0,L11+L11*Setup!$C$15/1200-(IF(L11&lt;=0,0,Setup!$D$15+IF(Setup!$F$15=M$14,M$13,0))))</f>
        <v>0</v>
      </c>
      <c r="N11" s="44" t="n">
        <f aca="false">MAX(0,M11+M11*Setup!$C$15/1200-(IF(M11&lt;=0,0,Setup!$D$15+IF(Setup!$F$15=N$14,N$13,0))))</f>
        <v>0</v>
      </c>
      <c r="O11" s="44" t="n">
        <f aca="false">MAX(0,N11+N11*Setup!$C$15/1200-(IF(N11&lt;=0,0,Setup!$D$15+IF(Setup!$F$15=O$14,O$13,0))))</f>
        <v>0</v>
      </c>
      <c r="P11" s="44" t="n">
        <f aca="false">MAX(0,O11+O11*Setup!$C$15/1200-(IF(O11&lt;=0,0,Setup!$D$15+IF(Setup!$F$15=P$14,P$13,0))))</f>
        <v>0</v>
      </c>
      <c r="Q11" s="44" t="n">
        <f aca="false">MAX(0,P11+P11*Setup!$C$15/1200-(IF(P11&lt;=0,0,Setup!$D$15+IF(Setup!$F$15=Q$14,Q$13,0))))</f>
        <v>0</v>
      </c>
      <c r="R11" s="44" t="n">
        <f aca="false">MAX(0,Q11+Q11*Setup!$C$15/1200-(IF(Q11&lt;=0,0,Setup!$D$15+IF(Setup!$F$15=R$14,R$13,0))))</f>
        <v>0</v>
      </c>
      <c r="S11" s="44" t="n">
        <f aca="false">MAX(0,R11+R11*Setup!$C$15/1200-(IF(R11&lt;=0,0,Setup!$D$15+IF(Setup!$F$15=S$14,S$13,0))))</f>
        <v>0</v>
      </c>
      <c r="T11" s="44" t="n">
        <f aca="false">MAX(0,S11+S11*Setup!$C$15/1200-(IF(S11&lt;=0,0,Setup!$D$15+IF(Setup!$F$15=T$14,T$13,0))))</f>
        <v>0</v>
      </c>
      <c r="U11" s="44" t="n">
        <f aca="false">MAX(0,T11+T11*Setup!$C$15/1200-(IF(T11&lt;=0,0,Setup!$D$15+IF(Setup!$F$15=U$14,U$13,0))))</f>
        <v>0</v>
      </c>
      <c r="V11" s="44" t="n">
        <f aca="false">MAX(0,U11+U11*Setup!$C$15/1200-(IF(U11&lt;=0,0,Setup!$D$15+IF(Setup!$F$15=V$14,V$13,0))))</f>
        <v>0</v>
      </c>
      <c r="W11" s="44" t="n">
        <f aca="false">MAX(0,V11+V11*Setup!$C$15/1200-(IF(V11&lt;=0,0,Setup!$D$15+IF(Setup!$F$15=W$14,W$13,0))))</f>
        <v>0</v>
      </c>
      <c r="X11" s="44" t="n">
        <f aca="false">MAX(0,W11+W11*Setup!$C$15/1200-(IF(W11&lt;=0,0,Setup!$D$15+IF(Setup!$F$15=X$14,X$13,0))))</f>
        <v>0</v>
      </c>
      <c r="Y11" s="44" t="n">
        <f aca="false">MAX(0,X11+X11*Setup!$C$15/1200-(IF(X11&lt;=0,0,Setup!$D$15+IF(Setup!$F$15=Y$14,Y$13,0))))</f>
        <v>0</v>
      </c>
      <c r="Z11" s="44" t="n">
        <f aca="false">MAX(0,Y11+Y11*Setup!$C$15/1200-(IF(Y11&lt;=0,0,Setup!$D$15+IF(Setup!$F$15=Z$14,Z$13,0))))</f>
        <v>0</v>
      </c>
      <c r="AA11" s="44" t="n">
        <f aca="false">MAX(0,Z11+Z11*Setup!$C$15/1200-(IF(Z11&lt;=0,0,Setup!$D$15+IF(Setup!$F$15=AA$14,AA$13,0))))</f>
        <v>0</v>
      </c>
      <c r="AB11" s="44" t="n">
        <f aca="false">MAX(0,AA11+AA11*Setup!$C$15/1200-(IF(AA11&lt;=0,0,Setup!$D$15+IF(Setup!$F$15=AB$14,AB$13,0))))</f>
        <v>0</v>
      </c>
      <c r="AC11" s="44" t="n">
        <f aca="false">MAX(0,AB11+AB11*Setup!$C$15/1200-(IF(AB11&lt;=0,0,Setup!$D$15+IF(Setup!$F$15=AC$14,AC$13,0))))</f>
        <v>0</v>
      </c>
      <c r="AD11" s="44" t="n">
        <f aca="false">MAX(0,AC11+AC11*Setup!$C$15/1200-(IF(AC11&lt;=0,0,Setup!$D$15+IF(Setup!$F$15=AD$14,AD$13,0))))</f>
        <v>0</v>
      </c>
      <c r="AE11" s="44" t="n">
        <f aca="false">MAX(0,AD11+AD11*Setup!$C$15/1200-(IF(AD11&lt;=0,0,Setup!$D$15+IF(Setup!$F$15=AE$14,AE$13,0))))</f>
        <v>0</v>
      </c>
      <c r="AF11" s="44" t="n">
        <f aca="false">MAX(0,AE11+AE11*Setup!$C$15/1200-(IF(AE11&lt;=0,0,Setup!$D$15+IF(Setup!$F$15=AF$14,AF$13,0))))</f>
        <v>0</v>
      </c>
      <c r="AG11" s="44" t="n">
        <f aca="false">MAX(0,AF11+AF11*Setup!$C$15/1200-(IF(AF11&lt;=0,0,Setup!$D$15+IF(Setup!$F$15=AG$14,AG$13,0))))</f>
        <v>0</v>
      </c>
      <c r="AH11" s="44" t="n">
        <f aca="false">MAX(0,AG11+AG11*Setup!$C$15/1200-(IF(AG11&lt;=0,0,Setup!$D$15+IF(Setup!$F$15=AH$14,AH$13,0))))</f>
        <v>0</v>
      </c>
      <c r="AI11" s="44" t="n">
        <f aca="false">MAX(0,AH11+AH11*Setup!$C$15/1200-(IF(AH11&lt;=0,0,Setup!$D$15+IF(Setup!$F$15=AI$14,AI$13,0))))</f>
        <v>0</v>
      </c>
      <c r="AJ11" s="44" t="n">
        <f aca="false">MAX(0,AI11+AI11*Setup!$C$15/1200-(IF(AI11&lt;=0,0,Setup!$D$15+IF(Setup!$F$15=AJ$14,AJ$13,0))))</f>
        <v>0</v>
      </c>
      <c r="AK11" s="44" t="n">
        <f aca="false">MAX(0,AJ11+AJ11*Setup!$C$15/1200-(IF(AJ11&lt;=0,0,Setup!$D$15+IF(Setup!$F$15=AK$14,AK$13,0))))</f>
        <v>0</v>
      </c>
      <c r="AL11" s="44" t="n">
        <f aca="false">MAX(0,AK11+AK11*Setup!$C$15/1200-(IF(AK11&lt;=0,0,Setup!$D$15+IF(Setup!$F$15=AL$14,AL$13,0))))</f>
        <v>0</v>
      </c>
      <c r="AM11" s="44" t="n">
        <f aca="false">MAX(0,AL11+AL11*Setup!$C$15/1200-(IF(AL11&lt;=0,0,Setup!$D$15+IF(Setup!$F$15=AM$14,AM$13,0))))</f>
        <v>0</v>
      </c>
      <c r="AN11" s="44" t="n">
        <f aca="false">MAX(0,AM11+AM11*Setup!$C$15/1200-(IF(AM11&lt;=0,0,Setup!$D$15+IF(Setup!$F$15=AN$14,AN$13,0))))</f>
        <v>0</v>
      </c>
      <c r="AO11" s="44" t="n">
        <f aca="false">MAX(0,AN11+AN11*Setup!$C$15/1200-(IF(AN11&lt;=0,0,Setup!$D$15+IF(Setup!$F$15=AO$14,AO$13,0))))</f>
        <v>0</v>
      </c>
      <c r="AP11" s="44" t="n">
        <f aca="false">MAX(0,AO11+AO11*Setup!$C$15/1200-(IF(AO11&lt;=0,0,Setup!$D$15+IF(Setup!$F$15=AP$14,AP$13,0))))</f>
        <v>0</v>
      </c>
      <c r="AQ11" s="44" t="n">
        <f aca="false">MAX(0,AP11+AP11*Setup!$C$15/1200-(IF(AP11&lt;=0,0,Setup!$D$15+IF(Setup!$F$15=AQ$14,AQ$13,0))))</f>
        <v>0</v>
      </c>
      <c r="AR11" s="44" t="n">
        <f aca="false">MAX(0,AQ11+AQ11*Setup!$C$15/1200-(IF(AQ11&lt;=0,0,Setup!$D$15+IF(Setup!$F$15=AR$14,AR$13,0))))</f>
        <v>0</v>
      </c>
      <c r="AS11" s="44" t="n">
        <f aca="false">MAX(0,AR11+AR11*Setup!$C$15/1200-(IF(AR11&lt;=0,0,Setup!$D$15+IF(Setup!$F$15=AS$14,AS$13,0))))</f>
        <v>0</v>
      </c>
      <c r="AT11" s="44" t="n">
        <f aca="false">MAX(0,AS11+AS11*Setup!$C$15/1200-(IF(AS11&lt;=0,0,Setup!$D$15+IF(Setup!$F$15=AT$14,AT$13,0))))</f>
        <v>0</v>
      </c>
      <c r="AU11" s="44" t="n">
        <f aca="false">MAX(0,AT11+AT11*Setup!$C$15/1200-(IF(AT11&lt;=0,0,Setup!$D$15+IF(Setup!$F$15=AU$14,AU$13,0))))</f>
        <v>0</v>
      </c>
      <c r="AV11" s="44" t="n">
        <f aca="false">MAX(0,AU11+AU11*Setup!$C$15/1200-(IF(AU11&lt;=0,0,Setup!$D$15+IF(Setup!$F$15=AV$14,AV$13,0))))</f>
        <v>0</v>
      </c>
      <c r="AW11" s="44" t="n">
        <f aca="false">MAX(0,AV11+AV11*Setup!$C$15/1200-(IF(AV11&lt;=0,0,Setup!$D$15+IF(Setup!$F$15=AW$14,AW$13,0))))</f>
        <v>0</v>
      </c>
      <c r="AX11" s="44" t="n">
        <f aca="false">MAX(0,AW11+AW11*Setup!$C$15/1200-(IF(AW11&lt;=0,0,Setup!$D$15+IF(Setup!$F$15=AX$14,AX$13,0))))</f>
        <v>0</v>
      </c>
      <c r="AY11" s="44" t="n">
        <f aca="false">MAX(0,AX11+AX11*Setup!$C$15/1200-(IF(AX11&lt;=0,0,Setup!$D$15+IF(Setup!$F$15=AY$14,AY$13,0))))</f>
        <v>0</v>
      </c>
      <c r="AZ11" s="44" t="n">
        <f aca="false">MAX(0,AY11+AY11*Setup!$C$15/1200-(IF(AY11&lt;=0,0,Setup!$D$15+IF(Setup!$F$15=AZ$14,AZ$13,0))))</f>
        <v>0</v>
      </c>
      <c r="BA11" s="44" t="n">
        <f aca="false">MAX(0,AZ11+AZ11*Setup!$C$15/1200-(IF(AZ11&lt;=0,0,Setup!$D$15+IF(Setup!$F$15=BA$14,BA$13,0))))</f>
        <v>0</v>
      </c>
      <c r="BB11" s="44" t="n">
        <f aca="false">MAX(0,BA11+BA11*Setup!$C$15/1200-(IF(BA11&lt;=0,0,Setup!$D$15+IF(Setup!$F$15=BB$14,BB$13,0))))</f>
        <v>0</v>
      </c>
      <c r="BC11" s="44" t="n">
        <f aca="false">MAX(0,BB11+BB11*Setup!$C$15/1200-(IF(BB11&lt;=0,0,Setup!$D$15+IF(Setup!$F$15=BC$14,BC$13,0))))</f>
        <v>0</v>
      </c>
      <c r="BD11" s="44" t="n">
        <f aca="false">MAX(0,BC11+BC11*Setup!$C$15/1200-(IF(BC11&lt;=0,0,Setup!$D$15+IF(Setup!$F$15=BD$14,BD$13,0))))</f>
        <v>0</v>
      </c>
      <c r="BE11" s="44" t="n">
        <f aca="false">MAX(0,BD11+BD11*Setup!$C$15/1200-(IF(BD11&lt;=0,0,Setup!$D$15+IF(Setup!$F$15=BE$14,BE$13,0))))</f>
        <v>0</v>
      </c>
      <c r="BF11" s="44" t="n">
        <f aca="false">MAX(0,BE11+BE11*Setup!$C$15/1200-(IF(BE11&lt;=0,0,Setup!$D$15+IF(Setup!$F$15=BF$14,BF$13,0))))</f>
        <v>0</v>
      </c>
      <c r="BG11" s="44" t="n">
        <f aca="false">MAX(0,BF11+BF11*Setup!$C$15/1200-(IF(BF11&lt;=0,0,Setup!$D$15+IF(Setup!$F$15=BG$14,BG$13,0))))</f>
        <v>0</v>
      </c>
      <c r="BH11" s="44" t="n">
        <f aca="false">MAX(0,BG11+BG11*Setup!$C$15/1200-(IF(BG11&lt;=0,0,Setup!$D$15+IF(Setup!$F$15=BH$14,BH$13,0))))</f>
        <v>0</v>
      </c>
      <c r="BI11" s="44" t="n">
        <f aca="false">MAX(0,BH11+BH11*Setup!$C$15/1200-(IF(BH11&lt;=0,0,Setup!$D$15+IF(Setup!$F$15=BI$14,BI$13,0))))</f>
        <v>0</v>
      </c>
      <c r="BJ11" s="44" t="n">
        <f aca="false">MAX(0,BI11+BI11*Setup!$C$15/1200-(IF(BI11&lt;=0,0,Setup!$D$15+IF(Setup!$F$15=BJ$14,BJ$13,0))))</f>
        <v>0</v>
      </c>
    </row>
    <row r="12" customFormat="false" ht="15" hidden="false" customHeight="true" outlineLevel="0" collapsed="false">
      <c r="A12" s="43" t="n">
        <f aca="false">Setup!A16</f>
        <v>0</v>
      </c>
      <c r="B12" s="44" t="n">
        <f aca="false">IF(Setup!B16="",0,Setup!B16)</f>
        <v>0</v>
      </c>
      <c r="C12" s="44" t="n">
        <f aca="false">MAX(0,B12+B12*Setup!$C$16/1200-(IF(B12&lt;=0,0,Setup!$D$16+IF(Setup!$F$16=C$14,C$13,0))))</f>
        <v>0</v>
      </c>
      <c r="D12" s="44" t="n">
        <f aca="false">MAX(0,C12+C12*Setup!$C$16/1200-(IF(C12&lt;=0,0,Setup!$D$16+IF(Setup!$F$16=D$14,D$13,0))))</f>
        <v>0</v>
      </c>
      <c r="E12" s="44" t="n">
        <f aca="false">MAX(0,D12+D12*Setup!$C$16/1200-(IF(D12&lt;=0,0,Setup!$D$16+IF(Setup!$F$16=E$14,E$13,0))))</f>
        <v>0</v>
      </c>
      <c r="F12" s="44" t="n">
        <f aca="false">MAX(0,E12+E12*Setup!$C$16/1200-(IF(E12&lt;=0,0,Setup!$D$16+IF(Setup!$F$16=F$14,F$13,0))))</f>
        <v>0</v>
      </c>
      <c r="G12" s="44" t="n">
        <f aca="false">MAX(0,F12+F12*Setup!$C$16/1200-(IF(F12&lt;=0,0,Setup!$D$16+IF(Setup!$F$16=G$14,G$13,0))))</f>
        <v>0</v>
      </c>
      <c r="H12" s="44" t="n">
        <f aca="false">MAX(0,G12+G12*Setup!$C$16/1200-(IF(G12&lt;=0,0,Setup!$D$16+IF(Setup!$F$16=H$14,H$13,0))))</f>
        <v>0</v>
      </c>
      <c r="I12" s="44" t="n">
        <f aca="false">MAX(0,H12+H12*Setup!$C$16/1200-(IF(H12&lt;=0,0,Setup!$D$16+IF(Setup!$F$16=I$14,I$13,0))))</f>
        <v>0</v>
      </c>
      <c r="J12" s="44" t="n">
        <f aca="false">MAX(0,I12+I12*Setup!$C$16/1200-(IF(I12&lt;=0,0,Setup!$D$16+IF(Setup!$F$16=J$14,J$13,0))))</f>
        <v>0</v>
      </c>
      <c r="K12" s="44" t="n">
        <f aca="false">MAX(0,J12+J12*Setup!$C$16/1200-(IF(J12&lt;=0,0,Setup!$D$16+IF(Setup!$F$16=K$14,K$13,0))))</f>
        <v>0</v>
      </c>
      <c r="L12" s="44" t="n">
        <f aca="false">MAX(0,K12+K12*Setup!$C$16/1200-(IF(K12&lt;=0,0,Setup!$D$16+IF(Setup!$F$16=L$14,L$13,0))))</f>
        <v>0</v>
      </c>
      <c r="M12" s="44" t="n">
        <f aca="false">MAX(0,L12+L12*Setup!$C$16/1200-(IF(L12&lt;=0,0,Setup!$D$16+IF(Setup!$F$16=M$14,M$13,0))))</f>
        <v>0</v>
      </c>
      <c r="N12" s="44" t="n">
        <f aca="false">MAX(0,M12+M12*Setup!$C$16/1200-(IF(M12&lt;=0,0,Setup!$D$16+IF(Setup!$F$16=N$14,N$13,0))))</f>
        <v>0</v>
      </c>
      <c r="O12" s="44" t="n">
        <f aca="false">MAX(0,N12+N12*Setup!$C$16/1200-(IF(N12&lt;=0,0,Setup!$D$16+IF(Setup!$F$16=O$14,O$13,0))))</f>
        <v>0</v>
      </c>
      <c r="P12" s="44" t="n">
        <f aca="false">MAX(0,O12+O12*Setup!$C$16/1200-(IF(O12&lt;=0,0,Setup!$D$16+IF(Setup!$F$16=P$14,P$13,0))))</f>
        <v>0</v>
      </c>
      <c r="Q12" s="44" t="n">
        <f aca="false">MAX(0,P12+P12*Setup!$C$16/1200-(IF(P12&lt;=0,0,Setup!$D$16+IF(Setup!$F$16=Q$14,Q$13,0))))</f>
        <v>0</v>
      </c>
      <c r="R12" s="44" t="n">
        <f aca="false">MAX(0,Q12+Q12*Setup!$C$16/1200-(IF(Q12&lt;=0,0,Setup!$D$16+IF(Setup!$F$16=R$14,R$13,0))))</f>
        <v>0</v>
      </c>
      <c r="S12" s="44" t="n">
        <f aca="false">MAX(0,R12+R12*Setup!$C$16/1200-(IF(R12&lt;=0,0,Setup!$D$16+IF(Setup!$F$16=S$14,S$13,0))))</f>
        <v>0</v>
      </c>
      <c r="T12" s="44" t="n">
        <f aca="false">MAX(0,S12+S12*Setup!$C$16/1200-(IF(S12&lt;=0,0,Setup!$D$16+IF(Setup!$F$16=T$14,T$13,0))))</f>
        <v>0</v>
      </c>
      <c r="U12" s="44" t="n">
        <f aca="false">MAX(0,T12+T12*Setup!$C$16/1200-(IF(T12&lt;=0,0,Setup!$D$16+IF(Setup!$F$16=U$14,U$13,0))))</f>
        <v>0</v>
      </c>
      <c r="V12" s="44" t="n">
        <f aca="false">MAX(0,U12+U12*Setup!$C$16/1200-(IF(U12&lt;=0,0,Setup!$D$16+IF(Setup!$F$16=V$14,V$13,0))))</f>
        <v>0</v>
      </c>
      <c r="W12" s="44" t="n">
        <f aca="false">MAX(0,V12+V12*Setup!$C$16/1200-(IF(V12&lt;=0,0,Setup!$D$16+IF(Setup!$F$16=W$14,W$13,0))))</f>
        <v>0</v>
      </c>
      <c r="X12" s="44" t="n">
        <f aca="false">MAX(0,W12+W12*Setup!$C$16/1200-(IF(W12&lt;=0,0,Setup!$D$16+IF(Setup!$F$16=X$14,X$13,0))))</f>
        <v>0</v>
      </c>
      <c r="Y12" s="44" t="n">
        <f aca="false">MAX(0,X12+X12*Setup!$C$16/1200-(IF(X12&lt;=0,0,Setup!$D$16+IF(Setup!$F$16=Y$14,Y$13,0))))</f>
        <v>0</v>
      </c>
      <c r="Z12" s="44" t="n">
        <f aca="false">MAX(0,Y12+Y12*Setup!$C$16/1200-(IF(Y12&lt;=0,0,Setup!$D$16+IF(Setup!$F$16=Z$14,Z$13,0))))</f>
        <v>0</v>
      </c>
      <c r="AA12" s="44" t="n">
        <f aca="false">MAX(0,Z12+Z12*Setup!$C$16/1200-(IF(Z12&lt;=0,0,Setup!$D$16+IF(Setup!$F$16=AA$14,AA$13,0))))</f>
        <v>0</v>
      </c>
      <c r="AB12" s="44" t="n">
        <f aca="false">MAX(0,AA12+AA12*Setup!$C$16/1200-(IF(AA12&lt;=0,0,Setup!$D$16+IF(Setup!$F$16=AB$14,AB$13,0))))</f>
        <v>0</v>
      </c>
      <c r="AC12" s="44" t="n">
        <f aca="false">MAX(0,AB12+AB12*Setup!$C$16/1200-(IF(AB12&lt;=0,0,Setup!$D$16+IF(Setup!$F$16=AC$14,AC$13,0))))</f>
        <v>0</v>
      </c>
      <c r="AD12" s="44" t="n">
        <f aca="false">MAX(0,AC12+AC12*Setup!$C$16/1200-(IF(AC12&lt;=0,0,Setup!$D$16+IF(Setup!$F$16=AD$14,AD$13,0))))</f>
        <v>0</v>
      </c>
      <c r="AE12" s="44" t="n">
        <f aca="false">MAX(0,AD12+AD12*Setup!$C$16/1200-(IF(AD12&lt;=0,0,Setup!$D$16+IF(Setup!$F$16=AE$14,AE$13,0))))</f>
        <v>0</v>
      </c>
      <c r="AF12" s="44" t="n">
        <f aca="false">MAX(0,AE12+AE12*Setup!$C$16/1200-(IF(AE12&lt;=0,0,Setup!$D$16+IF(Setup!$F$16=AF$14,AF$13,0))))</f>
        <v>0</v>
      </c>
      <c r="AG12" s="44" t="n">
        <f aca="false">MAX(0,AF12+AF12*Setup!$C$16/1200-(IF(AF12&lt;=0,0,Setup!$D$16+IF(Setup!$F$16=AG$14,AG$13,0))))</f>
        <v>0</v>
      </c>
      <c r="AH12" s="44" t="n">
        <f aca="false">MAX(0,AG12+AG12*Setup!$C$16/1200-(IF(AG12&lt;=0,0,Setup!$D$16+IF(Setup!$F$16=AH$14,AH$13,0))))</f>
        <v>0</v>
      </c>
      <c r="AI12" s="44" t="n">
        <f aca="false">MAX(0,AH12+AH12*Setup!$C$16/1200-(IF(AH12&lt;=0,0,Setup!$D$16+IF(Setup!$F$16=AI$14,AI$13,0))))</f>
        <v>0</v>
      </c>
      <c r="AJ12" s="44" t="n">
        <f aca="false">MAX(0,AI12+AI12*Setup!$C$16/1200-(IF(AI12&lt;=0,0,Setup!$D$16+IF(Setup!$F$16=AJ$14,AJ$13,0))))</f>
        <v>0</v>
      </c>
      <c r="AK12" s="44" t="n">
        <f aca="false">MAX(0,AJ12+AJ12*Setup!$C$16/1200-(IF(AJ12&lt;=0,0,Setup!$D$16+IF(Setup!$F$16=AK$14,AK$13,0))))</f>
        <v>0</v>
      </c>
      <c r="AL12" s="44" t="n">
        <f aca="false">MAX(0,AK12+AK12*Setup!$C$16/1200-(IF(AK12&lt;=0,0,Setup!$D$16+IF(Setup!$F$16=AL$14,AL$13,0))))</f>
        <v>0</v>
      </c>
      <c r="AM12" s="44" t="n">
        <f aca="false">MAX(0,AL12+AL12*Setup!$C$16/1200-(IF(AL12&lt;=0,0,Setup!$D$16+IF(Setup!$F$16=AM$14,AM$13,0))))</f>
        <v>0</v>
      </c>
      <c r="AN12" s="44" t="n">
        <f aca="false">MAX(0,AM12+AM12*Setup!$C$16/1200-(IF(AM12&lt;=0,0,Setup!$D$16+IF(Setup!$F$16=AN$14,AN$13,0))))</f>
        <v>0</v>
      </c>
      <c r="AO12" s="44" t="n">
        <f aca="false">MAX(0,AN12+AN12*Setup!$C$16/1200-(IF(AN12&lt;=0,0,Setup!$D$16+IF(Setup!$F$16=AO$14,AO$13,0))))</f>
        <v>0</v>
      </c>
      <c r="AP12" s="44" t="n">
        <f aca="false">MAX(0,AO12+AO12*Setup!$C$16/1200-(IF(AO12&lt;=0,0,Setup!$D$16+IF(Setup!$F$16=AP$14,AP$13,0))))</f>
        <v>0</v>
      </c>
      <c r="AQ12" s="44" t="n">
        <f aca="false">MAX(0,AP12+AP12*Setup!$C$16/1200-(IF(AP12&lt;=0,0,Setup!$D$16+IF(Setup!$F$16=AQ$14,AQ$13,0))))</f>
        <v>0</v>
      </c>
      <c r="AR12" s="44" t="n">
        <f aca="false">MAX(0,AQ12+AQ12*Setup!$C$16/1200-(IF(AQ12&lt;=0,0,Setup!$D$16+IF(Setup!$F$16=AR$14,AR$13,0))))</f>
        <v>0</v>
      </c>
      <c r="AS12" s="44" t="n">
        <f aca="false">MAX(0,AR12+AR12*Setup!$C$16/1200-(IF(AR12&lt;=0,0,Setup!$D$16+IF(Setup!$F$16=AS$14,AS$13,0))))</f>
        <v>0</v>
      </c>
      <c r="AT12" s="44" t="n">
        <f aca="false">MAX(0,AS12+AS12*Setup!$C$16/1200-(IF(AS12&lt;=0,0,Setup!$D$16+IF(Setup!$F$16=AT$14,AT$13,0))))</f>
        <v>0</v>
      </c>
      <c r="AU12" s="44" t="n">
        <f aca="false">MAX(0,AT12+AT12*Setup!$C$16/1200-(IF(AT12&lt;=0,0,Setup!$D$16+IF(Setup!$F$16=AU$14,AU$13,0))))</f>
        <v>0</v>
      </c>
      <c r="AV12" s="44" t="n">
        <f aca="false">MAX(0,AU12+AU12*Setup!$C$16/1200-(IF(AU12&lt;=0,0,Setup!$D$16+IF(Setup!$F$16=AV$14,AV$13,0))))</f>
        <v>0</v>
      </c>
      <c r="AW12" s="44" t="n">
        <f aca="false">MAX(0,AV12+AV12*Setup!$C$16/1200-(IF(AV12&lt;=0,0,Setup!$D$16+IF(Setup!$F$16=AW$14,AW$13,0))))</f>
        <v>0</v>
      </c>
      <c r="AX12" s="44" t="n">
        <f aca="false">MAX(0,AW12+AW12*Setup!$C$16/1200-(IF(AW12&lt;=0,0,Setup!$D$16+IF(Setup!$F$16=AX$14,AX$13,0))))</f>
        <v>0</v>
      </c>
      <c r="AY12" s="44" t="n">
        <f aca="false">MAX(0,AX12+AX12*Setup!$C$16/1200-(IF(AX12&lt;=0,0,Setup!$D$16+IF(Setup!$F$16=AY$14,AY$13,0))))</f>
        <v>0</v>
      </c>
      <c r="AZ12" s="44" t="n">
        <f aca="false">MAX(0,AY12+AY12*Setup!$C$16/1200-(IF(AY12&lt;=0,0,Setup!$D$16+IF(Setup!$F$16=AZ$14,AZ$13,0))))</f>
        <v>0</v>
      </c>
      <c r="BA12" s="44" t="n">
        <f aca="false">MAX(0,AZ12+AZ12*Setup!$C$16/1200-(IF(AZ12&lt;=0,0,Setup!$D$16+IF(Setup!$F$16=BA$14,BA$13,0))))</f>
        <v>0</v>
      </c>
      <c r="BB12" s="44" t="n">
        <f aca="false">MAX(0,BA12+BA12*Setup!$C$16/1200-(IF(BA12&lt;=0,0,Setup!$D$16+IF(Setup!$F$16=BB$14,BB$13,0))))</f>
        <v>0</v>
      </c>
      <c r="BC12" s="44" t="n">
        <f aca="false">MAX(0,BB12+BB12*Setup!$C$16/1200-(IF(BB12&lt;=0,0,Setup!$D$16+IF(Setup!$F$16=BC$14,BC$13,0))))</f>
        <v>0</v>
      </c>
      <c r="BD12" s="44" t="n">
        <f aca="false">MAX(0,BC12+BC12*Setup!$C$16/1200-(IF(BC12&lt;=0,0,Setup!$D$16+IF(Setup!$F$16=BD$14,BD$13,0))))</f>
        <v>0</v>
      </c>
      <c r="BE12" s="44" t="n">
        <f aca="false">MAX(0,BD12+BD12*Setup!$C$16/1200-(IF(BD12&lt;=0,0,Setup!$D$16+IF(Setup!$F$16=BE$14,BE$13,0))))</f>
        <v>0</v>
      </c>
      <c r="BF12" s="44" t="n">
        <f aca="false">MAX(0,BE12+BE12*Setup!$C$16/1200-(IF(BE12&lt;=0,0,Setup!$D$16+IF(Setup!$F$16=BF$14,BF$13,0))))</f>
        <v>0</v>
      </c>
      <c r="BG12" s="44" t="n">
        <f aca="false">MAX(0,BF12+BF12*Setup!$C$16/1200-(IF(BF12&lt;=0,0,Setup!$D$16+IF(Setup!$F$16=BG$14,BG$13,0))))</f>
        <v>0</v>
      </c>
      <c r="BH12" s="44" t="n">
        <f aca="false">MAX(0,BG12+BG12*Setup!$C$16/1200-(IF(BG12&lt;=0,0,Setup!$D$16+IF(Setup!$F$16=BH$14,BH$13,0))))</f>
        <v>0</v>
      </c>
      <c r="BI12" s="44" t="n">
        <f aca="false">MAX(0,BH12+BH12*Setup!$C$16/1200-(IF(BH12&lt;=0,0,Setup!$D$16+IF(Setup!$F$16=BI$14,BI$13,0))))</f>
        <v>0</v>
      </c>
      <c r="BJ12" s="44" t="n">
        <f aca="false">MAX(0,BI12+BI12*Setup!$C$16/1200-(IF(BI12&lt;=0,0,Setup!$D$16+IF(Setup!$F$16=BJ$14,BJ$13,0))))</f>
        <v>0</v>
      </c>
    </row>
    <row r="13" customFormat="false" ht="15" hidden="false" customHeight="true" outlineLevel="0" collapsed="false">
      <c r="A13" s="45" t="s">
        <v>61</v>
      </c>
      <c r="C13" s="46" t="n">
        <f aca="false">Setup!$I$4+SUMIFS(Setup!$D$7:$D$16,Engine!$B$3:$B$12,"=0")</f>
        <v>0</v>
      </c>
      <c r="D13" s="46" t="n">
        <f aca="false">Setup!$I$4+SUMIFS(Setup!$D$7:$D$16,Engine!$C$3:$C$12,"=0")</f>
        <v>0</v>
      </c>
      <c r="E13" s="46" t="n">
        <f aca="false">Setup!$I$4+SUMIFS(Setup!$D$7:$D$16,Engine!$D$3:$D$12,"=0")</f>
        <v>0</v>
      </c>
      <c r="F13" s="46" t="n">
        <f aca="false">Setup!$I$4+SUMIFS(Setup!$D$7:$D$16,Engine!$E$3:$E$12,"=0")</f>
        <v>0</v>
      </c>
      <c r="G13" s="46" t="n">
        <f aca="false">Setup!$I$4+SUMIFS(Setup!$D$7:$D$16,Engine!$F$3:$F$12,"=0")</f>
        <v>0</v>
      </c>
      <c r="H13" s="46" t="n">
        <f aca="false">Setup!$I$4+SUMIFS(Setup!$D$7:$D$16,Engine!$G$3:$G$12,"=0")</f>
        <v>0</v>
      </c>
      <c r="I13" s="46" t="n">
        <f aca="false">Setup!$I$4+SUMIFS(Setup!$D$7:$D$16,Engine!$H$3:$H$12,"=0")</f>
        <v>0</v>
      </c>
      <c r="J13" s="46" t="n">
        <f aca="false">Setup!$I$4+SUMIFS(Setup!$D$7:$D$16,Engine!$I$3:$I$12,"=0")</f>
        <v>0</v>
      </c>
      <c r="K13" s="46" t="n">
        <f aca="false">Setup!$I$4+SUMIFS(Setup!$D$7:$D$16,Engine!$J$3:$J$12,"=0")</f>
        <v>0</v>
      </c>
      <c r="L13" s="46" t="n">
        <f aca="false">Setup!$I$4+SUMIFS(Setup!$D$7:$D$16,Engine!$K$3:$K$12,"=0")</f>
        <v>0</v>
      </c>
      <c r="M13" s="46" t="n">
        <f aca="false">Setup!$I$4+SUMIFS(Setup!$D$7:$D$16,Engine!$L$3:$L$12,"=0")</f>
        <v>0</v>
      </c>
      <c r="N13" s="46" t="n">
        <f aca="false">Setup!$I$4+SUMIFS(Setup!$D$7:$D$16,Engine!$M$3:$M$12,"=0")</f>
        <v>0</v>
      </c>
      <c r="O13" s="46" t="n">
        <f aca="false">Setup!$I$4+SUMIFS(Setup!$D$7:$D$16,Engine!$N$3:$N$12,"=0")</f>
        <v>0</v>
      </c>
      <c r="P13" s="46" t="n">
        <f aca="false">Setup!$I$4+SUMIFS(Setup!$D$7:$D$16,Engine!$O$3:$O$12,"=0")</f>
        <v>0</v>
      </c>
      <c r="Q13" s="46" t="n">
        <f aca="false">Setup!$I$4+SUMIFS(Setup!$D$7:$D$16,Engine!$P$3:$P$12,"=0")</f>
        <v>0</v>
      </c>
      <c r="R13" s="46" t="n">
        <f aca="false">Setup!$I$4+SUMIFS(Setup!$D$7:$D$16,Engine!$Q$3:$Q$12,"=0")</f>
        <v>0</v>
      </c>
      <c r="S13" s="46" t="n">
        <f aca="false">Setup!$I$4+SUMIFS(Setup!$D$7:$D$16,Engine!$R$3:$R$12,"=0")</f>
        <v>0</v>
      </c>
      <c r="T13" s="46" t="n">
        <f aca="false">Setup!$I$4+SUMIFS(Setup!$D$7:$D$16,Engine!$S$3:$S$12,"=0")</f>
        <v>0</v>
      </c>
      <c r="U13" s="46" t="n">
        <f aca="false">Setup!$I$4+SUMIFS(Setup!$D$7:$D$16,Engine!$T$3:$T$12,"=0")</f>
        <v>0</v>
      </c>
      <c r="V13" s="46" t="n">
        <f aca="false">Setup!$I$4+SUMIFS(Setup!$D$7:$D$16,Engine!$U$3:$U$12,"=0")</f>
        <v>0</v>
      </c>
      <c r="W13" s="46" t="n">
        <f aca="false">Setup!$I$4+SUMIFS(Setup!$D$7:$D$16,Engine!$V$3:$V$12,"=0")</f>
        <v>0</v>
      </c>
      <c r="X13" s="46" t="n">
        <f aca="false">Setup!$I$4+SUMIFS(Setup!$D$7:$D$16,Engine!$W$3:$W$12,"=0")</f>
        <v>0</v>
      </c>
      <c r="Y13" s="46" t="n">
        <f aca="false">Setup!$I$4+SUMIFS(Setup!$D$7:$D$16,Engine!$X$3:$X$12,"=0")</f>
        <v>0</v>
      </c>
      <c r="Z13" s="46" t="n">
        <f aca="false">Setup!$I$4+SUMIFS(Setup!$D$7:$D$16,Engine!$Y$3:$Y$12,"=0")</f>
        <v>0</v>
      </c>
      <c r="AA13" s="46" t="n">
        <f aca="false">Setup!$I$4+SUMIFS(Setup!$D$7:$D$16,Engine!$Z$3:$Z$12,"=0")</f>
        <v>0</v>
      </c>
      <c r="AB13" s="46" t="n">
        <f aca="false">Setup!$I$4+SUMIFS(Setup!$D$7:$D$16,Engine!$AA$3:$AA$12,"=0")</f>
        <v>0</v>
      </c>
      <c r="AC13" s="46" t="n">
        <f aca="false">Setup!$I$4+SUMIFS(Setup!$D$7:$D$16,Engine!$AB$3:$AB$12,"=0")</f>
        <v>0</v>
      </c>
      <c r="AD13" s="46" t="n">
        <f aca="false">Setup!$I$4+SUMIFS(Setup!$D$7:$D$16,Engine!$AC$3:$AC$12,"=0")</f>
        <v>0</v>
      </c>
      <c r="AE13" s="46" t="n">
        <f aca="false">Setup!$I$4+SUMIFS(Setup!$D$7:$D$16,Engine!$AD$3:$AD$12,"=0")</f>
        <v>0</v>
      </c>
      <c r="AF13" s="46" t="n">
        <f aca="false">Setup!$I$4+SUMIFS(Setup!$D$7:$D$16,Engine!$AE$3:$AE$12,"=0")</f>
        <v>0</v>
      </c>
      <c r="AG13" s="46" t="n">
        <f aca="false">Setup!$I$4+SUMIFS(Setup!$D$7:$D$16,Engine!$AF$3:$AF$12,"=0")</f>
        <v>0</v>
      </c>
      <c r="AH13" s="46" t="n">
        <f aca="false">Setup!$I$4+SUMIFS(Setup!$D$7:$D$16,Engine!$AG$3:$AG$12,"=0")</f>
        <v>0</v>
      </c>
      <c r="AI13" s="46" t="n">
        <f aca="false">Setup!$I$4+SUMIFS(Setup!$D$7:$D$16,Engine!$AH$3:$AH$12,"=0")</f>
        <v>0</v>
      </c>
      <c r="AJ13" s="46" t="n">
        <f aca="false">Setup!$I$4+SUMIFS(Setup!$D$7:$D$16,Engine!$AI$3:$AI$12,"=0")</f>
        <v>0</v>
      </c>
      <c r="AK13" s="46" t="n">
        <f aca="false">Setup!$I$4+SUMIFS(Setup!$D$7:$D$16,Engine!$AJ$3:$AJ$12,"=0")</f>
        <v>0</v>
      </c>
      <c r="AL13" s="46" t="n">
        <f aca="false">Setup!$I$4+SUMIFS(Setup!$D$7:$D$16,Engine!$AK$3:$AK$12,"=0")</f>
        <v>0</v>
      </c>
      <c r="AM13" s="46" t="n">
        <f aca="false">Setup!$I$4+SUMIFS(Setup!$D$7:$D$16,Engine!$AL$3:$AL$12,"=0")</f>
        <v>0</v>
      </c>
      <c r="AN13" s="46" t="n">
        <f aca="false">Setup!$I$4+SUMIFS(Setup!$D$7:$D$16,Engine!$AM$3:$AM$12,"=0")</f>
        <v>0</v>
      </c>
      <c r="AO13" s="46" t="n">
        <f aca="false">Setup!$I$4+SUMIFS(Setup!$D$7:$D$16,Engine!$AN$3:$AN$12,"=0")</f>
        <v>0</v>
      </c>
      <c r="AP13" s="46" t="n">
        <f aca="false">Setup!$I$4+SUMIFS(Setup!$D$7:$D$16,Engine!$AO$3:$AO$12,"=0")</f>
        <v>0</v>
      </c>
      <c r="AQ13" s="46" t="n">
        <f aca="false">Setup!$I$4+SUMIFS(Setup!$D$7:$D$16,Engine!$AP$3:$AP$12,"=0")</f>
        <v>0</v>
      </c>
      <c r="AR13" s="46" t="n">
        <f aca="false">Setup!$I$4+SUMIFS(Setup!$D$7:$D$16,Engine!$AQ$3:$AQ$12,"=0")</f>
        <v>0</v>
      </c>
      <c r="AS13" s="46" t="n">
        <f aca="false">Setup!$I$4+SUMIFS(Setup!$D$7:$D$16,Engine!$AR$3:$AR$12,"=0")</f>
        <v>0</v>
      </c>
      <c r="AT13" s="46" t="n">
        <f aca="false">Setup!$I$4+SUMIFS(Setup!$D$7:$D$16,Engine!$AS$3:$AS$12,"=0")</f>
        <v>0</v>
      </c>
      <c r="AU13" s="46" t="n">
        <f aca="false">Setup!$I$4+SUMIFS(Setup!$D$7:$D$16,Engine!$AT$3:$AT$12,"=0")</f>
        <v>0</v>
      </c>
      <c r="AV13" s="46" t="n">
        <f aca="false">Setup!$I$4+SUMIFS(Setup!$D$7:$D$16,Engine!$AU$3:$AU$12,"=0")</f>
        <v>0</v>
      </c>
      <c r="AW13" s="46" t="n">
        <f aca="false">Setup!$I$4+SUMIFS(Setup!$D$7:$D$16,Engine!$AV$3:$AV$12,"=0")</f>
        <v>0</v>
      </c>
      <c r="AX13" s="46" t="n">
        <f aca="false">Setup!$I$4+SUMIFS(Setup!$D$7:$D$16,Engine!$AW$3:$AW$12,"=0")</f>
        <v>0</v>
      </c>
      <c r="AY13" s="46" t="n">
        <f aca="false">Setup!$I$4+SUMIFS(Setup!$D$7:$D$16,Engine!$AX$3:$AX$12,"=0")</f>
        <v>0</v>
      </c>
      <c r="AZ13" s="46" t="n">
        <f aca="false">Setup!$I$4+SUMIFS(Setup!$D$7:$D$16,Engine!$AY$3:$AY$12,"=0")</f>
        <v>0</v>
      </c>
      <c r="BA13" s="46" t="n">
        <f aca="false">Setup!$I$4+SUMIFS(Setup!$D$7:$D$16,Engine!$AZ$3:$AZ$12,"=0")</f>
        <v>0</v>
      </c>
      <c r="BB13" s="46" t="n">
        <f aca="false">Setup!$I$4+SUMIFS(Setup!$D$7:$D$16,Engine!$BA$3:$BA$12,"=0")</f>
        <v>0</v>
      </c>
      <c r="BC13" s="46" t="n">
        <f aca="false">Setup!$I$4+SUMIFS(Setup!$D$7:$D$16,Engine!$BB$3:$BB$12,"=0")</f>
        <v>0</v>
      </c>
      <c r="BD13" s="46" t="n">
        <f aca="false">Setup!$I$4+SUMIFS(Setup!$D$7:$D$16,Engine!$BC$3:$BC$12,"=0")</f>
        <v>0</v>
      </c>
      <c r="BE13" s="46" t="n">
        <f aca="false">Setup!$I$4+SUMIFS(Setup!$D$7:$D$16,Engine!$BD$3:$BD$12,"=0")</f>
        <v>0</v>
      </c>
      <c r="BF13" s="46" t="n">
        <f aca="false">Setup!$I$4+SUMIFS(Setup!$D$7:$D$16,Engine!$BE$3:$BE$12,"=0")</f>
        <v>0</v>
      </c>
      <c r="BG13" s="46" t="n">
        <f aca="false">Setup!$I$4+SUMIFS(Setup!$D$7:$D$16,Engine!$BF$3:$BF$12,"=0")</f>
        <v>0</v>
      </c>
      <c r="BH13" s="46" t="n">
        <f aca="false">Setup!$I$4+SUMIFS(Setup!$D$7:$D$16,Engine!$BG$3:$BG$12,"=0")</f>
        <v>0</v>
      </c>
      <c r="BI13" s="46" t="n">
        <f aca="false">Setup!$I$4+SUMIFS(Setup!$D$7:$D$16,Engine!$BH$3:$BH$12,"=0")</f>
        <v>0</v>
      </c>
      <c r="BJ13" s="46" t="n">
        <f aca="false">Setup!$I$4+SUMIFS(Setup!$D$7:$D$16,Engine!$BI$3:$BI$12,"=0")</f>
        <v>0</v>
      </c>
    </row>
    <row r="14" customFormat="false" ht="15" hidden="false" customHeight="true" outlineLevel="0" collapsed="false">
      <c r="A14" s="45" t="s">
        <v>62</v>
      </c>
      <c r="C14" s="44" t="n">
        <f aca="false">_xlfn.MINIFS(Setup!$F$7:$F$16,Engine!$B$3:$B$12,"&gt;0")</f>
        <v>0</v>
      </c>
      <c r="D14" s="44" t="n">
        <f aca="false">_xlfn.MINIFS(Setup!$F$7:$F$16,Engine!$C$3:$C$12,"&gt;0")</f>
        <v>0</v>
      </c>
      <c r="E14" s="44" t="n">
        <f aca="false">_xlfn.MINIFS(Setup!$F$7:$F$16,Engine!$D$3:$D$12,"&gt;0")</f>
        <v>0</v>
      </c>
      <c r="F14" s="44" t="n">
        <f aca="false">_xlfn.MINIFS(Setup!$F$7:$F$16,Engine!$E$3:$E$12,"&gt;0")</f>
        <v>0</v>
      </c>
      <c r="G14" s="44" t="n">
        <f aca="false">_xlfn.MINIFS(Setup!$F$7:$F$16,Engine!$F$3:$F$12,"&gt;0")</f>
        <v>0</v>
      </c>
      <c r="H14" s="44" t="n">
        <f aca="false">_xlfn.MINIFS(Setup!$F$7:$F$16,Engine!$G$3:$G$12,"&gt;0")</f>
        <v>0</v>
      </c>
      <c r="I14" s="44" t="n">
        <f aca="false">_xlfn.MINIFS(Setup!$F$7:$F$16,Engine!$H$3:$H$12,"&gt;0")</f>
        <v>0</v>
      </c>
      <c r="J14" s="44" t="n">
        <f aca="false">_xlfn.MINIFS(Setup!$F$7:$F$16,Engine!$I$3:$I$12,"&gt;0")</f>
        <v>0</v>
      </c>
      <c r="K14" s="44" t="n">
        <f aca="false">_xlfn.MINIFS(Setup!$F$7:$F$16,Engine!$J$3:$J$12,"&gt;0")</f>
        <v>0</v>
      </c>
      <c r="L14" s="44" t="n">
        <f aca="false">_xlfn.MINIFS(Setup!$F$7:$F$16,Engine!$K$3:$K$12,"&gt;0")</f>
        <v>0</v>
      </c>
      <c r="M14" s="44" t="n">
        <f aca="false">_xlfn.MINIFS(Setup!$F$7:$F$16,Engine!$L$3:$L$12,"&gt;0")</f>
        <v>0</v>
      </c>
      <c r="N14" s="44" t="n">
        <f aca="false">_xlfn.MINIFS(Setup!$F$7:$F$16,Engine!$M$3:$M$12,"&gt;0")</f>
        <v>0</v>
      </c>
      <c r="O14" s="44" t="n">
        <f aca="false">_xlfn.MINIFS(Setup!$F$7:$F$16,Engine!$N$3:$N$12,"&gt;0")</f>
        <v>0</v>
      </c>
      <c r="P14" s="44" t="n">
        <f aca="false">_xlfn.MINIFS(Setup!$F$7:$F$16,Engine!$O$3:$O$12,"&gt;0")</f>
        <v>0</v>
      </c>
      <c r="Q14" s="44" t="n">
        <f aca="false">_xlfn.MINIFS(Setup!$F$7:$F$16,Engine!$P$3:$P$12,"&gt;0")</f>
        <v>0</v>
      </c>
      <c r="R14" s="44" t="n">
        <f aca="false">_xlfn.MINIFS(Setup!$F$7:$F$16,Engine!$Q$3:$Q$12,"&gt;0")</f>
        <v>0</v>
      </c>
      <c r="S14" s="44" t="n">
        <f aca="false">_xlfn.MINIFS(Setup!$F$7:$F$16,Engine!$R$3:$R$12,"&gt;0")</f>
        <v>0</v>
      </c>
      <c r="T14" s="44" t="n">
        <f aca="false">_xlfn.MINIFS(Setup!$F$7:$F$16,Engine!$S$3:$S$12,"&gt;0")</f>
        <v>0</v>
      </c>
      <c r="U14" s="44" t="n">
        <f aca="false">_xlfn.MINIFS(Setup!$F$7:$F$16,Engine!$T$3:$T$12,"&gt;0")</f>
        <v>0</v>
      </c>
      <c r="V14" s="44" t="n">
        <f aca="false">_xlfn.MINIFS(Setup!$F$7:$F$16,Engine!$U$3:$U$12,"&gt;0")</f>
        <v>0</v>
      </c>
      <c r="W14" s="44" t="n">
        <f aca="false">_xlfn.MINIFS(Setup!$F$7:$F$16,Engine!$V$3:$V$12,"&gt;0")</f>
        <v>0</v>
      </c>
      <c r="X14" s="44" t="n">
        <f aca="false">_xlfn.MINIFS(Setup!$F$7:$F$16,Engine!$W$3:$W$12,"&gt;0")</f>
        <v>0</v>
      </c>
      <c r="Y14" s="44" t="n">
        <f aca="false">_xlfn.MINIFS(Setup!$F$7:$F$16,Engine!$X$3:$X$12,"&gt;0")</f>
        <v>0</v>
      </c>
      <c r="Z14" s="44" t="n">
        <f aca="false">_xlfn.MINIFS(Setup!$F$7:$F$16,Engine!$Y$3:$Y$12,"&gt;0")</f>
        <v>0</v>
      </c>
      <c r="AA14" s="44" t="n">
        <f aca="false">_xlfn.MINIFS(Setup!$F$7:$F$16,Engine!$Z$3:$Z$12,"&gt;0")</f>
        <v>0</v>
      </c>
      <c r="AB14" s="44" t="n">
        <f aca="false">_xlfn.MINIFS(Setup!$F$7:$F$16,Engine!$AA$3:$AA$12,"&gt;0")</f>
        <v>0</v>
      </c>
      <c r="AC14" s="44" t="n">
        <f aca="false">_xlfn.MINIFS(Setup!$F$7:$F$16,Engine!$AB$3:$AB$12,"&gt;0")</f>
        <v>0</v>
      </c>
      <c r="AD14" s="44" t="n">
        <f aca="false">_xlfn.MINIFS(Setup!$F$7:$F$16,Engine!$AC$3:$AC$12,"&gt;0")</f>
        <v>0</v>
      </c>
      <c r="AE14" s="44" t="n">
        <f aca="false">_xlfn.MINIFS(Setup!$F$7:$F$16,Engine!$AD$3:$AD$12,"&gt;0")</f>
        <v>0</v>
      </c>
      <c r="AF14" s="44" t="n">
        <f aca="false">_xlfn.MINIFS(Setup!$F$7:$F$16,Engine!$AE$3:$AE$12,"&gt;0")</f>
        <v>0</v>
      </c>
      <c r="AG14" s="44" t="n">
        <f aca="false">_xlfn.MINIFS(Setup!$F$7:$F$16,Engine!$AF$3:$AF$12,"&gt;0")</f>
        <v>0</v>
      </c>
      <c r="AH14" s="44" t="n">
        <f aca="false">_xlfn.MINIFS(Setup!$F$7:$F$16,Engine!$AG$3:$AG$12,"&gt;0")</f>
        <v>0</v>
      </c>
      <c r="AI14" s="44" t="n">
        <f aca="false">_xlfn.MINIFS(Setup!$F$7:$F$16,Engine!$AH$3:$AH$12,"&gt;0")</f>
        <v>0</v>
      </c>
      <c r="AJ14" s="44" t="n">
        <f aca="false">_xlfn.MINIFS(Setup!$F$7:$F$16,Engine!$AI$3:$AI$12,"&gt;0")</f>
        <v>0</v>
      </c>
      <c r="AK14" s="44" t="n">
        <f aca="false">_xlfn.MINIFS(Setup!$F$7:$F$16,Engine!$AJ$3:$AJ$12,"&gt;0")</f>
        <v>0</v>
      </c>
      <c r="AL14" s="44" t="n">
        <f aca="false">_xlfn.MINIFS(Setup!$F$7:$F$16,Engine!$AK$3:$AK$12,"&gt;0")</f>
        <v>0</v>
      </c>
      <c r="AM14" s="44" t="n">
        <f aca="false">_xlfn.MINIFS(Setup!$F$7:$F$16,Engine!$AL$3:$AL$12,"&gt;0")</f>
        <v>0</v>
      </c>
      <c r="AN14" s="44" t="n">
        <f aca="false">_xlfn.MINIFS(Setup!$F$7:$F$16,Engine!$AM$3:$AM$12,"&gt;0")</f>
        <v>0</v>
      </c>
      <c r="AO14" s="44" t="n">
        <f aca="false">_xlfn.MINIFS(Setup!$F$7:$F$16,Engine!$AN$3:$AN$12,"&gt;0")</f>
        <v>0</v>
      </c>
      <c r="AP14" s="44" t="n">
        <f aca="false">_xlfn.MINIFS(Setup!$F$7:$F$16,Engine!$AO$3:$AO$12,"&gt;0")</f>
        <v>0</v>
      </c>
      <c r="AQ14" s="44" t="n">
        <f aca="false">_xlfn.MINIFS(Setup!$F$7:$F$16,Engine!$AP$3:$AP$12,"&gt;0")</f>
        <v>0</v>
      </c>
      <c r="AR14" s="44" t="n">
        <f aca="false">_xlfn.MINIFS(Setup!$F$7:$F$16,Engine!$AQ$3:$AQ$12,"&gt;0")</f>
        <v>0</v>
      </c>
      <c r="AS14" s="44" t="n">
        <f aca="false">_xlfn.MINIFS(Setup!$F$7:$F$16,Engine!$AR$3:$AR$12,"&gt;0")</f>
        <v>0</v>
      </c>
      <c r="AT14" s="44" t="n">
        <f aca="false">_xlfn.MINIFS(Setup!$F$7:$F$16,Engine!$AS$3:$AS$12,"&gt;0")</f>
        <v>0</v>
      </c>
      <c r="AU14" s="44" t="n">
        <f aca="false">_xlfn.MINIFS(Setup!$F$7:$F$16,Engine!$AT$3:$AT$12,"&gt;0")</f>
        <v>0</v>
      </c>
      <c r="AV14" s="44" t="n">
        <f aca="false">_xlfn.MINIFS(Setup!$F$7:$F$16,Engine!$AU$3:$AU$12,"&gt;0")</f>
        <v>0</v>
      </c>
      <c r="AW14" s="44" t="n">
        <f aca="false">_xlfn.MINIFS(Setup!$F$7:$F$16,Engine!$AV$3:$AV$12,"&gt;0")</f>
        <v>0</v>
      </c>
      <c r="AX14" s="44" t="n">
        <f aca="false">_xlfn.MINIFS(Setup!$F$7:$F$16,Engine!$AW$3:$AW$12,"&gt;0")</f>
        <v>0</v>
      </c>
      <c r="AY14" s="44" t="n">
        <f aca="false">_xlfn.MINIFS(Setup!$F$7:$F$16,Engine!$AX$3:$AX$12,"&gt;0")</f>
        <v>0</v>
      </c>
      <c r="AZ14" s="44" t="n">
        <f aca="false">_xlfn.MINIFS(Setup!$F$7:$F$16,Engine!$AY$3:$AY$12,"&gt;0")</f>
        <v>0</v>
      </c>
      <c r="BA14" s="44" t="n">
        <f aca="false">_xlfn.MINIFS(Setup!$F$7:$F$16,Engine!$AZ$3:$AZ$12,"&gt;0")</f>
        <v>0</v>
      </c>
      <c r="BB14" s="44" t="n">
        <f aca="false">_xlfn.MINIFS(Setup!$F$7:$F$16,Engine!$BA$3:$BA$12,"&gt;0")</f>
        <v>0</v>
      </c>
      <c r="BC14" s="44" t="n">
        <f aca="false">_xlfn.MINIFS(Setup!$F$7:$F$16,Engine!$BB$3:$BB$12,"&gt;0")</f>
        <v>0</v>
      </c>
      <c r="BD14" s="44" t="n">
        <f aca="false">_xlfn.MINIFS(Setup!$F$7:$F$16,Engine!$BC$3:$BC$12,"&gt;0")</f>
        <v>0</v>
      </c>
      <c r="BE14" s="44" t="n">
        <f aca="false">_xlfn.MINIFS(Setup!$F$7:$F$16,Engine!$BD$3:$BD$12,"&gt;0")</f>
        <v>0</v>
      </c>
      <c r="BF14" s="44" t="n">
        <f aca="false">_xlfn.MINIFS(Setup!$F$7:$F$16,Engine!$BE$3:$BE$12,"&gt;0")</f>
        <v>0</v>
      </c>
      <c r="BG14" s="44" t="n">
        <f aca="false">_xlfn.MINIFS(Setup!$F$7:$F$16,Engine!$BF$3:$BF$12,"&gt;0")</f>
        <v>0</v>
      </c>
      <c r="BH14" s="44" t="n">
        <f aca="false">_xlfn.MINIFS(Setup!$F$7:$F$16,Engine!$BG$3:$BG$12,"&gt;0")</f>
        <v>0</v>
      </c>
      <c r="BI14" s="44" t="n">
        <f aca="false">_xlfn.MINIFS(Setup!$F$7:$F$16,Engine!$BH$3:$BH$12,"&gt;0")</f>
        <v>0</v>
      </c>
      <c r="BJ14" s="44" t="n">
        <f aca="false">_xlfn.MINIFS(Setup!$F$7:$F$16,Engine!$BI$3:$BI$12,"&gt;0")</f>
        <v>0</v>
      </c>
    </row>
    <row r="15" customFormat="false" ht="15" hidden="false" customHeight="true" outlineLevel="0" collapsed="false">
      <c r="A15" s="47" t="s">
        <v>63</v>
      </c>
      <c r="B15" s="48" t="n">
        <f aca="false">SUM(B3:B12)</f>
        <v>0</v>
      </c>
      <c r="C15" s="48" t="n">
        <f aca="false">SUM(C3:C12)</f>
        <v>0</v>
      </c>
      <c r="D15" s="48" t="n">
        <f aca="false">SUM(D3:D12)</f>
        <v>0</v>
      </c>
      <c r="E15" s="48" t="n">
        <f aca="false">SUM(E3:E12)</f>
        <v>0</v>
      </c>
      <c r="F15" s="48" t="n">
        <f aca="false">SUM(F3:F12)</f>
        <v>0</v>
      </c>
      <c r="G15" s="48" t="n">
        <f aca="false">SUM(G3:G12)</f>
        <v>0</v>
      </c>
      <c r="H15" s="48" t="n">
        <f aca="false">SUM(H3:H12)</f>
        <v>0</v>
      </c>
      <c r="I15" s="48" t="n">
        <f aca="false">SUM(I3:I12)</f>
        <v>0</v>
      </c>
      <c r="J15" s="48" t="n">
        <f aca="false">SUM(J3:J12)</f>
        <v>0</v>
      </c>
      <c r="K15" s="48" t="n">
        <f aca="false">SUM(K3:K12)</f>
        <v>0</v>
      </c>
      <c r="L15" s="48" t="n">
        <f aca="false">SUM(L3:L12)</f>
        <v>0</v>
      </c>
      <c r="M15" s="48" t="n">
        <f aca="false">SUM(M3:M12)</f>
        <v>0</v>
      </c>
      <c r="N15" s="48" t="n">
        <f aca="false">SUM(N3:N12)</f>
        <v>0</v>
      </c>
      <c r="O15" s="48" t="n">
        <f aca="false">SUM(O3:O12)</f>
        <v>0</v>
      </c>
      <c r="P15" s="48" t="n">
        <f aca="false">SUM(P3:P12)</f>
        <v>0</v>
      </c>
      <c r="Q15" s="48" t="n">
        <f aca="false">SUM(Q3:Q12)</f>
        <v>0</v>
      </c>
      <c r="R15" s="48" t="n">
        <f aca="false">SUM(R3:R12)</f>
        <v>0</v>
      </c>
      <c r="S15" s="48" t="n">
        <f aca="false">SUM(S3:S12)</f>
        <v>0</v>
      </c>
      <c r="T15" s="48" t="n">
        <f aca="false">SUM(T3:T12)</f>
        <v>0</v>
      </c>
      <c r="U15" s="48" t="n">
        <f aca="false">SUM(U3:U12)</f>
        <v>0</v>
      </c>
      <c r="V15" s="48" t="n">
        <f aca="false">SUM(V3:V12)</f>
        <v>0</v>
      </c>
      <c r="W15" s="48" t="n">
        <f aca="false">SUM(W3:W12)</f>
        <v>0</v>
      </c>
      <c r="X15" s="48" t="n">
        <f aca="false">SUM(X3:X12)</f>
        <v>0</v>
      </c>
      <c r="Y15" s="48" t="n">
        <f aca="false">SUM(Y3:Y12)</f>
        <v>0</v>
      </c>
      <c r="Z15" s="48" t="n">
        <f aca="false">SUM(Z3:Z12)</f>
        <v>0</v>
      </c>
      <c r="AA15" s="48" t="n">
        <f aca="false">SUM(AA3:AA12)</f>
        <v>0</v>
      </c>
      <c r="AB15" s="48" t="n">
        <f aca="false">SUM(AB3:AB12)</f>
        <v>0</v>
      </c>
      <c r="AC15" s="48" t="n">
        <f aca="false">SUM(AC3:AC12)</f>
        <v>0</v>
      </c>
      <c r="AD15" s="48" t="n">
        <f aca="false">SUM(AD3:AD12)</f>
        <v>0</v>
      </c>
      <c r="AE15" s="48" t="n">
        <f aca="false">SUM(AE3:AE12)</f>
        <v>0</v>
      </c>
      <c r="AF15" s="48" t="n">
        <f aca="false">SUM(AF3:AF12)</f>
        <v>0</v>
      </c>
      <c r="AG15" s="48" t="n">
        <f aca="false">SUM(AG3:AG12)</f>
        <v>0</v>
      </c>
      <c r="AH15" s="48" t="n">
        <f aca="false">SUM(AH3:AH12)</f>
        <v>0</v>
      </c>
      <c r="AI15" s="48" t="n">
        <f aca="false">SUM(AI3:AI12)</f>
        <v>0</v>
      </c>
      <c r="AJ15" s="48" t="n">
        <f aca="false">SUM(AJ3:AJ12)</f>
        <v>0</v>
      </c>
      <c r="AK15" s="48" t="n">
        <f aca="false">SUM(AK3:AK12)</f>
        <v>0</v>
      </c>
      <c r="AL15" s="48" t="n">
        <f aca="false">SUM(AL3:AL12)</f>
        <v>0</v>
      </c>
      <c r="AM15" s="48" t="n">
        <f aca="false">SUM(AM3:AM12)</f>
        <v>0</v>
      </c>
      <c r="AN15" s="48" t="n">
        <f aca="false">SUM(AN3:AN12)</f>
        <v>0</v>
      </c>
      <c r="AO15" s="48" t="n">
        <f aca="false">SUM(AO3:AO12)</f>
        <v>0</v>
      </c>
      <c r="AP15" s="48" t="n">
        <f aca="false">SUM(AP3:AP12)</f>
        <v>0</v>
      </c>
      <c r="AQ15" s="48" t="n">
        <f aca="false">SUM(AQ3:AQ12)</f>
        <v>0</v>
      </c>
      <c r="AR15" s="48" t="n">
        <f aca="false">SUM(AR3:AR12)</f>
        <v>0</v>
      </c>
      <c r="AS15" s="48" t="n">
        <f aca="false">SUM(AS3:AS12)</f>
        <v>0</v>
      </c>
      <c r="AT15" s="48" t="n">
        <f aca="false">SUM(AT3:AT12)</f>
        <v>0</v>
      </c>
      <c r="AU15" s="48" t="n">
        <f aca="false">SUM(AU3:AU12)</f>
        <v>0</v>
      </c>
      <c r="AV15" s="48" t="n">
        <f aca="false">SUM(AV3:AV12)</f>
        <v>0</v>
      </c>
      <c r="AW15" s="48" t="n">
        <f aca="false">SUM(AW3:AW12)</f>
        <v>0</v>
      </c>
      <c r="AX15" s="48" t="n">
        <f aca="false">SUM(AX3:AX12)</f>
        <v>0</v>
      </c>
      <c r="AY15" s="48" t="n">
        <f aca="false">SUM(AY3:AY12)</f>
        <v>0</v>
      </c>
      <c r="AZ15" s="48" t="n">
        <f aca="false">SUM(AZ3:AZ12)</f>
        <v>0</v>
      </c>
      <c r="BA15" s="48" t="n">
        <f aca="false">SUM(BA3:BA12)</f>
        <v>0</v>
      </c>
      <c r="BB15" s="48" t="n">
        <f aca="false">SUM(BB3:BB12)</f>
        <v>0</v>
      </c>
      <c r="BC15" s="48" t="n">
        <f aca="false">SUM(BC3:BC12)</f>
        <v>0</v>
      </c>
      <c r="BD15" s="48" t="n">
        <f aca="false">SUM(BD3:BD12)</f>
        <v>0</v>
      </c>
      <c r="BE15" s="48" t="n">
        <f aca="false">SUM(BE3:BE12)</f>
        <v>0</v>
      </c>
      <c r="BF15" s="48" t="n">
        <f aca="false">SUM(BF3:BF12)</f>
        <v>0</v>
      </c>
      <c r="BG15" s="48" t="n">
        <f aca="false">SUM(BG3:BG12)</f>
        <v>0</v>
      </c>
      <c r="BH15" s="48" t="n">
        <f aca="false">SUM(BH3:BH12)</f>
        <v>0</v>
      </c>
      <c r="BI15" s="48" t="n">
        <f aca="false">SUM(BI3:BI12)</f>
        <v>0</v>
      </c>
      <c r="BJ15" s="48" t="n">
        <f aca="false">SUM(BJ3:BJ12)</f>
        <v>0</v>
      </c>
    </row>
    <row r="16" customFormat="false" ht="15" hidden="false" customHeight="true" outlineLevel="0" collapsed="false">
      <c r="A16" s="45" t="s">
        <v>64</v>
      </c>
      <c r="C16" s="44" t="n">
        <f aca="false">SUMPRODUCT(Engine!$B$3:$B$12,Setup!$C$7:$C$16)/1200</f>
        <v>0</v>
      </c>
      <c r="D16" s="44" t="n">
        <f aca="false">SUMPRODUCT(Engine!$C$3:$C$12,Setup!$C$7:$C$16)/1200</f>
        <v>0</v>
      </c>
      <c r="E16" s="44" t="n">
        <f aca="false">SUMPRODUCT(Engine!$D$3:$D$12,Setup!$C$7:$C$16)/1200</f>
        <v>0</v>
      </c>
      <c r="F16" s="44" t="n">
        <f aca="false">SUMPRODUCT(Engine!$E$3:$E$12,Setup!$C$7:$C$16)/1200</f>
        <v>0</v>
      </c>
      <c r="G16" s="44" t="n">
        <f aca="false">SUMPRODUCT(Engine!$F$3:$F$12,Setup!$C$7:$C$16)/1200</f>
        <v>0</v>
      </c>
      <c r="H16" s="44" t="n">
        <f aca="false">SUMPRODUCT(Engine!$G$3:$G$12,Setup!$C$7:$C$16)/1200</f>
        <v>0</v>
      </c>
      <c r="I16" s="44" t="n">
        <f aca="false">SUMPRODUCT(Engine!$H$3:$H$12,Setup!$C$7:$C$16)/1200</f>
        <v>0</v>
      </c>
      <c r="J16" s="44" t="n">
        <f aca="false">SUMPRODUCT(Engine!$I$3:$I$12,Setup!$C$7:$C$16)/1200</f>
        <v>0</v>
      </c>
      <c r="K16" s="44" t="n">
        <f aca="false">SUMPRODUCT(Engine!$J$3:$J$12,Setup!$C$7:$C$16)/1200</f>
        <v>0</v>
      </c>
      <c r="L16" s="44" t="n">
        <f aca="false">SUMPRODUCT(Engine!$K$3:$K$12,Setup!$C$7:$C$16)/1200</f>
        <v>0</v>
      </c>
      <c r="M16" s="44" t="n">
        <f aca="false">SUMPRODUCT(Engine!$L$3:$L$12,Setup!$C$7:$C$16)/1200</f>
        <v>0</v>
      </c>
      <c r="N16" s="44" t="n">
        <f aca="false">SUMPRODUCT(Engine!$M$3:$M$12,Setup!$C$7:$C$16)/1200</f>
        <v>0</v>
      </c>
      <c r="O16" s="44" t="n">
        <f aca="false">SUMPRODUCT(Engine!$N$3:$N$12,Setup!$C$7:$C$16)/1200</f>
        <v>0</v>
      </c>
      <c r="P16" s="44" t="n">
        <f aca="false">SUMPRODUCT(Engine!$O$3:$O$12,Setup!$C$7:$C$16)/1200</f>
        <v>0</v>
      </c>
      <c r="Q16" s="44" t="n">
        <f aca="false">SUMPRODUCT(Engine!$P$3:$P$12,Setup!$C$7:$C$16)/1200</f>
        <v>0</v>
      </c>
      <c r="R16" s="44" t="n">
        <f aca="false">SUMPRODUCT(Engine!$Q$3:$Q$12,Setup!$C$7:$C$16)/1200</f>
        <v>0</v>
      </c>
      <c r="S16" s="44" t="n">
        <f aca="false">SUMPRODUCT(Engine!$R$3:$R$12,Setup!$C$7:$C$16)/1200</f>
        <v>0</v>
      </c>
      <c r="T16" s="44" t="n">
        <f aca="false">SUMPRODUCT(Engine!$S$3:$S$12,Setup!$C$7:$C$16)/1200</f>
        <v>0</v>
      </c>
      <c r="U16" s="44" t="n">
        <f aca="false">SUMPRODUCT(Engine!$T$3:$T$12,Setup!$C$7:$C$16)/1200</f>
        <v>0</v>
      </c>
      <c r="V16" s="44" t="n">
        <f aca="false">SUMPRODUCT(Engine!$U$3:$U$12,Setup!$C$7:$C$16)/1200</f>
        <v>0</v>
      </c>
      <c r="W16" s="44" t="n">
        <f aca="false">SUMPRODUCT(Engine!$V$3:$V$12,Setup!$C$7:$C$16)/1200</f>
        <v>0</v>
      </c>
      <c r="X16" s="44" t="n">
        <f aca="false">SUMPRODUCT(Engine!$W$3:$W$12,Setup!$C$7:$C$16)/1200</f>
        <v>0</v>
      </c>
      <c r="Y16" s="44" t="n">
        <f aca="false">SUMPRODUCT(Engine!$X$3:$X$12,Setup!$C$7:$C$16)/1200</f>
        <v>0</v>
      </c>
      <c r="Z16" s="44" t="n">
        <f aca="false">SUMPRODUCT(Engine!$Y$3:$Y$12,Setup!$C$7:$C$16)/1200</f>
        <v>0</v>
      </c>
      <c r="AA16" s="44" t="n">
        <f aca="false">SUMPRODUCT(Engine!$Z$3:$Z$12,Setup!$C$7:$C$16)/1200</f>
        <v>0</v>
      </c>
      <c r="AB16" s="44" t="n">
        <f aca="false">SUMPRODUCT(Engine!$AA$3:$AA$12,Setup!$C$7:$C$16)/1200</f>
        <v>0</v>
      </c>
      <c r="AC16" s="44" t="n">
        <f aca="false">SUMPRODUCT(Engine!$AB$3:$AB$12,Setup!$C$7:$C$16)/1200</f>
        <v>0</v>
      </c>
      <c r="AD16" s="44" t="n">
        <f aca="false">SUMPRODUCT(Engine!$AC$3:$AC$12,Setup!$C$7:$C$16)/1200</f>
        <v>0</v>
      </c>
      <c r="AE16" s="44" t="n">
        <f aca="false">SUMPRODUCT(Engine!$AD$3:$AD$12,Setup!$C$7:$C$16)/1200</f>
        <v>0</v>
      </c>
      <c r="AF16" s="44" t="n">
        <f aca="false">SUMPRODUCT(Engine!$AE$3:$AE$12,Setup!$C$7:$C$16)/1200</f>
        <v>0</v>
      </c>
      <c r="AG16" s="44" t="n">
        <f aca="false">SUMPRODUCT(Engine!$AF$3:$AF$12,Setup!$C$7:$C$16)/1200</f>
        <v>0</v>
      </c>
      <c r="AH16" s="44" t="n">
        <f aca="false">SUMPRODUCT(Engine!$AG$3:$AG$12,Setup!$C$7:$C$16)/1200</f>
        <v>0</v>
      </c>
      <c r="AI16" s="44" t="n">
        <f aca="false">SUMPRODUCT(Engine!$AH$3:$AH$12,Setup!$C$7:$C$16)/1200</f>
        <v>0</v>
      </c>
      <c r="AJ16" s="44" t="n">
        <f aca="false">SUMPRODUCT(Engine!$AI$3:$AI$12,Setup!$C$7:$C$16)/1200</f>
        <v>0</v>
      </c>
      <c r="AK16" s="44" t="n">
        <f aca="false">SUMPRODUCT(Engine!$AJ$3:$AJ$12,Setup!$C$7:$C$16)/1200</f>
        <v>0</v>
      </c>
      <c r="AL16" s="44" t="n">
        <f aca="false">SUMPRODUCT(Engine!$AK$3:$AK$12,Setup!$C$7:$C$16)/1200</f>
        <v>0</v>
      </c>
      <c r="AM16" s="44" t="n">
        <f aca="false">SUMPRODUCT(Engine!$AL$3:$AL$12,Setup!$C$7:$C$16)/1200</f>
        <v>0</v>
      </c>
      <c r="AN16" s="44" t="n">
        <f aca="false">SUMPRODUCT(Engine!$AM$3:$AM$12,Setup!$C$7:$C$16)/1200</f>
        <v>0</v>
      </c>
      <c r="AO16" s="44" t="n">
        <f aca="false">SUMPRODUCT(Engine!$AN$3:$AN$12,Setup!$C$7:$C$16)/1200</f>
        <v>0</v>
      </c>
      <c r="AP16" s="44" t="n">
        <f aca="false">SUMPRODUCT(Engine!$AO$3:$AO$12,Setup!$C$7:$C$16)/1200</f>
        <v>0</v>
      </c>
      <c r="AQ16" s="44" t="n">
        <f aca="false">SUMPRODUCT(Engine!$AP$3:$AP$12,Setup!$C$7:$C$16)/1200</f>
        <v>0</v>
      </c>
      <c r="AR16" s="44" t="n">
        <f aca="false">SUMPRODUCT(Engine!$AQ$3:$AQ$12,Setup!$C$7:$C$16)/1200</f>
        <v>0</v>
      </c>
      <c r="AS16" s="44" t="n">
        <f aca="false">SUMPRODUCT(Engine!$AR$3:$AR$12,Setup!$C$7:$C$16)/1200</f>
        <v>0</v>
      </c>
      <c r="AT16" s="44" t="n">
        <f aca="false">SUMPRODUCT(Engine!$AS$3:$AS$12,Setup!$C$7:$C$16)/1200</f>
        <v>0</v>
      </c>
      <c r="AU16" s="44" t="n">
        <f aca="false">SUMPRODUCT(Engine!$AT$3:$AT$12,Setup!$C$7:$C$16)/1200</f>
        <v>0</v>
      </c>
      <c r="AV16" s="44" t="n">
        <f aca="false">SUMPRODUCT(Engine!$AU$3:$AU$12,Setup!$C$7:$C$16)/1200</f>
        <v>0</v>
      </c>
      <c r="AW16" s="44" t="n">
        <f aca="false">SUMPRODUCT(Engine!$AV$3:$AV$12,Setup!$C$7:$C$16)/1200</f>
        <v>0</v>
      </c>
      <c r="AX16" s="44" t="n">
        <f aca="false">SUMPRODUCT(Engine!$AW$3:$AW$12,Setup!$C$7:$C$16)/1200</f>
        <v>0</v>
      </c>
      <c r="AY16" s="44" t="n">
        <f aca="false">SUMPRODUCT(Engine!$AX$3:$AX$12,Setup!$C$7:$C$16)/1200</f>
        <v>0</v>
      </c>
      <c r="AZ16" s="44" t="n">
        <f aca="false">SUMPRODUCT(Engine!$AY$3:$AY$12,Setup!$C$7:$C$16)/1200</f>
        <v>0</v>
      </c>
      <c r="BA16" s="44" t="n">
        <f aca="false">SUMPRODUCT(Engine!$AZ$3:$AZ$12,Setup!$C$7:$C$16)/1200</f>
        <v>0</v>
      </c>
      <c r="BB16" s="44" t="n">
        <f aca="false">SUMPRODUCT(Engine!$BA$3:$BA$12,Setup!$C$7:$C$16)/1200</f>
        <v>0</v>
      </c>
      <c r="BC16" s="44" t="n">
        <f aca="false">SUMPRODUCT(Engine!$BB$3:$BB$12,Setup!$C$7:$C$16)/1200</f>
        <v>0</v>
      </c>
      <c r="BD16" s="44" t="n">
        <f aca="false">SUMPRODUCT(Engine!$BC$3:$BC$12,Setup!$C$7:$C$16)/1200</f>
        <v>0</v>
      </c>
      <c r="BE16" s="44" t="n">
        <f aca="false">SUMPRODUCT(Engine!$BD$3:$BD$12,Setup!$C$7:$C$16)/1200</f>
        <v>0</v>
      </c>
      <c r="BF16" s="44" t="n">
        <f aca="false">SUMPRODUCT(Engine!$BE$3:$BE$12,Setup!$C$7:$C$16)/1200</f>
        <v>0</v>
      </c>
      <c r="BG16" s="44" t="n">
        <f aca="false">SUMPRODUCT(Engine!$BF$3:$BF$12,Setup!$C$7:$C$16)/1200</f>
        <v>0</v>
      </c>
      <c r="BH16" s="44" t="n">
        <f aca="false">SUMPRODUCT(Engine!$BG$3:$BG$12,Setup!$C$7:$C$16)/1200</f>
        <v>0</v>
      </c>
      <c r="BI16" s="44" t="n">
        <f aca="false">SUMPRODUCT(Engine!$BH$3:$BH$12,Setup!$C$7:$C$16)/1200</f>
        <v>0</v>
      </c>
      <c r="BJ16" s="44" t="n">
        <f aca="false">SUMPRODUCT(Engine!$BI$3:$BI$12,Setup!$C$7:$C$16)/1200</f>
        <v>0</v>
      </c>
    </row>
    <row r="18" customFormat="false" ht="15" hidden="false" customHeight="true" outlineLevel="0" collapsed="false">
      <c r="A18" s="45" t="n">
        <f aca="false">IFERROR(MATCH(0,Engine!$C$15:$BJ$15,0),0)</f>
        <v>1</v>
      </c>
      <c r="B18" s="49" t="s">
        <v>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M18"/>
  <sheetViews>
    <sheetView workbookViewId="0"/>
  </sheetViews>
  <sheetFormatPr defaultRowHeight="15"/>
  <sheetData>
    <row r="1">
      <c r="A1" s="0" t="inlineStr">
        <is>
          <t>Compare — the same debts run through the other method, so the Dashboard can show which one costs less. Do not edit.</t>
        </is>
      </c>
      <c r="BM1" s="0" t="str">
        <f aca="false">IF(Setup!$F$4="Avalanche","Snowball","Avalanche")</f>
      </c>
    </row>
    <row r="3">
      <c r="A3" s="0" t="str">
        <f aca="false">Setup!A7</f>
      </c>
      <c r="B3" s="0" t="n">
        <f aca="false">IF(Setup!B7="",0,Setup!B7)</f>
      </c>
      <c r="C3" s="0" t="n">
        <f aca="false">MAX(0,B3+B3*Setup!$C$7/1200-(IF(B3&lt;=0,0,Setup!$D$7+IF($BL3=C$14,C$13,0))))</f>
      </c>
      <c r="D3" s="0" t="n">
        <f aca="false">MAX(0,C3+C3*Setup!$C$7/1200-(IF(C3&lt;=0,0,Setup!$D$7+IF($BL3=D$14,D$13,0))))</f>
      </c>
      <c r="E3" s="0" t="n">
        <f aca="false">MAX(0,D3+D3*Setup!$C$7/1200-(IF(D3&lt;=0,0,Setup!$D$7+IF($BL3=E$14,E$13,0))))</f>
      </c>
      <c r="F3" s="0" t="n">
        <f aca="false">MAX(0,E3+E3*Setup!$C$7/1200-(IF(E3&lt;=0,0,Setup!$D$7+IF($BL3=F$14,F$13,0))))</f>
      </c>
      <c r="G3" s="0" t="n">
        <f aca="false">MAX(0,F3+F3*Setup!$C$7/1200-(IF(F3&lt;=0,0,Setup!$D$7+IF($BL3=G$14,G$13,0))))</f>
      </c>
      <c r="H3" s="0" t="n">
        <f aca="false">MAX(0,G3+G3*Setup!$C$7/1200-(IF(G3&lt;=0,0,Setup!$D$7+IF($BL3=H$14,H$13,0))))</f>
      </c>
      <c r="I3" s="0" t="n">
        <f aca="false">MAX(0,H3+H3*Setup!$C$7/1200-(IF(H3&lt;=0,0,Setup!$D$7+IF($BL3=I$14,I$13,0))))</f>
      </c>
      <c r="J3" s="0" t="n">
        <f aca="false">MAX(0,I3+I3*Setup!$C$7/1200-(IF(I3&lt;=0,0,Setup!$D$7+IF($BL3=J$14,J$13,0))))</f>
      </c>
      <c r="K3" s="0" t="n">
        <f aca="false">MAX(0,J3+J3*Setup!$C$7/1200-(IF(J3&lt;=0,0,Setup!$D$7+IF($BL3=K$14,K$13,0))))</f>
      </c>
      <c r="L3" s="0" t="n">
        <f aca="false">MAX(0,K3+K3*Setup!$C$7/1200-(IF(K3&lt;=0,0,Setup!$D$7+IF($BL3=L$14,L$13,0))))</f>
      </c>
      <c r="M3" s="0" t="n">
        <f aca="false">MAX(0,L3+L3*Setup!$C$7/1200-(IF(L3&lt;=0,0,Setup!$D$7+IF($BL3=M$14,M$13,0))))</f>
      </c>
      <c r="N3" s="0" t="n">
        <f aca="false">MAX(0,M3+M3*Setup!$C$7/1200-(IF(M3&lt;=0,0,Setup!$D$7+IF($BL3=N$14,N$13,0))))</f>
      </c>
      <c r="O3" s="0" t="n">
        <f aca="false">MAX(0,N3+N3*Setup!$C$7/1200-(IF(N3&lt;=0,0,Setup!$D$7+IF($BL3=O$14,O$13,0))))</f>
      </c>
      <c r="P3" s="0" t="n">
        <f aca="false">MAX(0,O3+O3*Setup!$C$7/1200-(IF(O3&lt;=0,0,Setup!$D$7+IF($BL3=P$14,P$13,0))))</f>
      </c>
      <c r="Q3" s="0" t="n">
        <f aca="false">MAX(0,P3+P3*Setup!$C$7/1200-(IF(P3&lt;=0,0,Setup!$D$7+IF($BL3=Q$14,Q$13,0))))</f>
      </c>
      <c r="R3" s="0" t="n">
        <f aca="false">MAX(0,Q3+Q3*Setup!$C$7/1200-(IF(Q3&lt;=0,0,Setup!$D$7+IF($BL3=R$14,R$13,0))))</f>
      </c>
      <c r="S3" s="0" t="n">
        <f aca="false">MAX(0,R3+R3*Setup!$C$7/1200-(IF(R3&lt;=0,0,Setup!$D$7+IF($BL3=S$14,S$13,0))))</f>
      </c>
      <c r="T3" s="0" t="n">
        <f aca="false">MAX(0,S3+S3*Setup!$C$7/1200-(IF(S3&lt;=0,0,Setup!$D$7+IF($BL3=T$14,T$13,0))))</f>
      </c>
      <c r="U3" s="0" t="n">
        <f aca="false">MAX(0,T3+T3*Setup!$C$7/1200-(IF(T3&lt;=0,0,Setup!$D$7+IF($BL3=U$14,U$13,0))))</f>
      </c>
      <c r="V3" s="0" t="n">
        <f aca="false">MAX(0,U3+U3*Setup!$C$7/1200-(IF(U3&lt;=0,0,Setup!$D$7+IF($BL3=V$14,V$13,0))))</f>
      </c>
      <c r="W3" s="0" t="n">
        <f aca="false">MAX(0,V3+V3*Setup!$C$7/1200-(IF(V3&lt;=0,0,Setup!$D$7+IF($BL3=W$14,W$13,0))))</f>
      </c>
      <c r="X3" s="0" t="n">
        <f aca="false">MAX(0,W3+W3*Setup!$C$7/1200-(IF(W3&lt;=0,0,Setup!$D$7+IF($BL3=X$14,X$13,0))))</f>
      </c>
      <c r="Y3" s="0" t="n">
        <f aca="false">MAX(0,X3+X3*Setup!$C$7/1200-(IF(X3&lt;=0,0,Setup!$D$7+IF($BL3=Y$14,Y$13,0))))</f>
      </c>
      <c r="Z3" s="0" t="n">
        <f aca="false">MAX(0,Y3+Y3*Setup!$C$7/1200-(IF(Y3&lt;=0,0,Setup!$D$7+IF($BL3=Z$14,Z$13,0))))</f>
      </c>
      <c r="AA3" s="0" t="n">
        <f aca="false">MAX(0,Z3+Z3*Setup!$C$7/1200-(IF(Z3&lt;=0,0,Setup!$D$7+IF($BL3=AA$14,AA$13,0))))</f>
      </c>
      <c r="AB3" s="0" t="n">
        <f aca="false">MAX(0,AA3+AA3*Setup!$C$7/1200-(IF(AA3&lt;=0,0,Setup!$D$7+IF($BL3=AB$14,AB$13,0))))</f>
      </c>
      <c r="AC3" s="0" t="n">
        <f aca="false">MAX(0,AB3+AB3*Setup!$C$7/1200-(IF(AB3&lt;=0,0,Setup!$D$7+IF($BL3=AC$14,AC$13,0))))</f>
      </c>
      <c r="AD3" s="0" t="n">
        <f aca="false">MAX(0,AC3+AC3*Setup!$C$7/1200-(IF(AC3&lt;=0,0,Setup!$D$7+IF($BL3=AD$14,AD$13,0))))</f>
      </c>
      <c r="AE3" s="0" t="n">
        <f aca="false">MAX(0,AD3+AD3*Setup!$C$7/1200-(IF(AD3&lt;=0,0,Setup!$D$7+IF($BL3=AE$14,AE$13,0))))</f>
      </c>
      <c r="AF3" s="0" t="n">
        <f aca="false">MAX(0,AE3+AE3*Setup!$C$7/1200-(IF(AE3&lt;=0,0,Setup!$D$7+IF($BL3=AF$14,AF$13,0))))</f>
      </c>
      <c r="AG3" s="0" t="n">
        <f aca="false">MAX(0,AF3+AF3*Setup!$C$7/1200-(IF(AF3&lt;=0,0,Setup!$D$7+IF($BL3=AG$14,AG$13,0))))</f>
      </c>
      <c r="AH3" s="0" t="n">
        <f aca="false">MAX(0,AG3+AG3*Setup!$C$7/1200-(IF(AG3&lt;=0,0,Setup!$D$7+IF($BL3=AH$14,AH$13,0))))</f>
      </c>
      <c r="AI3" s="0" t="n">
        <f aca="false">MAX(0,AH3+AH3*Setup!$C$7/1200-(IF(AH3&lt;=0,0,Setup!$D$7+IF($BL3=AI$14,AI$13,0))))</f>
      </c>
      <c r="AJ3" s="0" t="n">
        <f aca="false">MAX(0,AI3+AI3*Setup!$C$7/1200-(IF(AI3&lt;=0,0,Setup!$D$7+IF($BL3=AJ$14,AJ$13,0))))</f>
      </c>
      <c r="AK3" s="0" t="n">
        <f aca="false">MAX(0,AJ3+AJ3*Setup!$C$7/1200-(IF(AJ3&lt;=0,0,Setup!$D$7+IF($BL3=AK$14,AK$13,0))))</f>
      </c>
      <c r="AL3" s="0" t="n">
        <f aca="false">MAX(0,AK3+AK3*Setup!$C$7/1200-(IF(AK3&lt;=0,0,Setup!$D$7+IF($BL3=AL$14,AL$13,0))))</f>
      </c>
      <c r="AM3" s="0" t="n">
        <f aca="false">MAX(0,AL3+AL3*Setup!$C$7/1200-(IF(AL3&lt;=0,0,Setup!$D$7+IF($BL3=AM$14,AM$13,0))))</f>
      </c>
      <c r="AN3" s="0" t="n">
        <f aca="false">MAX(0,AM3+AM3*Setup!$C$7/1200-(IF(AM3&lt;=0,0,Setup!$D$7+IF($BL3=AN$14,AN$13,0))))</f>
      </c>
      <c r="AO3" s="0" t="n">
        <f aca="false">MAX(0,AN3+AN3*Setup!$C$7/1200-(IF(AN3&lt;=0,0,Setup!$D$7+IF($BL3=AO$14,AO$13,0))))</f>
      </c>
      <c r="AP3" s="0" t="n">
        <f aca="false">MAX(0,AO3+AO3*Setup!$C$7/1200-(IF(AO3&lt;=0,0,Setup!$D$7+IF($BL3=AP$14,AP$13,0))))</f>
      </c>
      <c r="AQ3" s="0" t="n">
        <f aca="false">MAX(0,AP3+AP3*Setup!$C$7/1200-(IF(AP3&lt;=0,0,Setup!$D$7+IF($BL3=AQ$14,AQ$13,0))))</f>
      </c>
      <c r="AR3" s="0" t="n">
        <f aca="false">MAX(0,AQ3+AQ3*Setup!$C$7/1200-(IF(AQ3&lt;=0,0,Setup!$D$7+IF($BL3=AR$14,AR$13,0))))</f>
      </c>
      <c r="AS3" s="0" t="n">
        <f aca="false">MAX(0,AR3+AR3*Setup!$C$7/1200-(IF(AR3&lt;=0,0,Setup!$D$7+IF($BL3=AS$14,AS$13,0))))</f>
      </c>
      <c r="AT3" s="0" t="n">
        <f aca="false">MAX(0,AS3+AS3*Setup!$C$7/1200-(IF(AS3&lt;=0,0,Setup!$D$7+IF($BL3=AT$14,AT$13,0))))</f>
      </c>
      <c r="AU3" s="0" t="n">
        <f aca="false">MAX(0,AT3+AT3*Setup!$C$7/1200-(IF(AT3&lt;=0,0,Setup!$D$7+IF($BL3=AU$14,AU$13,0))))</f>
      </c>
      <c r="AV3" s="0" t="n">
        <f aca="false">MAX(0,AU3+AU3*Setup!$C$7/1200-(IF(AU3&lt;=0,0,Setup!$D$7+IF($BL3=AV$14,AV$13,0))))</f>
      </c>
      <c r="AW3" s="0" t="n">
        <f aca="false">MAX(0,AV3+AV3*Setup!$C$7/1200-(IF(AV3&lt;=0,0,Setup!$D$7+IF($BL3=AW$14,AW$13,0))))</f>
      </c>
      <c r="AX3" s="0" t="n">
        <f aca="false">MAX(0,AW3+AW3*Setup!$C$7/1200-(IF(AW3&lt;=0,0,Setup!$D$7+IF($BL3=AX$14,AX$13,0))))</f>
      </c>
      <c r="AY3" s="0" t="n">
        <f aca="false">MAX(0,AX3+AX3*Setup!$C$7/1200-(IF(AX3&lt;=0,0,Setup!$D$7+IF($BL3=AY$14,AY$13,0))))</f>
      </c>
      <c r="AZ3" s="0" t="n">
        <f aca="false">MAX(0,AY3+AY3*Setup!$C$7/1200-(IF(AY3&lt;=0,0,Setup!$D$7+IF($BL3=AZ$14,AZ$13,0))))</f>
      </c>
      <c r="BA3" s="0" t="n">
        <f aca="false">MAX(0,AZ3+AZ3*Setup!$C$7/1200-(IF(AZ3&lt;=0,0,Setup!$D$7+IF($BL3=BA$14,BA$13,0))))</f>
      </c>
      <c r="BB3" s="0" t="n">
        <f aca="false">MAX(0,BA3+BA3*Setup!$C$7/1200-(IF(BA3&lt;=0,0,Setup!$D$7+IF($BL3=BB$14,BB$13,0))))</f>
      </c>
      <c r="BC3" s="0" t="n">
        <f aca="false">MAX(0,BB3+BB3*Setup!$C$7/1200-(IF(BB3&lt;=0,0,Setup!$D$7+IF($BL3=BC$14,BC$13,0))))</f>
      </c>
      <c r="BD3" s="0" t="n">
        <f aca="false">MAX(0,BC3+BC3*Setup!$C$7/1200-(IF(BC3&lt;=0,0,Setup!$D$7+IF($BL3=BD$14,BD$13,0))))</f>
      </c>
      <c r="BE3" s="0" t="n">
        <f aca="false">MAX(0,BD3+BD3*Setup!$C$7/1200-(IF(BD3&lt;=0,0,Setup!$D$7+IF($BL3=BE$14,BE$13,0))))</f>
      </c>
      <c r="BF3" s="0" t="n">
        <f aca="false">MAX(0,BE3+BE3*Setup!$C$7/1200-(IF(BE3&lt;=0,0,Setup!$D$7+IF($BL3=BF$14,BF$13,0))))</f>
      </c>
      <c r="BG3" s="0" t="n">
        <f aca="false">MAX(0,BF3+BF3*Setup!$C$7/1200-(IF(BF3&lt;=0,0,Setup!$D$7+IF($BL3=BG$14,BG$13,0))))</f>
      </c>
      <c r="BH3" s="0" t="n">
        <f aca="false">MAX(0,BG3+BG3*Setup!$C$7/1200-(IF(BG3&lt;=0,0,Setup!$D$7+IF($BL3=BH$14,BH$13,0))))</f>
      </c>
      <c r="BI3" s="0" t="n">
        <f aca="false">MAX(0,BH3+BH3*Setup!$C$7/1200-(IF(BH3&lt;=0,0,Setup!$D$7+IF($BL3=BI$14,BI$13,0))))</f>
      </c>
      <c r="BJ3" s="0" t="n">
        <f aca="false">MAX(0,BI3+BI3*Setup!$C$7/1200-(IF(BI3&lt;=0,0,Setup!$D$7+IF($BL3=BJ$14,BJ$13,0))))</f>
      </c>
      <c r="BL3" s="0" t="n">
        <f aca="false">IF(Setup!B7="",9999999,IF($BM$1="Snowball",Setup!B7,1-Setup!C7/100))+(ROW()-2)*0.00001</f>
      </c>
    </row>
    <row r="4">
      <c r="A4" s="0" t="str">
        <f aca="false">Setup!A8</f>
      </c>
      <c r="B4" s="0" t="n">
        <f aca="false">IF(Setup!B8="",0,Setup!B8)</f>
      </c>
      <c r="C4" s="0" t="n">
        <f aca="false">MAX(0,B4+B4*Setup!$C$8/1200-(IF(B4&lt;=0,0,Setup!$D$8+IF($BL4=C$14,C$13,0))))</f>
      </c>
      <c r="D4" s="0" t="n">
        <f aca="false">MAX(0,C4+C4*Setup!$C$8/1200-(IF(C4&lt;=0,0,Setup!$D$8+IF($BL4=D$14,D$13,0))))</f>
      </c>
      <c r="E4" s="0" t="n">
        <f aca="false">MAX(0,D4+D4*Setup!$C$8/1200-(IF(D4&lt;=0,0,Setup!$D$8+IF($BL4=E$14,E$13,0))))</f>
      </c>
      <c r="F4" s="0" t="n">
        <f aca="false">MAX(0,E4+E4*Setup!$C$8/1200-(IF(E4&lt;=0,0,Setup!$D$8+IF($BL4=F$14,F$13,0))))</f>
      </c>
      <c r="G4" s="0" t="n">
        <f aca="false">MAX(0,F4+F4*Setup!$C$8/1200-(IF(F4&lt;=0,0,Setup!$D$8+IF($BL4=G$14,G$13,0))))</f>
      </c>
      <c r="H4" s="0" t="n">
        <f aca="false">MAX(0,G4+G4*Setup!$C$8/1200-(IF(G4&lt;=0,0,Setup!$D$8+IF($BL4=H$14,H$13,0))))</f>
      </c>
      <c r="I4" s="0" t="n">
        <f aca="false">MAX(0,H4+H4*Setup!$C$8/1200-(IF(H4&lt;=0,0,Setup!$D$8+IF($BL4=I$14,I$13,0))))</f>
      </c>
      <c r="J4" s="0" t="n">
        <f aca="false">MAX(0,I4+I4*Setup!$C$8/1200-(IF(I4&lt;=0,0,Setup!$D$8+IF($BL4=J$14,J$13,0))))</f>
      </c>
      <c r="K4" s="0" t="n">
        <f aca="false">MAX(0,J4+J4*Setup!$C$8/1200-(IF(J4&lt;=0,0,Setup!$D$8+IF($BL4=K$14,K$13,0))))</f>
      </c>
      <c r="L4" s="0" t="n">
        <f aca="false">MAX(0,K4+K4*Setup!$C$8/1200-(IF(K4&lt;=0,0,Setup!$D$8+IF($BL4=L$14,L$13,0))))</f>
      </c>
      <c r="M4" s="0" t="n">
        <f aca="false">MAX(0,L4+L4*Setup!$C$8/1200-(IF(L4&lt;=0,0,Setup!$D$8+IF($BL4=M$14,M$13,0))))</f>
      </c>
      <c r="N4" s="0" t="n">
        <f aca="false">MAX(0,M4+M4*Setup!$C$8/1200-(IF(M4&lt;=0,0,Setup!$D$8+IF($BL4=N$14,N$13,0))))</f>
      </c>
      <c r="O4" s="0" t="n">
        <f aca="false">MAX(0,N4+N4*Setup!$C$8/1200-(IF(N4&lt;=0,0,Setup!$D$8+IF($BL4=O$14,O$13,0))))</f>
      </c>
      <c r="P4" s="0" t="n">
        <f aca="false">MAX(0,O4+O4*Setup!$C$8/1200-(IF(O4&lt;=0,0,Setup!$D$8+IF($BL4=P$14,P$13,0))))</f>
      </c>
      <c r="Q4" s="0" t="n">
        <f aca="false">MAX(0,P4+P4*Setup!$C$8/1200-(IF(P4&lt;=0,0,Setup!$D$8+IF($BL4=Q$14,Q$13,0))))</f>
      </c>
      <c r="R4" s="0" t="n">
        <f aca="false">MAX(0,Q4+Q4*Setup!$C$8/1200-(IF(Q4&lt;=0,0,Setup!$D$8+IF($BL4=R$14,R$13,0))))</f>
      </c>
      <c r="S4" s="0" t="n">
        <f aca="false">MAX(0,R4+R4*Setup!$C$8/1200-(IF(R4&lt;=0,0,Setup!$D$8+IF($BL4=S$14,S$13,0))))</f>
      </c>
      <c r="T4" s="0" t="n">
        <f aca="false">MAX(0,S4+S4*Setup!$C$8/1200-(IF(S4&lt;=0,0,Setup!$D$8+IF($BL4=T$14,T$13,0))))</f>
      </c>
      <c r="U4" s="0" t="n">
        <f aca="false">MAX(0,T4+T4*Setup!$C$8/1200-(IF(T4&lt;=0,0,Setup!$D$8+IF($BL4=U$14,U$13,0))))</f>
      </c>
      <c r="V4" s="0" t="n">
        <f aca="false">MAX(0,U4+U4*Setup!$C$8/1200-(IF(U4&lt;=0,0,Setup!$D$8+IF($BL4=V$14,V$13,0))))</f>
      </c>
      <c r="W4" s="0" t="n">
        <f aca="false">MAX(0,V4+V4*Setup!$C$8/1200-(IF(V4&lt;=0,0,Setup!$D$8+IF($BL4=W$14,W$13,0))))</f>
      </c>
      <c r="X4" s="0" t="n">
        <f aca="false">MAX(0,W4+W4*Setup!$C$8/1200-(IF(W4&lt;=0,0,Setup!$D$8+IF($BL4=X$14,X$13,0))))</f>
      </c>
      <c r="Y4" s="0" t="n">
        <f aca="false">MAX(0,X4+X4*Setup!$C$8/1200-(IF(X4&lt;=0,0,Setup!$D$8+IF($BL4=Y$14,Y$13,0))))</f>
      </c>
      <c r="Z4" s="0" t="n">
        <f aca="false">MAX(0,Y4+Y4*Setup!$C$8/1200-(IF(Y4&lt;=0,0,Setup!$D$8+IF($BL4=Z$14,Z$13,0))))</f>
      </c>
      <c r="AA4" s="0" t="n">
        <f aca="false">MAX(0,Z4+Z4*Setup!$C$8/1200-(IF(Z4&lt;=0,0,Setup!$D$8+IF($BL4=AA$14,AA$13,0))))</f>
      </c>
      <c r="AB4" s="0" t="n">
        <f aca="false">MAX(0,AA4+AA4*Setup!$C$8/1200-(IF(AA4&lt;=0,0,Setup!$D$8+IF($BL4=AB$14,AB$13,0))))</f>
      </c>
      <c r="AC4" s="0" t="n">
        <f aca="false">MAX(0,AB4+AB4*Setup!$C$8/1200-(IF(AB4&lt;=0,0,Setup!$D$8+IF($BL4=AC$14,AC$13,0))))</f>
      </c>
      <c r="AD4" s="0" t="n">
        <f aca="false">MAX(0,AC4+AC4*Setup!$C$8/1200-(IF(AC4&lt;=0,0,Setup!$D$8+IF($BL4=AD$14,AD$13,0))))</f>
      </c>
      <c r="AE4" s="0" t="n">
        <f aca="false">MAX(0,AD4+AD4*Setup!$C$8/1200-(IF(AD4&lt;=0,0,Setup!$D$8+IF($BL4=AE$14,AE$13,0))))</f>
      </c>
      <c r="AF4" s="0" t="n">
        <f aca="false">MAX(0,AE4+AE4*Setup!$C$8/1200-(IF(AE4&lt;=0,0,Setup!$D$8+IF($BL4=AF$14,AF$13,0))))</f>
      </c>
      <c r="AG4" s="0" t="n">
        <f aca="false">MAX(0,AF4+AF4*Setup!$C$8/1200-(IF(AF4&lt;=0,0,Setup!$D$8+IF($BL4=AG$14,AG$13,0))))</f>
      </c>
      <c r="AH4" s="0" t="n">
        <f aca="false">MAX(0,AG4+AG4*Setup!$C$8/1200-(IF(AG4&lt;=0,0,Setup!$D$8+IF($BL4=AH$14,AH$13,0))))</f>
      </c>
      <c r="AI4" s="0" t="n">
        <f aca="false">MAX(0,AH4+AH4*Setup!$C$8/1200-(IF(AH4&lt;=0,0,Setup!$D$8+IF($BL4=AI$14,AI$13,0))))</f>
      </c>
      <c r="AJ4" s="0" t="n">
        <f aca="false">MAX(0,AI4+AI4*Setup!$C$8/1200-(IF(AI4&lt;=0,0,Setup!$D$8+IF($BL4=AJ$14,AJ$13,0))))</f>
      </c>
      <c r="AK4" s="0" t="n">
        <f aca="false">MAX(0,AJ4+AJ4*Setup!$C$8/1200-(IF(AJ4&lt;=0,0,Setup!$D$8+IF($BL4=AK$14,AK$13,0))))</f>
      </c>
      <c r="AL4" s="0" t="n">
        <f aca="false">MAX(0,AK4+AK4*Setup!$C$8/1200-(IF(AK4&lt;=0,0,Setup!$D$8+IF($BL4=AL$14,AL$13,0))))</f>
      </c>
      <c r="AM4" s="0" t="n">
        <f aca="false">MAX(0,AL4+AL4*Setup!$C$8/1200-(IF(AL4&lt;=0,0,Setup!$D$8+IF($BL4=AM$14,AM$13,0))))</f>
      </c>
      <c r="AN4" s="0" t="n">
        <f aca="false">MAX(0,AM4+AM4*Setup!$C$8/1200-(IF(AM4&lt;=0,0,Setup!$D$8+IF($BL4=AN$14,AN$13,0))))</f>
      </c>
      <c r="AO4" s="0" t="n">
        <f aca="false">MAX(0,AN4+AN4*Setup!$C$8/1200-(IF(AN4&lt;=0,0,Setup!$D$8+IF($BL4=AO$14,AO$13,0))))</f>
      </c>
      <c r="AP4" s="0" t="n">
        <f aca="false">MAX(0,AO4+AO4*Setup!$C$8/1200-(IF(AO4&lt;=0,0,Setup!$D$8+IF($BL4=AP$14,AP$13,0))))</f>
      </c>
      <c r="AQ4" s="0" t="n">
        <f aca="false">MAX(0,AP4+AP4*Setup!$C$8/1200-(IF(AP4&lt;=0,0,Setup!$D$8+IF($BL4=AQ$14,AQ$13,0))))</f>
      </c>
      <c r="AR4" s="0" t="n">
        <f aca="false">MAX(0,AQ4+AQ4*Setup!$C$8/1200-(IF(AQ4&lt;=0,0,Setup!$D$8+IF($BL4=AR$14,AR$13,0))))</f>
      </c>
      <c r="AS4" s="0" t="n">
        <f aca="false">MAX(0,AR4+AR4*Setup!$C$8/1200-(IF(AR4&lt;=0,0,Setup!$D$8+IF($BL4=AS$14,AS$13,0))))</f>
      </c>
      <c r="AT4" s="0" t="n">
        <f aca="false">MAX(0,AS4+AS4*Setup!$C$8/1200-(IF(AS4&lt;=0,0,Setup!$D$8+IF($BL4=AT$14,AT$13,0))))</f>
      </c>
      <c r="AU4" s="0" t="n">
        <f aca="false">MAX(0,AT4+AT4*Setup!$C$8/1200-(IF(AT4&lt;=0,0,Setup!$D$8+IF($BL4=AU$14,AU$13,0))))</f>
      </c>
      <c r="AV4" s="0" t="n">
        <f aca="false">MAX(0,AU4+AU4*Setup!$C$8/1200-(IF(AU4&lt;=0,0,Setup!$D$8+IF($BL4=AV$14,AV$13,0))))</f>
      </c>
      <c r="AW4" s="0" t="n">
        <f aca="false">MAX(0,AV4+AV4*Setup!$C$8/1200-(IF(AV4&lt;=0,0,Setup!$D$8+IF($BL4=AW$14,AW$13,0))))</f>
      </c>
      <c r="AX4" s="0" t="n">
        <f aca="false">MAX(0,AW4+AW4*Setup!$C$8/1200-(IF(AW4&lt;=0,0,Setup!$D$8+IF($BL4=AX$14,AX$13,0))))</f>
      </c>
      <c r="AY4" s="0" t="n">
        <f aca="false">MAX(0,AX4+AX4*Setup!$C$8/1200-(IF(AX4&lt;=0,0,Setup!$D$8+IF($BL4=AY$14,AY$13,0))))</f>
      </c>
      <c r="AZ4" s="0" t="n">
        <f aca="false">MAX(0,AY4+AY4*Setup!$C$8/1200-(IF(AY4&lt;=0,0,Setup!$D$8+IF($BL4=AZ$14,AZ$13,0))))</f>
      </c>
      <c r="BA4" s="0" t="n">
        <f aca="false">MAX(0,AZ4+AZ4*Setup!$C$8/1200-(IF(AZ4&lt;=0,0,Setup!$D$8+IF($BL4=BA$14,BA$13,0))))</f>
      </c>
      <c r="BB4" s="0" t="n">
        <f aca="false">MAX(0,BA4+BA4*Setup!$C$8/1200-(IF(BA4&lt;=0,0,Setup!$D$8+IF($BL4=BB$14,BB$13,0))))</f>
      </c>
      <c r="BC4" s="0" t="n">
        <f aca="false">MAX(0,BB4+BB4*Setup!$C$8/1200-(IF(BB4&lt;=0,0,Setup!$D$8+IF($BL4=BC$14,BC$13,0))))</f>
      </c>
      <c r="BD4" s="0" t="n">
        <f aca="false">MAX(0,BC4+BC4*Setup!$C$8/1200-(IF(BC4&lt;=0,0,Setup!$D$8+IF($BL4=BD$14,BD$13,0))))</f>
      </c>
      <c r="BE4" s="0" t="n">
        <f aca="false">MAX(0,BD4+BD4*Setup!$C$8/1200-(IF(BD4&lt;=0,0,Setup!$D$8+IF($BL4=BE$14,BE$13,0))))</f>
      </c>
      <c r="BF4" s="0" t="n">
        <f aca="false">MAX(0,BE4+BE4*Setup!$C$8/1200-(IF(BE4&lt;=0,0,Setup!$D$8+IF($BL4=BF$14,BF$13,0))))</f>
      </c>
      <c r="BG4" s="0" t="n">
        <f aca="false">MAX(0,BF4+BF4*Setup!$C$8/1200-(IF(BF4&lt;=0,0,Setup!$D$8+IF($BL4=BG$14,BG$13,0))))</f>
      </c>
      <c r="BH4" s="0" t="n">
        <f aca="false">MAX(0,BG4+BG4*Setup!$C$8/1200-(IF(BG4&lt;=0,0,Setup!$D$8+IF($BL4=BH$14,BH$13,0))))</f>
      </c>
      <c r="BI4" s="0" t="n">
        <f aca="false">MAX(0,BH4+BH4*Setup!$C$8/1200-(IF(BH4&lt;=0,0,Setup!$D$8+IF($BL4=BI$14,BI$13,0))))</f>
      </c>
      <c r="BJ4" s="0" t="n">
        <f aca="false">MAX(0,BI4+BI4*Setup!$C$8/1200-(IF(BI4&lt;=0,0,Setup!$D$8+IF($BL4=BJ$14,BJ$13,0))))</f>
      </c>
      <c r="BL4" s="0" t="n">
        <f aca="false">IF(Setup!B8="",9999999,IF($BM$1="Snowball",Setup!B8,1-Setup!C8/100))+(ROW()-2)*0.00001</f>
      </c>
    </row>
    <row r="5">
      <c r="A5" s="0" t="str">
        <f aca="false">Setup!A9</f>
      </c>
      <c r="B5" s="0" t="n">
        <f aca="false">IF(Setup!B9="",0,Setup!B9)</f>
      </c>
      <c r="C5" s="0" t="n">
        <f aca="false">MAX(0,B5+B5*Setup!$C$9/1200-(IF(B5&lt;=0,0,Setup!$D$9+IF($BL5=C$14,C$13,0))))</f>
      </c>
      <c r="D5" s="0" t="n">
        <f aca="false">MAX(0,C5+C5*Setup!$C$9/1200-(IF(C5&lt;=0,0,Setup!$D$9+IF($BL5=D$14,D$13,0))))</f>
      </c>
      <c r="E5" s="0" t="n">
        <f aca="false">MAX(0,D5+D5*Setup!$C$9/1200-(IF(D5&lt;=0,0,Setup!$D$9+IF($BL5=E$14,E$13,0))))</f>
      </c>
      <c r="F5" s="0" t="n">
        <f aca="false">MAX(0,E5+E5*Setup!$C$9/1200-(IF(E5&lt;=0,0,Setup!$D$9+IF($BL5=F$14,F$13,0))))</f>
      </c>
      <c r="G5" s="0" t="n">
        <f aca="false">MAX(0,F5+F5*Setup!$C$9/1200-(IF(F5&lt;=0,0,Setup!$D$9+IF($BL5=G$14,G$13,0))))</f>
      </c>
      <c r="H5" s="0" t="n">
        <f aca="false">MAX(0,G5+G5*Setup!$C$9/1200-(IF(G5&lt;=0,0,Setup!$D$9+IF($BL5=H$14,H$13,0))))</f>
      </c>
      <c r="I5" s="0" t="n">
        <f aca="false">MAX(0,H5+H5*Setup!$C$9/1200-(IF(H5&lt;=0,0,Setup!$D$9+IF($BL5=I$14,I$13,0))))</f>
      </c>
      <c r="J5" s="0" t="n">
        <f aca="false">MAX(0,I5+I5*Setup!$C$9/1200-(IF(I5&lt;=0,0,Setup!$D$9+IF($BL5=J$14,J$13,0))))</f>
      </c>
      <c r="K5" s="0" t="n">
        <f aca="false">MAX(0,J5+J5*Setup!$C$9/1200-(IF(J5&lt;=0,0,Setup!$D$9+IF($BL5=K$14,K$13,0))))</f>
      </c>
      <c r="L5" s="0" t="n">
        <f aca="false">MAX(0,K5+K5*Setup!$C$9/1200-(IF(K5&lt;=0,0,Setup!$D$9+IF($BL5=L$14,L$13,0))))</f>
      </c>
      <c r="M5" s="0" t="n">
        <f aca="false">MAX(0,L5+L5*Setup!$C$9/1200-(IF(L5&lt;=0,0,Setup!$D$9+IF($BL5=M$14,M$13,0))))</f>
      </c>
      <c r="N5" s="0" t="n">
        <f aca="false">MAX(0,M5+M5*Setup!$C$9/1200-(IF(M5&lt;=0,0,Setup!$D$9+IF($BL5=N$14,N$13,0))))</f>
      </c>
      <c r="O5" s="0" t="n">
        <f aca="false">MAX(0,N5+N5*Setup!$C$9/1200-(IF(N5&lt;=0,0,Setup!$D$9+IF($BL5=O$14,O$13,0))))</f>
      </c>
      <c r="P5" s="0" t="n">
        <f aca="false">MAX(0,O5+O5*Setup!$C$9/1200-(IF(O5&lt;=0,0,Setup!$D$9+IF($BL5=P$14,P$13,0))))</f>
      </c>
      <c r="Q5" s="0" t="n">
        <f aca="false">MAX(0,P5+P5*Setup!$C$9/1200-(IF(P5&lt;=0,0,Setup!$D$9+IF($BL5=Q$14,Q$13,0))))</f>
      </c>
      <c r="R5" s="0" t="n">
        <f aca="false">MAX(0,Q5+Q5*Setup!$C$9/1200-(IF(Q5&lt;=0,0,Setup!$D$9+IF($BL5=R$14,R$13,0))))</f>
      </c>
      <c r="S5" s="0" t="n">
        <f aca="false">MAX(0,R5+R5*Setup!$C$9/1200-(IF(R5&lt;=0,0,Setup!$D$9+IF($BL5=S$14,S$13,0))))</f>
      </c>
      <c r="T5" s="0" t="n">
        <f aca="false">MAX(0,S5+S5*Setup!$C$9/1200-(IF(S5&lt;=0,0,Setup!$D$9+IF($BL5=T$14,T$13,0))))</f>
      </c>
      <c r="U5" s="0" t="n">
        <f aca="false">MAX(0,T5+T5*Setup!$C$9/1200-(IF(T5&lt;=0,0,Setup!$D$9+IF($BL5=U$14,U$13,0))))</f>
      </c>
      <c r="V5" s="0" t="n">
        <f aca="false">MAX(0,U5+U5*Setup!$C$9/1200-(IF(U5&lt;=0,0,Setup!$D$9+IF($BL5=V$14,V$13,0))))</f>
      </c>
      <c r="W5" s="0" t="n">
        <f aca="false">MAX(0,V5+V5*Setup!$C$9/1200-(IF(V5&lt;=0,0,Setup!$D$9+IF($BL5=W$14,W$13,0))))</f>
      </c>
      <c r="X5" s="0" t="n">
        <f aca="false">MAX(0,W5+W5*Setup!$C$9/1200-(IF(W5&lt;=0,0,Setup!$D$9+IF($BL5=X$14,X$13,0))))</f>
      </c>
      <c r="Y5" s="0" t="n">
        <f aca="false">MAX(0,X5+X5*Setup!$C$9/1200-(IF(X5&lt;=0,0,Setup!$D$9+IF($BL5=Y$14,Y$13,0))))</f>
      </c>
      <c r="Z5" s="0" t="n">
        <f aca="false">MAX(0,Y5+Y5*Setup!$C$9/1200-(IF(Y5&lt;=0,0,Setup!$D$9+IF($BL5=Z$14,Z$13,0))))</f>
      </c>
      <c r="AA5" s="0" t="n">
        <f aca="false">MAX(0,Z5+Z5*Setup!$C$9/1200-(IF(Z5&lt;=0,0,Setup!$D$9+IF($BL5=AA$14,AA$13,0))))</f>
      </c>
      <c r="AB5" s="0" t="n">
        <f aca="false">MAX(0,AA5+AA5*Setup!$C$9/1200-(IF(AA5&lt;=0,0,Setup!$D$9+IF($BL5=AB$14,AB$13,0))))</f>
      </c>
      <c r="AC5" s="0" t="n">
        <f aca="false">MAX(0,AB5+AB5*Setup!$C$9/1200-(IF(AB5&lt;=0,0,Setup!$D$9+IF($BL5=AC$14,AC$13,0))))</f>
      </c>
      <c r="AD5" s="0" t="n">
        <f aca="false">MAX(0,AC5+AC5*Setup!$C$9/1200-(IF(AC5&lt;=0,0,Setup!$D$9+IF($BL5=AD$14,AD$13,0))))</f>
      </c>
      <c r="AE5" s="0" t="n">
        <f aca="false">MAX(0,AD5+AD5*Setup!$C$9/1200-(IF(AD5&lt;=0,0,Setup!$D$9+IF($BL5=AE$14,AE$13,0))))</f>
      </c>
      <c r="AF5" s="0" t="n">
        <f aca="false">MAX(0,AE5+AE5*Setup!$C$9/1200-(IF(AE5&lt;=0,0,Setup!$D$9+IF($BL5=AF$14,AF$13,0))))</f>
      </c>
      <c r="AG5" s="0" t="n">
        <f aca="false">MAX(0,AF5+AF5*Setup!$C$9/1200-(IF(AF5&lt;=0,0,Setup!$D$9+IF($BL5=AG$14,AG$13,0))))</f>
      </c>
      <c r="AH5" s="0" t="n">
        <f aca="false">MAX(0,AG5+AG5*Setup!$C$9/1200-(IF(AG5&lt;=0,0,Setup!$D$9+IF($BL5=AH$14,AH$13,0))))</f>
      </c>
      <c r="AI5" s="0" t="n">
        <f aca="false">MAX(0,AH5+AH5*Setup!$C$9/1200-(IF(AH5&lt;=0,0,Setup!$D$9+IF($BL5=AI$14,AI$13,0))))</f>
      </c>
      <c r="AJ5" s="0" t="n">
        <f aca="false">MAX(0,AI5+AI5*Setup!$C$9/1200-(IF(AI5&lt;=0,0,Setup!$D$9+IF($BL5=AJ$14,AJ$13,0))))</f>
      </c>
      <c r="AK5" s="0" t="n">
        <f aca="false">MAX(0,AJ5+AJ5*Setup!$C$9/1200-(IF(AJ5&lt;=0,0,Setup!$D$9+IF($BL5=AK$14,AK$13,0))))</f>
      </c>
      <c r="AL5" s="0" t="n">
        <f aca="false">MAX(0,AK5+AK5*Setup!$C$9/1200-(IF(AK5&lt;=0,0,Setup!$D$9+IF($BL5=AL$14,AL$13,0))))</f>
      </c>
      <c r="AM5" s="0" t="n">
        <f aca="false">MAX(0,AL5+AL5*Setup!$C$9/1200-(IF(AL5&lt;=0,0,Setup!$D$9+IF($BL5=AM$14,AM$13,0))))</f>
      </c>
      <c r="AN5" s="0" t="n">
        <f aca="false">MAX(0,AM5+AM5*Setup!$C$9/1200-(IF(AM5&lt;=0,0,Setup!$D$9+IF($BL5=AN$14,AN$13,0))))</f>
      </c>
      <c r="AO5" s="0" t="n">
        <f aca="false">MAX(0,AN5+AN5*Setup!$C$9/1200-(IF(AN5&lt;=0,0,Setup!$D$9+IF($BL5=AO$14,AO$13,0))))</f>
      </c>
      <c r="AP5" s="0" t="n">
        <f aca="false">MAX(0,AO5+AO5*Setup!$C$9/1200-(IF(AO5&lt;=0,0,Setup!$D$9+IF($BL5=AP$14,AP$13,0))))</f>
      </c>
      <c r="AQ5" s="0" t="n">
        <f aca="false">MAX(0,AP5+AP5*Setup!$C$9/1200-(IF(AP5&lt;=0,0,Setup!$D$9+IF($BL5=AQ$14,AQ$13,0))))</f>
      </c>
      <c r="AR5" s="0" t="n">
        <f aca="false">MAX(0,AQ5+AQ5*Setup!$C$9/1200-(IF(AQ5&lt;=0,0,Setup!$D$9+IF($BL5=AR$14,AR$13,0))))</f>
      </c>
      <c r="AS5" s="0" t="n">
        <f aca="false">MAX(0,AR5+AR5*Setup!$C$9/1200-(IF(AR5&lt;=0,0,Setup!$D$9+IF($BL5=AS$14,AS$13,0))))</f>
      </c>
      <c r="AT5" s="0" t="n">
        <f aca="false">MAX(0,AS5+AS5*Setup!$C$9/1200-(IF(AS5&lt;=0,0,Setup!$D$9+IF($BL5=AT$14,AT$13,0))))</f>
      </c>
      <c r="AU5" s="0" t="n">
        <f aca="false">MAX(0,AT5+AT5*Setup!$C$9/1200-(IF(AT5&lt;=0,0,Setup!$D$9+IF($BL5=AU$14,AU$13,0))))</f>
      </c>
      <c r="AV5" s="0" t="n">
        <f aca="false">MAX(0,AU5+AU5*Setup!$C$9/1200-(IF(AU5&lt;=0,0,Setup!$D$9+IF($BL5=AV$14,AV$13,0))))</f>
      </c>
      <c r="AW5" s="0" t="n">
        <f aca="false">MAX(0,AV5+AV5*Setup!$C$9/1200-(IF(AV5&lt;=0,0,Setup!$D$9+IF($BL5=AW$14,AW$13,0))))</f>
      </c>
      <c r="AX5" s="0" t="n">
        <f aca="false">MAX(0,AW5+AW5*Setup!$C$9/1200-(IF(AW5&lt;=0,0,Setup!$D$9+IF($BL5=AX$14,AX$13,0))))</f>
      </c>
      <c r="AY5" s="0" t="n">
        <f aca="false">MAX(0,AX5+AX5*Setup!$C$9/1200-(IF(AX5&lt;=0,0,Setup!$D$9+IF($BL5=AY$14,AY$13,0))))</f>
      </c>
      <c r="AZ5" s="0" t="n">
        <f aca="false">MAX(0,AY5+AY5*Setup!$C$9/1200-(IF(AY5&lt;=0,0,Setup!$D$9+IF($BL5=AZ$14,AZ$13,0))))</f>
      </c>
      <c r="BA5" s="0" t="n">
        <f aca="false">MAX(0,AZ5+AZ5*Setup!$C$9/1200-(IF(AZ5&lt;=0,0,Setup!$D$9+IF($BL5=BA$14,BA$13,0))))</f>
      </c>
      <c r="BB5" s="0" t="n">
        <f aca="false">MAX(0,BA5+BA5*Setup!$C$9/1200-(IF(BA5&lt;=0,0,Setup!$D$9+IF($BL5=BB$14,BB$13,0))))</f>
      </c>
      <c r="BC5" s="0" t="n">
        <f aca="false">MAX(0,BB5+BB5*Setup!$C$9/1200-(IF(BB5&lt;=0,0,Setup!$D$9+IF($BL5=BC$14,BC$13,0))))</f>
      </c>
      <c r="BD5" s="0" t="n">
        <f aca="false">MAX(0,BC5+BC5*Setup!$C$9/1200-(IF(BC5&lt;=0,0,Setup!$D$9+IF($BL5=BD$14,BD$13,0))))</f>
      </c>
      <c r="BE5" s="0" t="n">
        <f aca="false">MAX(0,BD5+BD5*Setup!$C$9/1200-(IF(BD5&lt;=0,0,Setup!$D$9+IF($BL5=BE$14,BE$13,0))))</f>
      </c>
      <c r="BF5" s="0" t="n">
        <f aca="false">MAX(0,BE5+BE5*Setup!$C$9/1200-(IF(BE5&lt;=0,0,Setup!$D$9+IF($BL5=BF$14,BF$13,0))))</f>
      </c>
      <c r="BG5" s="0" t="n">
        <f aca="false">MAX(0,BF5+BF5*Setup!$C$9/1200-(IF(BF5&lt;=0,0,Setup!$D$9+IF($BL5=BG$14,BG$13,0))))</f>
      </c>
      <c r="BH5" s="0" t="n">
        <f aca="false">MAX(0,BG5+BG5*Setup!$C$9/1200-(IF(BG5&lt;=0,0,Setup!$D$9+IF($BL5=BH$14,BH$13,0))))</f>
      </c>
      <c r="BI5" s="0" t="n">
        <f aca="false">MAX(0,BH5+BH5*Setup!$C$9/1200-(IF(BH5&lt;=0,0,Setup!$D$9+IF($BL5=BI$14,BI$13,0))))</f>
      </c>
      <c r="BJ5" s="0" t="n">
        <f aca="false">MAX(0,BI5+BI5*Setup!$C$9/1200-(IF(BI5&lt;=0,0,Setup!$D$9+IF($BL5=BJ$14,BJ$13,0))))</f>
      </c>
      <c r="BL5" s="0" t="n">
        <f aca="false">IF(Setup!B9="",9999999,IF($BM$1="Snowball",Setup!B9,1-Setup!C9/100))+(ROW()-2)*0.00001</f>
      </c>
    </row>
    <row r="6">
      <c r="A6" s="0" t="str">
        <f aca="false">Setup!A10</f>
      </c>
      <c r="B6" s="0" t="n">
        <f aca="false">IF(Setup!B10="",0,Setup!B10)</f>
      </c>
      <c r="C6" s="0" t="n">
        <f aca="false">MAX(0,B6+B6*Setup!$C$10/1200-(IF(B6&lt;=0,0,Setup!$D$10+IF($BL6=C$14,C$13,0))))</f>
      </c>
      <c r="D6" s="0" t="n">
        <f aca="false">MAX(0,C6+C6*Setup!$C$10/1200-(IF(C6&lt;=0,0,Setup!$D$10+IF($BL6=D$14,D$13,0))))</f>
      </c>
      <c r="E6" s="0" t="n">
        <f aca="false">MAX(0,D6+D6*Setup!$C$10/1200-(IF(D6&lt;=0,0,Setup!$D$10+IF($BL6=E$14,E$13,0))))</f>
      </c>
      <c r="F6" s="0" t="n">
        <f aca="false">MAX(0,E6+E6*Setup!$C$10/1200-(IF(E6&lt;=0,0,Setup!$D$10+IF($BL6=F$14,F$13,0))))</f>
      </c>
      <c r="G6" s="0" t="n">
        <f aca="false">MAX(0,F6+F6*Setup!$C$10/1200-(IF(F6&lt;=0,0,Setup!$D$10+IF($BL6=G$14,G$13,0))))</f>
      </c>
      <c r="H6" s="0" t="n">
        <f aca="false">MAX(0,G6+G6*Setup!$C$10/1200-(IF(G6&lt;=0,0,Setup!$D$10+IF($BL6=H$14,H$13,0))))</f>
      </c>
      <c r="I6" s="0" t="n">
        <f aca="false">MAX(0,H6+H6*Setup!$C$10/1200-(IF(H6&lt;=0,0,Setup!$D$10+IF($BL6=I$14,I$13,0))))</f>
      </c>
      <c r="J6" s="0" t="n">
        <f aca="false">MAX(0,I6+I6*Setup!$C$10/1200-(IF(I6&lt;=0,0,Setup!$D$10+IF($BL6=J$14,J$13,0))))</f>
      </c>
      <c r="K6" s="0" t="n">
        <f aca="false">MAX(0,J6+J6*Setup!$C$10/1200-(IF(J6&lt;=0,0,Setup!$D$10+IF($BL6=K$14,K$13,0))))</f>
      </c>
      <c r="L6" s="0" t="n">
        <f aca="false">MAX(0,K6+K6*Setup!$C$10/1200-(IF(K6&lt;=0,0,Setup!$D$10+IF($BL6=L$14,L$13,0))))</f>
      </c>
      <c r="M6" s="0" t="n">
        <f aca="false">MAX(0,L6+L6*Setup!$C$10/1200-(IF(L6&lt;=0,0,Setup!$D$10+IF($BL6=M$14,M$13,0))))</f>
      </c>
      <c r="N6" s="0" t="n">
        <f aca="false">MAX(0,M6+M6*Setup!$C$10/1200-(IF(M6&lt;=0,0,Setup!$D$10+IF($BL6=N$14,N$13,0))))</f>
      </c>
      <c r="O6" s="0" t="n">
        <f aca="false">MAX(0,N6+N6*Setup!$C$10/1200-(IF(N6&lt;=0,0,Setup!$D$10+IF($BL6=O$14,O$13,0))))</f>
      </c>
      <c r="P6" s="0" t="n">
        <f aca="false">MAX(0,O6+O6*Setup!$C$10/1200-(IF(O6&lt;=0,0,Setup!$D$10+IF($BL6=P$14,P$13,0))))</f>
      </c>
      <c r="Q6" s="0" t="n">
        <f aca="false">MAX(0,P6+P6*Setup!$C$10/1200-(IF(P6&lt;=0,0,Setup!$D$10+IF($BL6=Q$14,Q$13,0))))</f>
      </c>
      <c r="R6" s="0" t="n">
        <f aca="false">MAX(0,Q6+Q6*Setup!$C$10/1200-(IF(Q6&lt;=0,0,Setup!$D$10+IF($BL6=R$14,R$13,0))))</f>
      </c>
      <c r="S6" s="0" t="n">
        <f aca="false">MAX(0,R6+R6*Setup!$C$10/1200-(IF(R6&lt;=0,0,Setup!$D$10+IF($BL6=S$14,S$13,0))))</f>
      </c>
      <c r="T6" s="0" t="n">
        <f aca="false">MAX(0,S6+S6*Setup!$C$10/1200-(IF(S6&lt;=0,0,Setup!$D$10+IF($BL6=T$14,T$13,0))))</f>
      </c>
      <c r="U6" s="0" t="n">
        <f aca="false">MAX(0,T6+T6*Setup!$C$10/1200-(IF(T6&lt;=0,0,Setup!$D$10+IF($BL6=U$14,U$13,0))))</f>
      </c>
      <c r="V6" s="0" t="n">
        <f aca="false">MAX(0,U6+U6*Setup!$C$10/1200-(IF(U6&lt;=0,0,Setup!$D$10+IF($BL6=V$14,V$13,0))))</f>
      </c>
      <c r="W6" s="0" t="n">
        <f aca="false">MAX(0,V6+V6*Setup!$C$10/1200-(IF(V6&lt;=0,0,Setup!$D$10+IF($BL6=W$14,W$13,0))))</f>
      </c>
      <c r="X6" s="0" t="n">
        <f aca="false">MAX(0,W6+W6*Setup!$C$10/1200-(IF(W6&lt;=0,0,Setup!$D$10+IF($BL6=X$14,X$13,0))))</f>
      </c>
      <c r="Y6" s="0" t="n">
        <f aca="false">MAX(0,X6+X6*Setup!$C$10/1200-(IF(X6&lt;=0,0,Setup!$D$10+IF($BL6=Y$14,Y$13,0))))</f>
      </c>
      <c r="Z6" s="0" t="n">
        <f aca="false">MAX(0,Y6+Y6*Setup!$C$10/1200-(IF(Y6&lt;=0,0,Setup!$D$10+IF($BL6=Z$14,Z$13,0))))</f>
      </c>
      <c r="AA6" s="0" t="n">
        <f aca="false">MAX(0,Z6+Z6*Setup!$C$10/1200-(IF(Z6&lt;=0,0,Setup!$D$10+IF($BL6=AA$14,AA$13,0))))</f>
      </c>
      <c r="AB6" s="0" t="n">
        <f aca="false">MAX(0,AA6+AA6*Setup!$C$10/1200-(IF(AA6&lt;=0,0,Setup!$D$10+IF($BL6=AB$14,AB$13,0))))</f>
      </c>
      <c r="AC6" s="0" t="n">
        <f aca="false">MAX(0,AB6+AB6*Setup!$C$10/1200-(IF(AB6&lt;=0,0,Setup!$D$10+IF($BL6=AC$14,AC$13,0))))</f>
      </c>
      <c r="AD6" s="0" t="n">
        <f aca="false">MAX(0,AC6+AC6*Setup!$C$10/1200-(IF(AC6&lt;=0,0,Setup!$D$10+IF($BL6=AD$14,AD$13,0))))</f>
      </c>
      <c r="AE6" s="0" t="n">
        <f aca="false">MAX(0,AD6+AD6*Setup!$C$10/1200-(IF(AD6&lt;=0,0,Setup!$D$10+IF($BL6=AE$14,AE$13,0))))</f>
      </c>
      <c r="AF6" s="0" t="n">
        <f aca="false">MAX(0,AE6+AE6*Setup!$C$10/1200-(IF(AE6&lt;=0,0,Setup!$D$10+IF($BL6=AF$14,AF$13,0))))</f>
      </c>
      <c r="AG6" s="0" t="n">
        <f aca="false">MAX(0,AF6+AF6*Setup!$C$10/1200-(IF(AF6&lt;=0,0,Setup!$D$10+IF($BL6=AG$14,AG$13,0))))</f>
      </c>
      <c r="AH6" s="0" t="n">
        <f aca="false">MAX(0,AG6+AG6*Setup!$C$10/1200-(IF(AG6&lt;=0,0,Setup!$D$10+IF($BL6=AH$14,AH$13,0))))</f>
      </c>
      <c r="AI6" s="0" t="n">
        <f aca="false">MAX(0,AH6+AH6*Setup!$C$10/1200-(IF(AH6&lt;=0,0,Setup!$D$10+IF($BL6=AI$14,AI$13,0))))</f>
      </c>
      <c r="AJ6" s="0" t="n">
        <f aca="false">MAX(0,AI6+AI6*Setup!$C$10/1200-(IF(AI6&lt;=0,0,Setup!$D$10+IF($BL6=AJ$14,AJ$13,0))))</f>
      </c>
      <c r="AK6" s="0" t="n">
        <f aca="false">MAX(0,AJ6+AJ6*Setup!$C$10/1200-(IF(AJ6&lt;=0,0,Setup!$D$10+IF($BL6=AK$14,AK$13,0))))</f>
      </c>
      <c r="AL6" s="0" t="n">
        <f aca="false">MAX(0,AK6+AK6*Setup!$C$10/1200-(IF(AK6&lt;=0,0,Setup!$D$10+IF($BL6=AL$14,AL$13,0))))</f>
      </c>
      <c r="AM6" s="0" t="n">
        <f aca="false">MAX(0,AL6+AL6*Setup!$C$10/1200-(IF(AL6&lt;=0,0,Setup!$D$10+IF($BL6=AM$14,AM$13,0))))</f>
      </c>
      <c r="AN6" s="0" t="n">
        <f aca="false">MAX(0,AM6+AM6*Setup!$C$10/1200-(IF(AM6&lt;=0,0,Setup!$D$10+IF($BL6=AN$14,AN$13,0))))</f>
      </c>
      <c r="AO6" s="0" t="n">
        <f aca="false">MAX(0,AN6+AN6*Setup!$C$10/1200-(IF(AN6&lt;=0,0,Setup!$D$10+IF($BL6=AO$14,AO$13,0))))</f>
      </c>
      <c r="AP6" s="0" t="n">
        <f aca="false">MAX(0,AO6+AO6*Setup!$C$10/1200-(IF(AO6&lt;=0,0,Setup!$D$10+IF($BL6=AP$14,AP$13,0))))</f>
      </c>
      <c r="AQ6" s="0" t="n">
        <f aca="false">MAX(0,AP6+AP6*Setup!$C$10/1200-(IF(AP6&lt;=0,0,Setup!$D$10+IF($BL6=AQ$14,AQ$13,0))))</f>
      </c>
      <c r="AR6" s="0" t="n">
        <f aca="false">MAX(0,AQ6+AQ6*Setup!$C$10/1200-(IF(AQ6&lt;=0,0,Setup!$D$10+IF($BL6=AR$14,AR$13,0))))</f>
      </c>
      <c r="AS6" s="0" t="n">
        <f aca="false">MAX(0,AR6+AR6*Setup!$C$10/1200-(IF(AR6&lt;=0,0,Setup!$D$10+IF($BL6=AS$14,AS$13,0))))</f>
      </c>
      <c r="AT6" s="0" t="n">
        <f aca="false">MAX(0,AS6+AS6*Setup!$C$10/1200-(IF(AS6&lt;=0,0,Setup!$D$10+IF($BL6=AT$14,AT$13,0))))</f>
      </c>
      <c r="AU6" s="0" t="n">
        <f aca="false">MAX(0,AT6+AT6*Setup!$C$10/1200-(IF(AT6&lt;=0,0,Setup!$D$10+IF($BL6=AU$14,AU$13,0))))</f>
      </c>
      <c r="AV6" s="0" t="n">
        <f aca="false">MAX(0,AU6+AU6*Setup!$C$10/1200-(IF(AU6&lt;=0,0,Setup!$D$10+IF($BL6=AV$14,AV$13,0))))</f>
      </c>
      <c r="AW6" s="0" t="n">
        <f aca="false">MAX(0,AV6+AV6*Setup!$C$10/1200-(IF(AV6&lt;=0,0,Setup!$D$10+IF($BL6=AW$14,AW$13,0))))</f>
      </c>
      <c r="AX6" s="0" t="n">
        <f aca="false">MAX(0,AW6+AW6*Setup!$C$10/1200-(IF(AW6&lt;=0,0,Setup!$D$10+IF($BL6=AX$14,AX$13,0))))</f>
      </c>
      <c r="AY6" s="0" t="n">
        <f aca="false">MAX(0,AX6+AX6*Setup!$C$10/1200-(IF(AX6&lt;=0,0,Setup!$D$10+IF($BL6=AY$14,AY$13,0))))</f>
      </c>
      <c r="AZ6" s="0" t="n">
        <f aca="false">MAX(0,AY6+AY6*Setup!$C$10/1200-(IF(AY6&lt;=0,0,Setup!$D$10+IF($BL6=AZ$14,AZ$13,0))))</f>
      </c>
      <c r="BA6" s="0" t="n">
        <f aca="false">MAX(0,AZ6+AZ6*Setup!$C$10/1200-(IF(AZ6&lt;=0,0,Setup!$D$10+IF($BL6=BA$14,BA$13,0))))</f>
      </c>
      <c r="BB6" s="0" t="n">
        <f aca="false">MAX(0,BA6+BA6*Setup!$C$10/1200-(IF(BA6&lt;=0,0,Setup!$D$10+IF($BL6=BB$14,BB$13,0))))</f>
      </c>
      <c r="BC6" s="0" t="n">
        <f aca="false">MAX(0,BB6+BB6*Setup!$C$10/1200-(IF(BB6&lt;=0,0,Setup!$D$10+IF($BL6=BC$14,BC$13,0))))</f>
      </c>
      <c r="BD6" s="0" t="n">
        <f aca="false">MAX(0,BC6+BC6*Setup!$C$10/1200-(IF(BC6&lt;=0,0,Setup!$D$10+IF($BL6=BD$14,BD$13,0))))</f>
      </c>
      <c r="BE6" s="0" t="n">
        <f aca="false">MAX(0,BD6+BD6*Setup!$C$10/1200-(IF(BD6&lt;=0,0,Setup!$D$10+IF($BL6=BE$14,BE$13,0))))</f>
      </c>
      <c r="BF6" s="0" t="n">
        <f aca="false">MAX(0,BE6+BE6*Setup!$C$10/1200-(IF(BE6&lt;=0,0,Setup!$D$10+IF($BL6=BF$14,BF$13,0))))</f>
      </c>
      <c r="BG6" s="0" t="n">
        <f aca="false">MAX(0,BF6+BF6*Setup!$C$10/1200-(IF(BF6&lt;=0,0,Setup!$D$10+IF($BL6=BG$14,BG$13,0))))</f>
      </c>
      <c r="BH6" s="0" t="n">
        <f aca="false">MAX(0,BG6+BG6*Setup!$C$10/1200-(IF(BG6&lt;=0,0,Setup!$D$10+IF($BL6=BH$14,BH$13,0))))</f>
      </c>
      <c r="BI6" s="0" t="n">
        <f aca="false">MAX(0,BH6+BH6*Setup!$C$10/1200-(IF(BH6&lt;=0,0,Setup!$D$10+IF($BL6=BI$14,BI$13,0))))</f>
      </c>
      <c r="BJ6" s="0" t="n">
        <f aca="false">MAX(0,BI6+BI6*Setup!$C$10/1200-(IF(BI6&lt;=0,0,Setup!$D$10+IF($BL6=BJ$14,BJ$13,0))))</f>
      </c>
      <c r="BL6" s="0" t="n">
        <f aca="false">IF(Setup!B10="",9999999,IF($BM$1="Snowball",Setup!B10,1-Setup!C10/100))+(ROW()-2)*0.00001</f>
      </c>
    </row>
    <row r="7">
      <c r="A7" s="0" t="str">
        <f aca="false">Setup!A11</f>
      </c>
      <c r="B7" s="0" t="n">
        <f aca="false">IF(Setup!B11="",0,Setup!B11)</f>
      </c>
      <c r="C7" s="0" t="n">
        <f aca="false">MAX(0,B7+B7*Setup!$C$11/1200-(IF(B7&lt;=0,0,Setup!$D$11+IF($BL7=C$14,C$13,0))))</f>
      </c>
      <c r="D7" s="0" t="n">
        <f aca="false">MAX(0,C7+C7*Setup!$C$11/1200-(IF(C7&lt;=0,0,Setup!$D$11+IF($BL7=D$14,D$13,0))))</f>
      </c>
      <c r="E7" s="0" t="n">
        <f aca="false">MAX(0,D7+D7*Setup!$C$11/1200-(IF(D7&lt;=0,0,Setup!$D$11+IF($BL7=E$14,E$13,0))))</f>
      </c>
      <c r="F7" s="0" t="n">
        <f aca="false">MAX(0,E7+E7*Setup!$C$11/1200-(IF(E7&lt;=0,0,Setup!$D$11+IF($BL7=F$14,F$13,0))))</f>
      </c>
      <c r="G7" s="0" t="n">
        <f aca="false">MAX(0,F7+F7*Setup!$C$11/1200-(IF(F7&lt;=0,0,Setup!$D$11+IF($BL7=G$14,G$13,0))))</f>
      </c>
      <c r="H7" s="0" t="n">
        <f aca="false">MAX(0,G7+G7*Setup!$C$11/1200-(IF(G7&lt;=0,0,Setup!$D$11+IF($BL7=H$14,H$13,0))))</f>
      </c>
      <c r="I7" s="0" t="n">
        <f aca="false">MAX(0,H7+H7*Setup!$C$11/1200-(IF(H7&lt;=0,0,Setup!$D$11+IF($BL7=I$14,I$13,0))))</f>
      </c>
      <c r="J7" s="0" t="n">
        <f aca="false">MAX(0,I7+I7*Setup!$C$11/1200-(IF(I7&lt;=0,0,Setup!$D$11+IF($BL7=J$14,J$13,0))))</f>
      </c>
      <c r="K7" s="0" t="n">
        <f aca="false">MAX(0,J7+J7*Setup!$C$11/1200-(IF(J7&lt;=0,0,Setup!$D$11+IF($BL7=K$14,K$13,0))))</f>
      </c>
      <c r="L7" s="0" t="n">
        <f aca="false">MAX(0,K7+K7*Setup!$C$11/1200-(IF(K7&lt;=0,0,Setup!$D$11+IF($BL7=L$14,L$13,0))))</f>
      </c>
      <c r="M7" s="0" t="n">
        <f aca="false">MAX(0,L7+L7*Setup!$C$11/1200-(IF(L7&lt;=0,0,Setup!$D$11+IF($BL7=M$14,M$13,0))))</f>
      </c>
      <c r="N7" s="0" t="n">
        <f aca="false">MAX(0,M7+M7*Setup!$C$11/1200-(IF(M7&lt;=0,0,Setup!$D$11+IF($BL7=N$14,N$13,0))))</f>
      </c>
      <c r="O7" s="0" t="n">
        <f aca="false">MAX(0,N7+N7*Setup!$C$11/1200-(IF(N7&lt;=0,0,Setup!$D$11+IF($BL7=O$14,O$13,0))))</f>
      </c>
      <c r="P7" s="0" t="n">
        <f aca="false">MAX(0,O7+O7*Setup!$C$11/1200-(IF(O7&lt;=0,0,Setup!$D$11+IF($BL7=P$14,P$13,0))))</f>
      </c>
      <c r="Q7" s="0" t="n">
        <f aca="false">MAX(0,P7+P7*Setup!$C$11/1200-(IF(P7&lt;=0,0,Setup!$D$11+IF($BL7=Q$14,Q$13,0))))</f>
      </c>
      <c r="R7" s="0" t="n">
        <f aca="false">MAX(0,Q7+Q7*Setup!$C$11/1200-(IF(Q7&lt;=0,0,Setup!$D$11+IF($BL7=R$14,R$13,0))))</f>
      </c>
      <c r="S7" s="0" t="n">
        <f aca="false">MAX(0,R7+R7*Setup!$C$11/1200-(IF(R7&lt;=0,0,Setup!$D$11+IF($BL7=S$14,S$13,0))))</f>
      </c>
      <c r="T7" s="0" t="n">
        <f aca="false">MAX(0,S7+S7*Setup!$C$11/1200-(IF(S7&lt;=0,0,Setup!$D$11+IF($BL7=T$14,T$13,0))))</f>
      </c>
      <c r="U7" s="0" t="n">
        <f aca="false">MAX(0,T7+T7*Setup!$C$11/1200-(IF(T7&lt;=0,0,Setup!$D$11+IF($BL7=U$14,U$13,0))))</f>
      </c>
      <c r="V7" s="0" t="n">
        <f aca="false">MAX(0,U7+U7*Setup!$C$11/1200-(IF(U7&lt;=0,0,Setup!$D$11+IF($BL7=V$14,V$13,0))))</f>
      </c>
      <c r="W7" s="0" t="n">
        <f aca="false">MAX(0,V7+V7*Setup!$C$11/1200-(IF(V7&lt;=0,0,Setup!$D$11+IF($BL7=W$14,W$13,0))))</f>
      </c>
      <c r="X7" s="0" t="n">
        <f aca="false">MAX(0,W7+W7*Setup!$C$11/1200-(IF(W7&lt;=0,0,Setup!$D$11+IF($BL7=X$14,X$13,0))))</f>
      </c>
      <c r="Y7" s="0" t="n">
        <f aca="false">MAX(0,X7+X7*Setup!$C$11/1200-(IF(X7&lt;=0,0,Setup!$D$11+IF($BL7=Y$14,Y$13,0))))</f>
      </c>
      <c r="Z7" s="0" t="n">
        <f aca="false">MAX(0,Y7+Y7*Setup!$C$11/1200-(IF(Y7&lt;=0,0,Setup!$D$11+IF($BL7=Z$14,Z$13,0))))</f>
      </c>
      <c r="AA7" s="0" t="n">
        <f aca="false">MAX(0,Z7+Z7*Setup!$C$11/1200-(IF(Z7&lt;=0,0,Setup!$D$11+IF($BL7=AA$14,AA$13,0))))</f>
      </c>
      <c r="AB7" s="0" t="n">
        <f aca="false">MAX(0,AA7+AA7*Setup!$C$11/1200-(IF(AA7&lt;=0,0,Setup!$D$11+IF($BL7=AB$14,AB$13,0))))</f>
      </c>
      <c r="AC7" s="0" t="n">
        <f aca="false">MAX(0,AB7+AB7*Setup!$C$11/1200-(IF(AB7&lt;=0,0,Setup!$D$11+IF($BL7=AC$14,AC$13,0))))</f>
      </c>
      <c r="AD7" s="0" t="n">
        <f aca="false">MAX(0,AC7+AC7*Setup!$C$11/1200-(IF(AC7&lt;=0,0,Setup!$D$11+IF($BL7=AD$14,AD$13,0))))</f>
      </c>
      <c r="AE7" s="0" t="n">
        <f aca="false">MAX(0,AD7+AD7*Setup!$C$11/1200-(IF(AD7&lt;=0,0,Setup!$D$11+IF($BL7=AE$14,AE$13,0))))</f>
      </c>
      <c r="AF7" s="0" t="n">
        <f aca="false">MAX(0,AE7+AE7*Setup!$C$11/1200-(IF(AE7&lt;=0,0,Setup!$D$11+IF($BL7=AF$14,AF$13,0))))</f>
      </c>
      <c r="AG7" s="0" t="n">
        <f aca="false">MAX(0,AF7+AF7*Setup!$C$11/1200-(IF(AF7&lt;=0,0,Setup!$D$11+IF($BL7=AG$14,AG$13,0))))</f>
      </c>
      <c r="AH7" s="0" t="n">
        <f aca="false">MAX(0,AG7+AG7*Setup!$C$11/1200-(IF(AG7&lt;=0,0,Setup!$D$11+IF($BL7=AH$14,AH$13,0))))</f>
      </c>
      <c r="AI7" s="0" t="n">
        <f aca="false">MAX(0,AH7+AH7*Setup!$C$11/1200-(IF(AH7&lt;=0,0,Setup!$D$11+IF($BL7=AI$14,AI$13,0))))</f>
      </c>
      <c r="AJ7" s="0" t="n">
        <f aca="false">MAX(0,AI7+AI7*Setup!$C$11/1200-(IF(AI7&lt;=0,0,Setup!$D$11+IF($BL7=AJ$14,AJ$13,0))))</f>
      </c>
      <c r="AK7" s="0" t="n">
        <f aca="false">MAX(0,AJ7+AJ7*Setup!$C$11/1200-(IF(AJ7&lt;=0,0,Setup!$D$11+IF($BL7=AK$14,AK$13,0))))</f>
      </c>
      <c r="AL7" s="0" t="n">
        <f aca="false">MAX(0,AK7+AK7*Setup!$C$11/1200-(IF(AK7&lt;=0,0,Setup!$D$11+IF($BL7=AL$14,AL$13,0))))</f>
      </c>
      <c r="AM7" s="0" t="n">
        <f aca="false">MAX(0,AL7+AL7*Setup!$C$11/1200-(IF(AL7&lt;=0,0,Setup!$D$11+IF($BL7=AM$14,AM$13,0))))</f>
      </c>
      <c r="AN7" s="0" t="n">
        <f aca="false">MAX(0,AM7+AM7*Setup!$C$11/1200-(IF(AM7&lt;=0,0,Setup!$D$11+IF($BL7=AN$14,AN$13,0))))</f>
      </c>
      <c r="AO7" s="0" t="n">
        <f aca="false">MAX(0,AN7+AN7*Setup!$C$11/1200-(IF(AN7&lt;=0,0,Setup!$D$11+IF($BL7=AO$14,AO$13,0))))</f>
      </c>
      <c r="AP7" s="0" t="n">
        <f aca="false">MAX(0,AO7+AO7*Setup!$C$11/1200-(IF(AO7&lt;=0,0,Setup!$D$11+IF($BL7=AP$14,AP$13,0))))</f>
      </c>
      <c r="AQ7" s="0" t="n">
        <f aca="false">MAX(0,AP7+AP7*Setup!$C$11/1200-(IF(AP7&lt;=0,0,Setup!$D$11+IF($BL7=AQ$14,AQ$13,0))))</f>
      </c>
      <c r="AR7" s="0" t="n">
        <f aca="false">MAX(0,AQ7+AQ7*Setup!$C$11/1200-(IF(AQ7&lt;=0,0,Setup!$D$11+IF($BL7=AR$14,AR$13,0))))</f>
      </c>
      <c r="AS7" s="0" t="n">
        <f aca="false">MAX(0,AR7+AR7*Setup!$C$11/1200-(IF(AR7&lt;=0,0,Setup!$D$11+IF($BL7=AS$14,AS$13,0))))</f>
      </c>
      <c r="AT7" s="0" t="n">
        <f aca="false">MAX(0,AS7+AS7*Setup!$C$11/1200-(IF(AS7&lt;=0,0,Setup!$D$11+IF($BL7=AT$14,AT$13,0))))</f>
      </c>
      <c r="AU7" s="0" t="n">
        <f aca="false">MAX(0,AT7+AT7*Setup!$C$11/1200-(IF(AT7&lt;=0,0,Setup!$D$11+IF($BL7=AU$14,AU$13,0))))</f>
      </c>
      <c r="AV7" s="0" t="n">
        <f aca="false">MAX(0,AU7+AU7*Setup!$C$11/1200-(IF(AU7&lt;=0,0,Setup!$D$11+IF($BL7=AV$14,AV$13,0))))</f>
      </c>
      <c r="AW7" s="0" t="n">
        <f aca="false">MAX(0,AV7+AV7*Setup!$C$11/1200-(IF(AV7&lt;=0,0,Setup!$D$11+IF($BL7=AW$14,AW$13,0))))</f>
      </c>
      <c r="AX7" s="0" t="n">
        <f aca="false">MAX(0,AW7+AW7*Setup!$C$11/1200-(IF(AW7&lt;=0,0,Setup!$D$11+IF($BL7=AX$14,AX$13,0))))</f>
      </c>
      <c r="AY7" s="0" t="n">
        <f aca="false">MAX(0,AX7+AX7*Setup!$C$11/1200-(IF(AX7&lt;=0,0,Setup!$D$11+IF($BL7=AY$14,AY$13,0))))</f>
      </c>
      <c r="AZ7" s="0" t="n">
        <f aca="false">MAX(0,AY7+AY7*Setup!$C$11/1200-(IF(AY7&lt;=0,0,Setup!$D$11+IF($BL7=AZ$14,AZ$13,0))))</f>
      </c>
      <c r="BA7" s="0" t="n">
        <f aca="false">MAX(0,AZ7+AZ7*Setup!$C$11/1200-(IF(AZ7&lt;=0,0,Setup!$D$11+IF($BL7=BA$14,BA$13,0))))</f>
      </c>
      <c r="BB7" s="0" t="n">
        <f aca="false">MAX(0,BA7+BA7*Setup!$C$11/1200-(IF(BA7&lt;=0,0,Setup!$D$11+IF($BL7=BB$14,BB$13,0))))</f>
      </c>
      <c r="BC7" s="0" t="n">
        <f aca="false">MAX(0,BB7+BB7*Setup!$C$11/1200-(IF(BB7&lt;=0,0,Setup!$D$11+IF($BL7=BC$14,BC$13,0))))</f>
      </c>
      <c r="BD7" s="0" t="n">
        <f aca="false">MAX(0,BC7+BC7*Setup!$C$11/1200-(IF(BC7&lt;=0,0,Setup!$D$11+IF($BL7=BD$14,BD$13,0))))</f>
      </c>
      <c r="BE7" s="0" t="n">
        <f aca="false">MAX(0,BD7+BD7*Setup!$C$11/1200-(IF(BD7&lt;=0,0,Setup!$D$11+IF($BL7=BE$14,BE$13,0))))</f>
      </c>
      <c r="BF7" s="0" t="n">
        <f aca="false">MAX(0,BE7+BE7*Setup!$C$11/1200-(IF(BE7&lt;=0,0,Setup!$D$11+IF($BL7=BF$14,BF$13,0))))</f>
      </c>
      <c r="BG7" s="0" t="n">
        <f aca="false">MAX(0,BF7+BF7*Setup!$C$11/1200-(IF(BF7&lt;=0,0,Setup!$D$11+IF($BL7=BG$14,BG$13,0))))</f>
      </c>
      <c r="BH7" s="0" t="n">
        <f aca="false">MAX(0,BG7+BG7*Setup!$C$11/1200-(IF(BG7&lt;=0,0,Setup!$D$11+IF($BL7=BH$14,BH$13,0))))</f>
      </c>
      <c r="BI7" s="0" t="n">
        <f aca="false">MAX(0,BH7+BH7*Setup!$C$11/1200-(IF(BH7&lt;=0,0,Setup!$D$11+IF($BL7=BI$14,BI$13,0))))</f>
      </c>
      <c r="BJ7" s="0" t="n">
        <f aca="false">MAX(0,BI7+BI7*Setup!$C$11/1200-(IF(BI7&lt;=0,0,Setup!$D$11+IF($BL7=BJ$14,BJ$13,0))))</f>
      </c>
      <c r="BL7" s="0" t="n">
        <f aca="false">IF(Setup!B11="",9999999,IF($BM$1="Snowball",Setup!B11,1-Setup!C11/100))+(ROW()-2)*0.00001</f>
      </c>
    </row>
    <row r="8">
      <c r="A8" s="0" t="str">
        <f aca="false">Setup!A12</f>
      </c>
      <c r="B8" s="0" t="n">
        <f aca="false">IF(Setup!B12="",0,Setup!B12)</f>
      </c>
      <c r="C8" s="0" t="n">
        <f aca="false">MAX(0,B8+B8*Setup!$C$12/1200-(IF(B8&lt;=0,0,Setup!$D$12+IF($BL8=C$14,C$13,0))))</f>
      </c>
      <c r="D8" s="0" t="n">
        <f aca="false">MAX(0,C8+C8*Setup!$C$12/1200-(IF(C8&lt;=0,0,Setup!$D$12+IF($BL8=D$14,D$13,0))))</f>
      </c>
      <c r="E8" s="0" t="n">
        <f aca="false">MAX(0,D8+D8*Setup!$C$12/1200-(IF(D8&lt;=0,0,Setup!$D$12+IF($BL8=E$14,E$13,0))))</f>
      </c>
      <c r="F8" s="0" t="n">
        <f aca="false">MAX(0,E8+E8*Setup!$C$12/1200-(IF(E8&lt;=0,0,Setup!$D$12+IF($BL8=F$14,F$13,0))))</f>
      </c>
      <c r="G8" s="0" t="n">
        <f aca="false">MAX(0,F8+F8*Setup!$C$12/1200-(IF(F8&lt;=0,0,Setup!$D$12+IF($BL8=G$14,G$13,0))))</f>
      </c>
      <c r="H8" s="0" t="n">
        <f aca="false">MAX(0,G8+G8*Setup!$C$12/1200-(IF(G8&lt;=0,0,Setup!$D$12+IF($BL8=H$14,H$13,0))))</f>
      </c>
      <c r="I8" s="0" t="n">
        <f aca="false">MAX(0,H8+H8*Setup!$C$12/1200-(IF(H8&lt;=0,0,Setup!$D$12+IF($BL8=I$14,I$13,0))))</f>
      </c>
      <c r="J8" s="0" t="n">
        <f aca="false">MAX(0,I8+I8*Setup!$C$12/1200-(IF(I8&lt;=0,0,Setup!$D$12+IF($BL8=J$14,J$13,0))))</f>
      </c>
      <c r="K8" s="0" t="n">
        <f aca="false">MAX(0,J8+J8*Setup!$C$12/1200-(IF(J8&lt;=0,0,Setup!$D$12+IF($BL8=K$14,K$13,0))))</f>
      </c>
      <c r="L8" s="0" t="n">
        <f aca="false">MAX(0,K8+K8*Setup!$C$12/1200-(IF(K8&lt;=0,0,Setup!$D$12+IF($BL8=L$14,L$13,0))))</f>
      </c>
      <c r="M8" s="0" t="n">
        <f aca="false">MAX(0,L8+L8*Setup!$C$12/1200-(IF(L8&lt;=0,0,Setup!$D$12+IF($BL8=M$14,M$13,0))))</f>
      </c>
      <c r="N8" s="0" t="n">
        <f aca="false">MAX(0,M8+M8*Setup!$C$12/1200-(IF(M8&lt;=0,0,Setup!$D$12+IF($BL8=N$14,N$13,0))))</f>
      </c>
      <c r="O8" s="0" t="n">
        <f aca="false">MAX(0,N8+N8*Setup!$C$12/1200-(IF(N8&lt;=0,0,Setup!$D$12+IF($BL8=O$14,O$13,0))))</f>
      </c>
      <c r="P8" s="0" t="n">
        <f aca="false">MAX(0,O8+O8*Setup!$C$12/1200-(IF(O8&lt;=0,0,Setup!$D$12+IF($BL8=P$14,P$13,0))))</f>
      </c>
      <c r="Q8" s="0" t="n">
        <f aca="false">MAX(0,P8+P8*Setup!$C$12/1200-(IF(P8&lt;=0,0,Setup!$D$12+IF($BL8=Q$14,Q$13,0))))</f>
      </c>
      <c r="R8" s="0" t="n">
        <f aca="false">MAX(0,Q8+Q8*Setup!$C$12/1200-(IF(Q8&lt;=0,0,Setup!$D$12+IF($BL8=R$14,R$13,0))))</f>
      </c>
      <c r="S8" s="0" t="n">
        <f aca="false">MAX(0,R8+R8*Setup!$C$12/1200-(IF(R8&lt;=0,0,Setup!$D$12+IF($BL8=S$14,S$13,0))))</f>
      </c>
      <c r="T8" s="0" t="n">
        <f aca="false">MAX(0,S8+S8*Setup!$C$12/1200-(IF(S8&lt;=0,0,Setup!$D$12+IF($BL8=T$14,T$13,0))))</f>
      </c>
      <c r="U8" s="0" t="n">
        <f aca="false">MAX(0,T8+T8*Setup!$C$12/1200-(IF(T8&lt;=0,0,Setup!$D$12+IF($BL8=U$14,U$13,0))))</f>
      </c>
      <c r="V8" s="0" t="n">
        <f aca="false">MAX(0,U8+U8*Setup!$C$12/1200-(IF(U8&lt;=0,0,Setup!$D$12+IF($BL8=V$14,V$13,0))))</f>
      </c>
      <c r="W8" s="0" t="n">
        <f aca="false">MAX(0,V8+V8*Setup!$C$12/1200-(IF(V8&lt;=0,0,Setup!$D$12+IF($BL8=W$14,W$13,0))))</f>
      </c>
      <c r="X8" s="0" t="n">
        <f aca="false">MAX(0,W8+W8*Setup!$C$12/1200-(IF(W8&lt;=0,0,Setup!$D$12+IF($BL8=X$14,X$13,0))))</f>
      </c>
      <c r="Y8" s="0" t="n">
        <f aca="false">MAX(0,X8+X8*Setup!$C$12/1200-(IF(X8&lt;=0,0,Setup!$D$12+IF($BL8=Y$14,Y$13,0))))</f>
      </c>
      <c r="Z8" s="0" t="n">
        <f aca="false">MAX(0,Y8+Y8*Setup!$C$12/1200-(IF(Y8&lt;=0,0,Setup!$D$12+IF($BL8=Z$14,Z$13,0))))</f>
      </c>
      <c r="AA8" s="0" t="n">
        <f aca="false">MAX(0,Z8+Z8*Setup!$C$12/1200-(IF(Z8&lt;=0,0,Setup!$D$12+IF($BL8=AA$14,AA$13,0))))</f>
      </c>
      <c r="AB8" s="0" t="n">
        <f aca="false">MAX(0,AA8+AA8*Setup!$C$12/1200-(IF(AA8&lt;=0,0,Setup!$D$12+IF($BL8=AB$14,AB$13,0))))</f>
      </c>
      <c r="AC8" s="0" t="n">
        <f aca="false">MAX(0,AB8+AB8*Setup!$C$12/1200-(IF(AB8&lt;=0,0,Setup!$D$12+IF($BL8=AC$14,AC$13,0))))</f>
      </c>
      <c r="AD8" s="0" t="n">
        <f aca="false">MAX(0,AC8+AC8*Setup!$C$12/1200-(IF(AC8&lt;=0,0,Setup!$D$12+IF($BL8=AD$14,AD$13,0))))</f>
      </c>
      <c r="AE8" s="0" t="n">
        <f aca="false">MAX(0,AD8+AD8*Setup!$C$12/1200-(IF(AD8&lt;=0,0,Setup!$D$12+IF($BL8=AE$14,AE$13,0))))</f>
      </c>
      <c r="AF8" s="0" t="n">
        <f aca="false">MAX(0,AE8+AE8*Setup!$C$12/1200-(IF(AE8&lt;=0,0,Setup!$D$12+IF($BL8=AF$14,AF$13,0))))</f>
      </c>
      <c r="AG8" s="0" t="n">
        <f aca="false">MAX(0,AF8+AF8*Setup!$C$12/1200-(IF(AF8&lt;=0,0,Setup!$D$12+IF($BL8=AG$14,AG$13,0))))</f>
      </c>
      <c r="AH8" s="0" t="n">
        <f aca="false">MAX(0,AG8+AG8*Setup!$C$12/1200-(IF(AG8&lt;=0,0,Setup!$D$12+IF($BL8=AH$14,AH$13,0))))</f>
      </c>
      <c r="AI8" s="0" t="n">
        <f aca="false">MAX(0,AH8+AH8*Setup!$C$12/1200-(IF(AH8&lt;=0,0,Setup!$D$12+IF($BL8=AI$14,AI$13,0))))</f>
      </c>
      <c r="AJ8" s="0" t="n">
        <f aca="false">MAX(0,AI8+AI8*Setup!$C$12/1200-(IF(AI8&lt;=0,0,Setup!$D$12+IF($BL8=AJ$14,AJ$13,0))))</f>
      </c>
      <c r="AK8" s="0" t="n">
        <f aca="false">MAX(0,AJ8+AJ8*Setup!$C$12/1200-(IF(AJ8&lt;=0,0,Setup!$D$12+IF($BL8=AK$14,AK$13,0))))</f>
      </c>
      <c r="AL8" s="0" t="n">
        <f aca="false">MAX(0,AK8+AK8*Setup!$C$12/1200-(IF(AK8&lt;=0,0,Setup!$D$12+IF($BL8=AL$14,AL$13,0))))</f>
      </c>
      <c r="AM8" s="0" t="n">
        <f aca="false">MAX(0,AL8+AL8*Setup!$C$12/1200-(IF(AL8&lt;=0,0,Setup!$D$12+IF($BL8=AM$14,AM$13,0))))</f>
      </c>
      <c r="AN8" s="0" t="n">
        <f aca="false">MAX(0,AM8+AM8*Setup!$C$12/1200-(IF(AM8&lt;=0,0,Setup!$D$12+IF($BL8=AN$14,AN$13,0))))</f>
      </c>
      <c r="AO8" s="0" t="n">
        <f aca="false">MAX(0,AN8+AN8*Setup!$C$12/1200-(IF(AN8&lt;=0,0,Setup!$D$12+IF($BL8=AO$14,AO$13,0))))</f>
      </c>
      <c r="AP8" s="0" t="n">
        <f aca="false">MAX(0,AO8+AO8*Setup!$C$12/1200-(IF(AO8&lt;=0,0,Setup!$D$12+IF($BL8=AP$14,AP$13,0))))</f>
      </c>
      <c r="AQ8" s="0" t="n">
        <f aca="false">MAX(0,AP8+AP8*Setup!$C$12/1200-(IF(AP8&lt;=0,0,Setup!$D$12+IF($BL8=AQ$14,AQ$13,0))))</f>
      </c>
      <c r="AR8" s="0" t="n">
        <f aca="false">MAX(0,AQ8+AQ8*Setup!$C$12/1200-(IF(AQ8&lt;=0,0,Setup!$D$12+IF($BL8=AR$14,AR$13,0))))</f>
      </c>
      <c r="AS8" s="0" t="n">
        <f aca="false">MAX(0,AR8+AR8*Setup!$C$12/1200-(IF(AR8&lt;=0,0,Setup!$D$12+IF($BL8=AS$14,AS$13,0))))</f>
      </c>
      <c r="AT8" s="0" t="n">
        <f aca="false">MAX(0,AS8+AS8*Setup!$C$12/1200-(IF(AS8&lt;=0,0,Setup!$D$12+IF($BL8=AT$14,AT$13,0))))</f>
      </c>
      <c r="AU8" s="0" t="n">
        <f aca="false">MAX(0,AT8+AT8*Setup!$C$12/1200-(IF(AT8&lt;=0,0,Setup!$D$12+IF($BL8=AU$14,AU$13,0))))</f>
      </c>
      <c r="AV8" s="0" t="n">
        <f aca="false">MAX(0,AU8+AU8*Setup!$C$12/1200-(IF(AU8&lt;=0,0,Setup!$D$12+IF($BL8=AV$14,AV$13,0))))</f>
      </c>
      <c r="AW8" s="0" t="n">
        <f aca="false">MAX(0,AV8+AV8*Setup!$C$12/1200-(IF(AV8&lt;=0,0,Setup!$D$12+IF($BL8=AW$14,AW$13,0))))</f>
      </c>
      <c r="AX8" s="0" t="n">
        <f aca="false">MAX(0,AW8+AW8*Setup!$C$12/1200-(IF(AW8&lt;=0,0,Setup!$D$12+IF($BL8=AX$14,AX$13,0))))</f>
      </c>
      <c r="AY8" s="0" t="n">
        <f aca="false">MAX(0,AX8+AX8*Setup!$C$12/1200-(IF(AX8&lt;=0,0,Setup!$D$12+IF($BL8=AY$14,AY$13,0))))</f>
      </c>
      <c r="AZ8" s="0" t="n">
        <f aca="false">MAX(0,AY8+AY8*Setup!$C$12/1200-(IF(AY8&lt;=0,0,Setup!$D$12+IF($BL8=AZ$14,AZ$13,0))))</f>
      </c>
      <c r="BA8" s="0" t="n">
        <f aca="false">MAX(0,AZ8+AZ8*Setup!$C$12/1200-(IF(AZ8&lt;=0,0,Setup!$D$12+IF($BL8=BA$14,BA$13,0))))</f>
      </c>
      <c r="BB8" s="0" t="n">
        <f aca="false">MAX(0,BA8+BA8*Setup!$C$12/1200-(IF(BA8&lt;=0,0,Setup!$D$12+IF($BL8=BB$14,BB$13,0))))</f>
      </c>
      <c r="BC8" s="0" t="n">
        <f aca="false">MAX(0,BB8+BB8*Setup!$C$12/1200-(IF(BB8&lt;=0,0,Setup!$D$12+IF($BL8=BC$14,BC$13,0))))</f>
      </c>
      <c r="BD8" s="0" t="n">
        <f aca="false">MAX(0,BC8+BC8*Setup!$C$12/1200-(IF(BC8&lt;=0,0,Setup!$D$12+IF($BL8=BD$14,BD$13,0))))</f>
      </c>
      <c r="BE8" s="0" t="n">
        <f aca="false">MAX(0,BD8+BD8*Setup!$C$12/1200-(IF(BD8&lt;=0,0,Setup!$D$12+IF($BL8=BE$14,BE$13,0))))</f>
      </c>
      <c r="BF8" s="0" t="n">
        <f aca="false">MAX(0,BE8+BE8*Setup!$C$12/1200-(IF(BE8&lt;=0,0,Setup!$D$12+IF($BL8=BF$14,BF$13,0))))</f>
      </c>
      <c r="BG8" s="0" t="n">
        <f aca="false">MAX(0,BF8+BF8*Setup!$C$12/1200-(IF(BF8&lt;=0,0,Setup!$D$12+IF($BL8=BG$14,BG$13,0))))</f>
      </c>
      <c r="BH8" s="0" t="n">
        <f aca="false">MAX(0,BG8+BG8*Setup!$C$12/1200-(IF(BG8&lt;=0,0,Setup!$D$12+IF($BL8=BH$14,BH$13,0))))</f>
      </c>
      <c r="BI8" s="0" t="n">
        <f aca="false">MAX(0,BH8+BH8*Setup!$C$12/1200-(IF(BH8&lt;=0,0,Setup!$D$12+IF($BL8=BI$14,BI$13,0))))</f>
      </c>
      <c r="BJ8" s="0" t="n">
        <f aca="false">MAX(0,BI8+BI8*Setup!$C$12/1200-(IF(BI8&lt;=0,0,Setup!$D$12+IF($BL8=BJ$14,BJ$13,0))))</f>
      </c>
      <c r="BL8" s="0" t="n">
        <f aca="false">IF(Setup!B12="",9999999,IF($BM$1="Snowball",Setup!B12,1-Setup!C12/100))+(ROW()-2)*0.00001</f>
      </c>
    </row>
    <row r="9">
      <c r="A9" s="0" t="str">
        <f aca="false">Setup!A13</f>
      </c>
      <c r="B9" s="0" t="n">
        <f aca="false">IF(Setup!B13="",0,Setup!B13)</f>
      </c>
      <c r="C9" s="0" t="n">
        <f aca="false">MAX(0,B9+B9*Setup!$C$13/1200-(IF(B9&lt;=0,0,Setup!$D$13+IF($BL9=C$14,C$13,0))))</f>
      </c>
      <c r="D9" s="0" t="n">
        <f aca="false">MAX(0,C9+C9*Setup!$C$13/1200-(IF(C9&lt;=0,0,Setup!$D$13+IF($BL9=D$14,D$13,0))))</f>
      </c>
      <c r="E9" s="0" t="n">
        <f aca="false">MAX(0,D9+D9*Setup!$C$13/1200-(IF(D9&lt;=0,0,Setup!$D$13+IF($BL9=E$14,E$13,0))))</f>
      </c>
      <c r="F9" s="0" t="n">
        <f aca="false">MAX(0,E9+E9*Setup!$C$13/1200-(IF(E9&lt;=0,0,Setup!$D$13+IF($BL9=F$14,F$13,0))))</f>
      </c>
      <c r="G9" s="0" t="n">
        <f aca="false">MAX(0,F9+F9*Setup!$C$13/1200-(IF(F9&lt;=0,0,Setup!$D$13+IF($BL9=G$14,G$13,0))))</f>
      </c>
      <c r="H9" s="0" t="n">
        <f aca="false">MAX(0,G9+G9*Setup!$C$13/1200-(IF(G9&lt;=0,0,Setup!$D$13+IF($BL9=H$14,H$13,0))))</f>
      </c>
      <c r="I9" s="0" t="n">
        <f aca="false">MAX(0,H9+H9*Setup!$C$13/1200-(IF(H9&lt;=0,0,Setup!$D$13+IF($BL9=I$14,I$13,0))))</f>
      </c>
      <c r="J9" s="0" t="n">
        <f aca="false">MAX(0,I9+I9*Setup!$C$13/1200-(IF(I9&lt;=0,0,Setup!$D$13+IF($BL9=J$14,J$13,0))))</f>
      </c>
      <c r="K9" s="0" t="n">
        <f aca="false">MAX(0,J9+J9*Setup!$C$13/1200-(IF(J9&lt;=0,0,Setup!$D$13+IF($BL9=K$14,K$13,0))))</f>
      </c>
      <c r="L9" s="0" t="n">
        <f aca="false">MAX(0,K9+K9*Setup!$C$13/1200-(IF(K9&lt;=0,0,Setup!$D$13+IF($BL9=L$14,L$13,0))))</f>
      </c>
      <c r="M9" s="0" t="n">
        <f aca="false">MAX(0,L9+L9*Setup!$C$13/1200-(IF(L9&lt;=0,0,Setup!$D$13+IF($BL9=M$14,M$13,0))))</f>
      </c>
      <c r="N9" s="0" t="n">
        <f aca="false">MAX(0,M9+M9*Setup!$C$13/1200-(IF(M9&lt;=0,0,Setup!$D$13+IF($BL9=N$14,N$13,0))))</f>
      </c>
      <c r="O9" s="0" t="n">
        <f aca="false">MAX(0,N9+N9*Setup!$C$13/1200-(IF(N9&lt;=0,0,Setup!$D$13+IF($BL9=O$14,O$13,0))))</f>
      </c>
      <c r="P9" s="0" t="n">
        <f aca="false">MAX(0,O9+O9*Setup!$C$13/1200-(IF(O9&lt;=0,0,Setup!$D$13+IF($BL9=P$14,P$13,0))))</f>
      </c>
      <c r="Q9" s="0" t="n">
        <f aca="false">MAX(0,P9+P9*Setup!$C$13/1200-(IF(P9&lt;=0,0,Setup!$D$13+IF($BL9=Q$14,Q$13,0))))</f>
      </c>
      <c r="R9" s="0" t="n">
        <f aca="false">MAX(0,Q9+Q9*Setup!$C$13/1200-(IF(Q9&lt;=0,0,Setup!$D$13+IF($BL9=R$14,R$13,0))))</f>
      </c>
      <c r="S9" s="0" t="n">
        <f aca="false">MAX(0,R9+R9*Setup!$C$13/1200-(IF(R9&lt;=0,0,Setup!$D$13+IF($BL9=S$14,S$13,0))))</f>
      </c>
      <c r="T9" s="0" t="n">
        <f aca="false">MAX(0,S9+S9*Setup!$C$13/1200-(IF(S9&lt;=0,0,Setup!$D$13+IF($BL9=T$14,T$13,0))))</f>
      </c>
      <c r="U9" s="0" t="n">
        <f aca="false">MAX(0,T9+T9*Setup!$C$13/1200-(IF(T9&lt;=0,0,Setup!$D$13+IF($BL9=U$14,U$13,0))))</f>
      </c>
      <c r="V9" s="0" t="n">
        <f aca="false">MAX(0,U9+U9*Setup!$C$13/1200-(IF(U9&lt;=0,0,Setup!$D$13+IF($BL9=V$14,V$13,0))))</f>
      </c>
      <c r="W9" s="0" t="n">
        <f aca="false">MAX(0,V9+V9*Setup!$C$13/1200-(IF(V9&lt;=0,0,Setup!$D$13+IF($BL9=W$14,W$13,0))))</f>
      </c>
      <c r="X9" s="0" t="n">
        <f aca="false">MAX(0,W9+W9*Setup!$C$13/1200-(IF(W9&lt;=0,0,Setup!$D$13+IF($BL9=X$14,X$13,0))))</f>
      </c>
      <c r="Y9" s="0" t="n">
        <f aca="false">MAX(0,X9+X9*Setup!$C$13/1200-(IF(X9&lt;=0,0,Setup!$D$13+IF($BL9=Y$14,Y$13,0))))</f>
      </c>
      <c r="Z9" s="0" t="n">
        <f aca="false">MAX(0,Y9+Y9*Setup!$C$13/1200-(IF(Y9&lt;=0,0,Setup!$D$13+IF($BL9=Z$14,Z$13,0))))</f>
      </c>
      <c r="AA9" s="0" t="n">
        <f aca="false">MAX(0,Z9+Z9*Setup!$C$13/1200-(IF(Z9&lt;=0,0,Setup!$D$13+IF($BL9=AA$14,AA$13,0))))</f>
      </c>
      <c r="AB9" s="0" t="n">
        <f aca="false">MAX(0,AA9+AA9*Setup!$C$13/1200-(IF(AA9&lt;=0,0,Setup!$D$13+IF($BL9=AB$14,AB$13,0))))</f>
      </c>
      <c r="AC9" s="0" t="n">
        <f aca="false">MAX(0,AB9+AB9*Setup!$C$13/1200-(IF(AB9&lt;=0,0,Setup!$D$13+IF($BL9=AC$14,AC$13,0))))</f>
      </c>
      <c r="AD9" s="0" t="n">
        <f aca="false">MAX(0,AC9+AC9*Setup!$C$13/1200-(IF(AC9&lt;=0,0,Setup!$D$13+IF($BL9=AD$14,AD$13,0))))</f>
      </c>
      <c r="AE9" s="0" t="n">
        <f aca="false">MAX(0,AD9+AD9*Setup!$C$13/1200-(IF(AD9&lt;=0,0,Setup!$D$13+IF($BL9=AE$14,AE$13,0))))</f>
      </c>
      <c r="AF9" s="0" t="n">
        <f aca="false">MAX(0,AE9+AE9*Setup!$C$13/1200-(IF(AE9&lt;=0,0,Setup!$D$13+IF($BL9=AF$14,AF$13,0))))</f>
      </c>
      <c r="AG9" s="0" t="n">
        <f aca="false">MAX(0,AF9+AF9*Setup!$C$13/1200-(IF(AF9&lt;=0,0,Setup!$D$13+IF($BL9=AG$14,AG$13,0))))</f>
      </c>
      <c r="AH9" s="0" t="n">
        <f aca="false">MAX(0,AG9+AG9*Setup!$C$13/1200-(IF(AG9&lt;=0,0,Setup!$D$13+IF($BL9=AH$14,AH$13,0))))</f>
      </c>
      <c r="AI9" s="0" t="n">
        <f aca="false">MAX(0,AH9+AH9*Setup!$C$13/1200-(IF(AH9&lt;=0,0,Setup!$D$13+IF($BL9=AI$14,AI$13,0))))</f>
      </c>
      <c r="AJ9" s="0" t="n">
        <f aca="false">MAX(0,AI9+AI9*Setup!$C$13/1200-(IF(AI9&lt;=0,0,Setup!$D$13+IF($BL9=AJ$14,AJ$13,0))))</f>
      </c>
      <c r="AK9" s="0" t="n">
        <f aca="false">MAX(0,AJ9+AJ9*Setup!$C$13/1200-(IF(AJ9&lt;=0,0,Setup!$D$13+IF($BL9=AK$14,AK$13,0))))</f>
      </c>
      <c r="AL9" s="0" t="n">
        <f aca="false">MAX(0,AK9+AK9*Setup!$C$13/1200-(IF(AK9&lt;=0,0,Setup!$D$13+IF($BL9=AL$14,AL$13,0))))</f>
      </c>
      <c r="AM9" s="0" t="n">
        <f aca="false">MAX(0,AL9+AL9*Setup!$C$13/1200-(IF(AL9&lt;=0,0,Setup!$D$13+IF($BL9=AM$14,AM$13,0))))</f>
      </c>
      <c r="AN9" s="0" t="n">
        <f aca="false">MAX(0,AM9+AM9*Setup!$C$13/1200-(IF(AM9&lt;=0,0,Setup!$D$13+IF($BL9=AN$14,AN$13,0))))</f>
      </c>
      <c r="AO9" s="0" t="n">
        <f aca="false">MAX(0,AN9+AN9*Setup!$C$13/1200-(IF(AN9&lt;=0,0,Setup!$D$13+IF($BL9=AO$14,AO$13,0))))</f>
      </c>
      <c r="AP9" s="0" t="n">
        <f aca="false">MAX(0,AO9+AO9*Setup!$C$13/1200-(IF(AO9&lt;=0,0,Setup!$D$13+IF($BL9=AP$14,AP$13,0))))</f>
      </c>
      <c r="AQ9" s="0" t="n">
        <f aca="false">MAX(0,AP9+AP9*Setup!$C$13/1200-(IF(AP9&lt;=0,0,Setup!$D$13+IF($BL9=AQ$14,AQ$13,0))))</f>
      </c>
      <c r="AR9" s="0" t="n">
        <f aca="false">MAX(0,AQ9+AQ9*Setup!$C$13/1200-(IF(AQ9&lt;=0,0,Setup!$D$13+IF($BL9=AR$14,AR$13,0))))</f>
      </c>
      <c r="AS9" s="0" t="n">
        <f aca="false">MAX(0,AR9+AR9*Setup!$C$13/1200-(IF(AR9&lt;=0,0,Setup!$D$13+IF($BL9=AS$14,AS$13,0))))</f>
      </c>
      <c r="AT9" s="0" t="n">
        <f aca="false">MAX(0,AS9+AS9*Setup!$C$13/1200-(IF(AS9&lt;=0,0,Setup!$D$13+IF($BL9=AT$14,AT$13,0))))</f>
      </c>
      <c r="AU9" s="0" t="n">
        <f aca="false">MAX(0,AT9+AT9*Setup!$C$13/1200-(IF(AT9&lt;=0,0,Setup!$D$13+IF($BL9=AU$14,AU$13,0))))</f>
      </c>
      <c r="AV9" s="0" t="n">
        <f aca="false">MAX(0,AU9+AU9*Setup!$C$13/1200-(IF(AU9&lt;=0,0,Setup!$D$13+IF($BL9=AV$14,AV$13,0))))</f>
      </c>
      <c r="AW9" s="0" t="n">
        <f aca="false">MAX(0,AV9+AV9*Setup!$C$13/1200-(IF(AV9&lt;=0,0,Setup!$D$13+IF($BL9=AW$14,AW$13,0))))</f>
      </c>
      <c r="AX9" s="0" t="n">
        <f aca="false">MAX(0,AW9+AW9*Setup!$C$13/1200-(IF(AW9&lt;=0,0,Setup!$D$13+IF($BL9=AX$14,AX$13,0))))</f>
      </c>
      <c r="AY9" s="0" t="n">
        <f aca="false">MAX(0,AX9+AX9*Setup!$C$13/1200-(IF(AX9&lt;=0,0,Setup!$D$13+IF($BL9=AY$14,AY$13,0))))</f>
      </c>
      <c r="AZ9" s="0" t="n">
        <f aca="false">MAX(0,AY9+AY9*Setup!$C$13/1200-(IF(AY9&lt;=0,0,Setup!$D$13+IF($BL9=AZ$14,AZ$13,0))))</f>
      </c>
      <c r="BA9" s="0" t="n">
        <f aca="false">MAX(0,AZ9+AZ9*Setup!$C$13/1200-(IF(AZ9&lt;=0,0,Setup!$D$13+IF($BL9=BA$14,BA$13,0))))</f>
      </c>
      <c r="BB9" s="0" t="n">
        <f aca="false">MAX(0,BA9+BA9*Setup!$C$13/1200-(IF(BA9&lt;=0,0,Setup!$D$13+IF($BL9=BB$14,BB$13,0))))</f>
      </c>
      <c r="BC9" s="0" t="n">
        <f aca="false">MAX(0,BB9+BB9*Setup!$C$13/1200-(IF(BB9&lt;=0,0,Setup!$D$13+IF($BL9=BC$14,BC$13,0))))</f>
      </c>
      <c r="BD9" s="0" t="n">
        <f aca="false">MAX(0,BC9+BC9*Setup!$C$13/1200-(IF(BC9&lt;=0,0,Setup!$D$13+IF($BL9=BD$14,BD$13,0))))</f>
      </c>
      <c r="BE9" s="0" t="n">
        <f aca="false">MAX(0,BD9+BD9*Setup!$C$13/1200-(IF(BD9&lt;=0,0,Setup!$D$13+IF($BL9=BE$14,BE$13,0))))</f>
      </c>
      <c r="BF9" s="0" t="n">
        <f aca="false">MAX(0,BE9+BE9*Setup!$C$13/1200-(IF(BE9&lt;=0,0,Setup!$D$13+IF($BL9=BF$14,BF$13,0))))</f>
      </c>
      <c r="BG9" s="0" t="n">
        <f aca="false">MAX(0,BF9+BF9*Setup!$C$13/1200-(IF(BF9&lt;=0,0,Setup!$D$13+IF($BL9=BG$14,BG$13,0))))</f>
      </c>
      <c r="BH9" s="0" t="n">
        <f aca="false">MAX(0,BG9+BG9*Setup!$C$13/1200-(IF(BG9&lt;=0,0,Setup!$D$13+IF($BL9=BH$14,BH$13,0))))</f>
      </c>
      <c r="BI9" s="0" t="n">
        <f aca="false">MAX(0,BH9+BH9*Setup!$C$13/1200-(IF(BH9&lt;=0,0,Setup!$D$13+IF($BL9=BI$14,BI$13,0))))</f>
      </c>
      <c r="BJ9" s="0" t="n">
        <f aca="false">MAX(0,BI9+BI9*Setup!$C$13/1200-(IF(BI9&lt;=0,0,Setup!$D$13+IF($BL9=BJ$14,BJ$13,0))))</f>
      </c>
      <c r="BL9" s="0" t="n">
        <f aca="false">IF(Setup!B13="",9999999,IF($BM$1="Snowball",Setup!B13,1-Setup!C13/100))+(ROW()-2)*0.00001</f>
      </c>
    </row>
    <row r="10">
      <c r="A10" s="0" t="str">
        <f aca="false">Setup!A14</f>
      </c>
      <c r="B10" s="0" t="n">
        <f aca="false">IF(Setup!B14="",0,Setup!B14)</f>
      </c>
      <c r="C10" s="0" t="n">
        <f aca="false">MAX(0,B10+B10*Setup!$C$14/1200-(IF(B10&lt;=0,0,Setup!$D$14+IF($BL10=C$14,C$13,0))))</f>
      </c>
      <c r="D10" s="0" t="n">
        <f aca="false">MAX(0,C10+C10*Setup!$C$14/1200-(IF(C10&lt;=0,0,Setup!$D$14+IF($BL10=D$14,D$13,0))))</f>
      </c>
      <c r="E10" s="0" t="n">
        <f aca="false">MAX(0,D10+D10*Setup!$C$14/1200-(IF(D10&lt;=0,0,Setup!$D$14+IF($BL10=E$14,E$13,0))))</f>
      </c>
      <c r="F10" s="0" t="n">
        <f aca="false">MAX(0,E10+E10*Setup!$C$14/1200-(IF(E10&lt;=0,0,Setup!$D$14+IF($BL10=F$14,F$13,0))))</f>
      </c>
      <c r="G10" s="0" t="n">
        <f aca="false">MAX(0,F10+F10*Setup!$C$14/1200-(IF(F10&lt;=0,0,Setup!$D$14+IF($BL10=G$14,G$13,0))))</f>
      </c>
      <c r="H10" s="0" t="n">
        <f aca="false">MAX(0,G10+G10*Setup!$C$14/1200-(IF(G10&lt;=0,0,Setup!$D$14+IF($BL10=H$14,H$13,0))))</f>
      </c>
      <c r="I10" s="0" t="n">
        <f aca="false">MAX(0,H10+H10*Setup!$C$14/1200-(IF(H10&lt;=0,0,Setup!$D$14+IF($BL10=I$14,I$13,0))))</f>
      </c>
      <c r="J10" s="0" t="n">
        <f aca="false">MAX(0,I10+I10*Setup!$C$14/1200-(IF(I10&lt;=0,0,Setup!$D$14+IF($BL10=J$14,J$13,0))))</f>
      </c>
      <c r="K10" s="0" t="n">
        <f aca="false">MAX(0,J10+J10*Setup!$C$14/1200-(IF(J10&lt;=0,0,Setup!$D$14+IF($BL10=K$14,K$13,0))))</f>
      </c>
      <c r="L10" s="0" t="n">
        <f aca="false">MAX(0,K10+K10*Setup!$C$14/1200-(IF(K10&lt;=0,0,Setup!$D$14+IF($BL10=L$14,L$13,0))))</f>
      </c>
      <c r="M10" s="0" t="n">
        <f aca="false">MAX(0,L10+L10*Setup!$C$14/1200-(IF(L10&lt;=0,0,Setup!$D$14+IF($BL10=M$14,M$13,0))))</f>
      </c>
      <c r="N10" s="0" t="n">
        <f aca="false">MAX(0,M10+M10*Setup!$C$14/1200-(IF(M10&lt;=0,0,Setup!$D$14+IF($BL10=N$14,N$13,0))))</f>
      </c>
      <c r="O10" s="0" t="n">
        <f aca="false">MAX(0,N10+N10*Setup!$C$14/1200-(IF(N10&lt;=0,0,Setup!$D$14+IF($BL10=O$14,O$13,0))))</f>
      </c>
      <c r="P10" s="0" t="n">
        <f aca="false">MAX(0,O10+O10*Setup!$C$14/1200-(IF(O10&lt;=0,0,Setup!$D$14+IF($BL10=P$14,P$13,0))))</f>
      </c>
      <c r="Q10" s="0" t="n">
        <f aca="false">MAX(0,P10+P10*Setup!$C$14/1200-(IF(P10&lt;=0,0,Setup!$D$14+IF($BL10=Q$14,Q$13,0))))</f>
      </c>
      <c r="R10" s="0" t="n">
        <f aca="false">MAX(0,Q10+Q10*Setup!$C$14/1200-(IF(Q10&lt;=0,0,Setup!$D$14+IF($BL10=R$14,R$13,0))))</f>
      </c>
      <c r="S10" s="0" t="n">
        <f aca="false">MAX(0,R10+R10*Setup!$C$14/1200-(IF(R10&lt;=0,0,Setup!$D$14+IF($BL10=S$14,S$13,0))))</f>
      </c>
      <c r="T10" s="0" t="n">
        <f aca="false">MAX(0,S10+S10*Setup!$C$14/1200-(IF(S10&lt;=0,0,Setup!$D$14+IF($BL10=T$14,T$13,0))))</f>
      </c>
      <c r="U10" s="0" t="n">
        <f aca="false">MAX(0,T10+T10*Setup!$C$14/1200-(IF(T10&lt;=0,0,Setup!$D$14+IF($BL10=U$14,U$13,0))))</f>
      </c>
      <c r="V10" s="0" t="n">
        <f aca="false">MAX(0,U10+U10*Setup!$C$14/1200-(IF(U10&lt;=0,0,Setup!$D$14+IF($BL10=V$14,V$13,0))))</f>
      </c>
      <c r="W10" s="0" t="n">
        <f aca="false">MAX(0,V10+V10*Setup!$C$14/1200-(IF(V10&lt;=0,0,Setup!$D$14+IF($BL10=W$14,W$13,0))))</f>
      </c>
      <c r="X10" s="0" t="n">
        <f aca="false">MAX(0,W10+W10*Setup!$C$14/1200-(IF(W10&lt;=0,0,Setup!$D$14+IF($BL10=X$14,X$13,0))))</f>
      </c>
      <c r="Y10" s="0" t="n">
        <f aca="false">MAX(0,X10+X10*Setup!$C$14/1200-(IF(X10&lt;=0,0,Setup!$D$14+IF($BL10=Y$14,Y$13,0))))</f>
      </c>
      <c r="Z10" s="0" t="n">
        <f aca="false">MAX(0,Y10+Y10*Setup!$C$14/1200-(IF(Y10&lt;=0,0,Setup!$D$14+IF($BL10=Z$14,Z$13,0))))</f>
      </c>
      <c r="AA10" s="0" t="n">
        <f aca="false">MAX(0,Z10+Z10*Setup!$C$14/1200-(IF(Z10&lt;=0,0,Setup!$D$14+IF($BL10=AA$14,AA$13,0))))</f>
      </c>
      <c r="AB10" s="0" t="n">
        <f aca="false">MAX(0,AA10+AA10*Setup!$C$14/1200-(IF(AA10&lt;=0,0,Setup!$D$14+IF($BL10=AB$14,AB$13,0))))</f>
      </c>
      <c r="AC10" s="0" t="n">
        <f aca="false">MAX(0,AB10+AB10*Setup!$C$14/1200-(IF(AB10&lt;=0,0,Setup!$D$14+IF($BL10=AC$14,AC$13,0))))</f>
      </c>
      <c r="AD10" s="0" t="n">
        <f aca="false">MAX(0,AC10+AC10*Setup!$C$14/1200-(IF(AC10&lt;=0,0,Setup!$D$14+IF($BL10=AD$14,AD$13,0))))</f>
      </c>
      <c r="AE10" s="0" t="n">
        <f aca="false">MAX(0,AD10+AD10*Setup!$C$14/1200-(IF(AD10&lt;=0,0,Setup!$D$14+IF($BL10=AE$14,AE$13,0))))</f>
      </c>
      <c r="AF10" s="0" t="n">
        <f aca="false">MAX(0,AE10+AE10*Setup!$C$14/1200-(IF(AE10&lt;=0,0,Setup!$D$14+IF($BL10=AF$14,AF$13,0))))</f>
      </c>
      <c r="AG10" s="0" t="n">
        <f aca="false">MAX(0,AF10+AF10*Setup!$C$14/1200-(IF(AF10&lt;=0,0,Setup!$D$14+IF($BL10=AG$14,AG$13,0))))</f>
      </c>
      <c r="AH10" s="0" t="n">
        <f aca="false">MAX(0,AG10+AG10*Setup!$C$14/1200-(IF(AG10&lt;=0,0,Setup!$D$14+IF($BL10=AH$14,AH$13,0))))</f>
      </c>
      <c r="AI10" s="0" t="n">
        <f aca="false">MAX(0,AH10+AH10*Setup!$C$14/1200-(IF(AH10&lt;=0,0,Setup!$D$14+IF($BL10=AI$14,AI$13,0))))</f>
      </c>
      <c r="AJ10" s="0" t="n">
        <f aca="false">MAX(0,AI10+AI10*Setup!$C$14/1200-(IF(AI10&lt;=0,0,Setup!$D$14+IF($BL10=AJ$14,AJ$13,0))))</f>
      </c>
      <c r="AK10" s="0" t="n">
        <f aca="false">MAX(0,AJ10+AJ10*Setup!$C$14/1200-(IF(AJ10&lt;=0,0,Setup!$D$14+IF($BL10=AK$14,AK$13,0))))</f>
      </c>
      <c r="AL10" s="0" t="n">
        <f aca="false">MAX(0,AK10+AK10*Setup!$C$14/1200-(IF(AK10&lt;=0,0,Setup!$D$14+IF($BL10=AL$14,AL$13,0))))</f>
      </c>
      <c r="AM10" s="0" t="n">
        <f aca="false">MAX(0,AL10+AL10*Setup!$C$14/1200-(IF(AL10&lt;=0,0,Setup!$D$14+IF($BL10=AM$14,AM$13,0))))</f>
      </c>
      <c r="AN10" s="0" t="n">
        <f aca="false">MAX(0,AM10+AM10*Setup!$C$14/1200-(IF(AM10&lt;=0,0,Setup!$D$14+IF($BL10=AN$14,AN$13,0))))</f>
      </c>
      <c r="AO10" s="0" t="n">
        <f aca="false">MAX(0,AN10+AN10*Setup!$C$14/1200-(IF(AN10&lt;=0,0,Setup!$D$14+IF($BL10=AO$14,AO$13,0))))</f>
      </c>
      <c r="AP10" s="0" t="n">
        <f aca="false">MAX(0,AO10+AO10*Setup!$C$14/1200-(IF(AO10&lt;=0,0,Setup!$D$14+IF($BL10=AP$14,AP$13,0))))</f>
      </c>
      <c r="AQ10" s="0" t="n">
        <f aca="false">MAX(0,AP10+AP10*Setup!$C$14/1200-(IF(AP10&lt;=0,0,Setup!$D$14+IF($BL10=AQ$14,AQ$13,0))))</f>
      </c>
      <c r="AR10" s="0" t="n">
        <f aca="false">MAX(0,AQ10+AQ10*Setup!$C$14/1200-(IF(AQ10&lt;=0,0,Setup!$D$14+IF($BL10=AR$14,AR$13,0))))</f>
      </c>
      <c r="AS10" s="0" t="n">
        <f aca="false">MAX(0,AR10+AR10*Setup!$C$14/1200-(IF(AR10&lt;=0,0,Setup!$D$14+IF($BL10=AS$14,AS$13,0))))</f>
      </c>
      <c r="AT10" s="0" t="n">
        <f aca="false">MAX(0,AS10+AS10*Setup!$C$14/1200-(IF(AS10&lt;=0,0,Setup!$D$14+IF($BL10=AT$14,AT$13,0))))</f>
      </c>
      <c r="AU10" s="0" t="n">
        <f aca="false">MAX(0,AT10+AT10*Setup!$C$14/1200-(IF(AT10&lt;=0,0,Setup!$D$14+IF($BL10=AU$14,AU$13,0))))</f>
      </c>
      <c r="AV10" s="0" t="n">
        <f aca="false">MAX(0,AU10+AU10*Setup!$C$14/1200-(IF(AU10&lt;=0,0,Setup!$D$14+IF($BL10=AV$14,AV$13,0))))</f>
      </c>
      <c r="AW10" s="0" t="n">
        <f aca="false">MAX(0,AV10+AV10*Setup!$C$14/1200-(IF(AV10&lt;=0,0,Setup!$D$14+IF($BL10=AW$14,AW$13,0))))</f>
      </c>
      <c r="AX10" s="0" t="n">
        <f aca="false">MAX(0,AW10+AW10*Setup!$C$14/1200-(IF(AW10&lt;=0,0,Setup!$D$14+IF($BL10=AX$14,AX$13,0))))</f>
      </c>
      <c r="AY10" s="0" t="n">
        <f aca="false">MAX(0,AX10+AX10*Setup!$C$14/1200-(IF(AX10&lt;=0,0,Setup!$D$14+IF($BL10=AY$14,AY$13,0))))</f>
      </c>
      <c r="AZ10" s="0" t="n">
        <f aca="false">MAX(0,AY10+AY10*Setup!$C$14/1200-(IF(AY10&lt;=0,0,Setup!$D$14+IF($BL10=AZ$14,AZ$13,0))))</f>
      </c>
      <c r="BA10" s="0" t="n">
        <f aca="false">MAX(0,AZ10+AZ10*Setup!$C$14/1200-(IF(AZ10&lt;=0,0,Setup!$D$14+IF($BL10=BA$14,BA$13,0))))</f>
      </c>
      <c r="BB10" s="0" t="n">
        <f aca="false">MAX(0,BA10+BA10*Setup!$C$14/1200-(IF(BA10&lt;=0,0,Setup!$D$14+IF($BL10=BB$14,BB$13,0))))</f>
      </c>
      <c r="BC10" s="0" t="n">
        <f aca="false">MAX(0,BB10+BB10*Setup!$C$14/1200-(IF(BB10&lt;=0,0,Setup!$D$14+IF($BL10=BC$14,BC$13,0))))</f>
      </c>
      <c r="BD10" s="0" t="n">
        <f aca="false">MAX(0,BC10+BC10*Setup!$C$14/1200-(IF(BC10&lt;=0,0,Setup!$D$14+IF($BL10=BD$14,BD$13,0))))</f>
      </c>
      <c r="BE10" s="0" t="n">
        <f aca="false">MAX(0,BD10+BD10*Setup!$C$14/1200-(IF(BD10&lt;=0,0,Setup!$D$14+IF($BL10=BE$14,BE$13,0))))</f>
      </c>
      <c r="BF10" s="0" t="n">
        <f aca="false">MAX(0,BE10+BE10*Setup!$C$14/1200-(IF(BE10&lt;=0,0,Setup!$D$14+IF($BL10=BF$14,BF$13,0))))</f>
      </c>
      <c r="BG10" s="0" t="n">
        <f aca="false">MAX(0,BF10+BF10*Setup!$C$14/1200-(IF(BF10&lt;=0,0,Setup!$D$14+IF($BL10=BG$14,BG$13,0))))</f>
      </c>
      <c r="BH10" s="0" t="n">
        <f aca="false">MAX(0,BG10+BG10*Setup!$C$14/1200-(IF(BG10&lt;=0,0,Setup!$D$14+IF($BL10=BH$14,BH$13,0))))</f>
      </c>
      <c r="BI10" s="0" t="n">
        <f aca="false">MAX(0,BH10+BH10*Setup!$C$14/1200-(IF(BH10&lt;=0,0,Setup!$D$14+IF($BL10=BI$14,BI$13,0))))</f>
      </c>
      <c r="BJ10" s="0" t="n">
        <f aca="false">MAX(0,BI10+BI10*Setup!$C$14/1200-(IF(BI10&lt;=0,0,Setup!$D$14+IF($BL10=BJ$14,BJ$13,0))))</f>
      </c>
      <c r="BL10" s="0" t="n">
        <f aca="false">IF(Setup!B14="",9999999,IF($BM$1="Snowball",Setup!B14,1-Setup!C14/100))+(ROW()-2)*0.00001</f>
      </c>
    </row>
    <row r="11">
      <c r="A11" s="0" t="str">
        <f aca="false">Setup!A15</f>
      </c>
      <c r="B11" s="0" t="n">
        <f aca="false">IF(Setup!B15="",0,Setup!B15)</f>
      </c>
      <c r="C11" s="0" t="n">
        <f aca="false">MAX(0,B11+B11*Setup!$C$15/1200-(IF(B11&lt;=0,0,Setup!$D$15+IF($BL11=C$14,C$13,0))))</f>
      </c>
      <c r="D11" s="0" t="n">
        <f aca="false">MAX(0,C11+C11*Setup!$C$15/1200-(IF(C11&lt;=0,0,Setup!$D$15+IF($BL11=D$14,D$13,0))))</f>
      </c>
      <c r="E11" s="0" t="n">
        <f aca="false">MAX(0,D11+D11*Setup!$C$15/1200-(IF(D11&lt;=0,0,Setup!$D$15+IF($BL11=E$14,E$13,0))))</f>
      </c>
      <c r="F11" s="0" t="n">
        <f aca="false">MAX(0,E11+E11*Setup!$C$15/1200-(IF(E11&lt;=0,0,Setup!$D$15+IF($BL11=F$14,F$13,0))))</f>
      </c>
      <c r="G11" s="0" t="n">
        <f aca="false">MAX(0,F11+F11*Setup!$C$15/1200-(IF(F11&lt;=0,0,Setup!$D$15+IF($BL11=G$14,G$13,0))))</f>
      </c>
      <c r="H11" s="0" t="n">
        <f aca="false">MAX(0,G11+G11*Setup!$C$15/1200-(IF(G11&lt;=0,0,Setup!$D$15+IF($BL11=H$14,H$13,0))))</f>
      </c>
      <c r="I11" s="0" t="n">
        <f aca="false">MAX(0,H11+H11*Setup!$C$15/1200-(IF(H11&lt;=0,0,Setup!$D$15+IF($BL11=I$14,I$13,0))))</f>
      </c>
      <c r="J11" s="0" t="n">
        <f aca="false">MAX(0,I11+I11*Setup!$C$15/1200-(IF(I11&lt;=0,0,Setup!$D$15+IF($BL11=J$14,J$13,0))))</f>
      </c>
      <c r="K11" s="0" t="n">
        <f aca="false">MAX(0,J11+J11*Setup!$C$15/1200-(IF(J11&lt;=0,0,Setup!$D$15+IF($BL11=K$14,K$13,0))))</f>
      </c>
      <c r="L11" s="0" t="n">
        <f aca="false">MAX(0,K11+K11*Setup!$C$15/1200-(IF(K11&lt;=0,0,Setup!$D$15+IF($BL11=L$14,L$13,0))))</f>
      </c>
      <c r="M11" s="0" t="n">
        <f aca="false">MAX(0,L11+L11*Setup!$C$15/1200-(IF(L11&lt;=0,0,Setup!$D$15+IF($BL11=M$14,M$13,0))))</f>
      </c>
      <c r="N11" s="0" t="n">
        <f aca="false">MAX(0,M11+M11*Setup!$C$15/1200-(IF(M11&lt;=0,0,Setup!$D$15+IF($BL11=N$14,N$13,0))))</f>
      </c>
      <c r="O11" s="0" t="n">
        <f aca="false">MAX(0,N11+N11*Setup!$C$15/1200-(IF(N11&lt;=0,0,Setup!$D$15+IF($BL11=O$14,O$13,0))))</f>
      </c>
      <c r="P11" s="0" t="n">
        <f aca="false">MAX(0,O11+O11*Setup!$C$15/1200-(IF(O11&lt;=0,0,Setup!$D$15+IF($BL11=P$14,P$13,0))))</f>
      </c>
      <c r="Q11" s="0" t="n">
        <f aca="false">MAX(0,P11+P11*Setup!$C$15/1200-(IF(P11&lt;=0,0,Setup!$D$15+IF($BL11=Q$14,Q$13,0))))</f>
      </c>
      <c r="R11" s="0" t="n">
        <f aca="false">MAX(0,Q11+Q11*Setup!$C$15/1200-(IF(Q11&lt;=0,0,Setup!$D$15+IF($BL11=R$14,R$13,0))))</f>
      </c>
      <c r="S11" s="0" t="n">
        <f aca="false">MAX(0,R11+R11*Setup!$C$15/1200-(IF(R11&lt;=0,0,Setup!$D$15+IF($BL11=S$14,S$13,0))))</f>
      </c>
      <c r="T11" s="0" t="n">
        <f aca="false">MAX(0,S11+S11*Setup!$C$15/1200-(IF(S11&lt;=0,0,Setup!$D$15+IF($BL11=T$14,T$13,0))))</f>
      </c>
      <c r="U11" s="0" t="n">
        <f aca="false">MAX(0,T11+T11*Setup!$C$15/1200-(IF(T11&lt;=0,0,Setup!$D$15+IF($BL11=U$14,U$13,0))))</f>
      </c>
      <c r="V11" s="0" t="n">
        <f aca="false">MAX(0,U11+U11*Setup!$C$15/1200-(IF(U11&lt;=0,0,Setup!$D$15+IF($BL11=V$14,V$13,0))))</f>
      </c>
      <c r="W11" s="0" t="n">
        <f aca="false">MAX(0,V11+V11*Setup!$C$15/1200-(IF(V11&lt;=0,0,Setup!$D$15+IF($BL11=W$14,W$13,0))))</f>
      </c>
      <c r="X11" s="0" t="n">
        <f aca="false">MAX(0,W11+W11*Setup!$C$15/1200-(IF(W11&lt;=0,0,Setup!$D$15+IF($BL11=X$14,X$13,0))))</f>
      </c>
      <c r="Y11" s="0" t="n">
        <f aca="false">MAX(0,X11+X11*Setup!$C$15/1200-(IF(X11&lt;=0,0,Setup!$D$15+IF($BL11=Y$14,Y$13,0))))</f>
      </c>
      <c r="Z11" s="0" t="n">
        <f aca="false">MAX(0,Y11+Y11*Setup!$C$15/1200-(IF(Y11&lt;=0,0,Setup!$D$15+IF($BL11=Z$14,Z$13,0))))</f>
      </c>
      <c r="AA11" s="0" t="n">
        <f aca="false">MAX(0,Z11+Z11*Setup!$C$15/1200-(IF(Z11&lt;=0,0,Setup!$D$15+IF($BL11=AA$14,AA$13,0))))</f>
      </c>
      <c r="AB11" s="0" t="n">
        <f aca="false">MAX(0,AA11+AA11*Setup!$C$15/1200-(IF(AA11&lt;=0,0,Setup!$D$15+IF($BL11=AB$14,AB$13,0))))</f>
      </c>
      <c r="AC11" s="0" t="n">
        <f aca="false">MAX(0,AB11+AB11*Setup!$C$15/1200-(IF(AB11&lt;=0,0,Setup!$D$15+IF($BL11=AC$14,AC$13,0))))</f>
      </c>
      <c r="AD11" s="0" t="n">
        <f aca="false">MAX(0,AC11+AC11*Setup!$C$15/1200-(IF(AC11&lt;=0,0,Setup!$D$15+IF($BL11=AD$14,AD$13,0))))</f>
      </c>
      <c r="AE11" s="0" t="n">
        <f aca="false">MAX(0,AD11+AD11*Setup!$C$15/1200-(IF(AD11&lt;=0,0,Setup!$D$15+IF($BL11=AE$14,AE$13,0))))</f>
      </c>
      <c r="AF11" s="0" t="n">
        <f aca="false">MAX(0,AE11+AE11*Setup!$C$15/1200-(IF(AE11&lt;=0,0,Setup!$D$15+IF($BL11=AF$14,AF$13,0))))</f>
      </c>
      <c r="AG11" s="0" t="n">
        <f aca="false">MAX(0,AF11+AF11*Setup!$C$15/1200-(IF(AF11&lt;=0,0,Setup!$D$15+IF($BL11=AG$14,AG$13,0))))</f>
      </c>
      <c r="AH11" s="0" t="n">
        <f aca="false">MAX(0,AG11+AG11*Setup!$C$15/1200-(IF(AG11&lt;=0,0,Setup!$D$15+IF($BL11=AH$14,AH$13,0))))</f>
      </c>
      <c r="AI11" s="0" t="n">
        <f aca="false">MAX(0,AH11+AH11*Setup!$C$15/1200-(IF(AH11&lt;=0,0,Setup!$D$15+IF($BL11=AI$14,AI$13,0))))</f>
      </c>
      <c r="AJ11" s="0" t="n">
        <f aca="false">MAX(0,AI11+AI11*Setup!$C$15/1200-(IF(AI11&lt;=0,0,Setup!$D$15+IF($BL11=AJ$14,AJ$13,0))))</f>
      </c>
      <c r="AK11" s="0" t="n">
        <f aca="false">MAX(0,AJ11+AJ11*Setup!$C$15/1200-(IF(AJ11&lt;=0,0,Setup!$D$15+IF($BL11=AK$14,AK$13,0))))</f>
      </c>
      <c r="AL11" s="0" t="n">
        <f aca="false">MAX(0,AK11+AK11*Setup!$C$15/1200-(IF(AK11&lt;=0,0,Setup!$D$15+IF($BL11=AL$14,AL$13,0))))</f>
      </c>
      <c r="AM11" s="0" t="n">
        <f aca="false">MAX(0,AL11+AL11*Setup!$C$15/1200-(IF(AL11&lt;=0,0,Setup!$D$15+IF($BL11=AM$14,AM$13,0))))</f>
      </c>
      <c r="AN11" s="0" t="n">
        <f aca="false">MAX(0,AM11+AM11*Setup!$C$15/1200-(IF(AM11&lt;=0,0,Setup!$D$15+IF($BL11=AN$14,AN$13,0))))</f>
      </c>
      <c r="AO11" s="0" t="n">
        <f aca="false">MAX(0,AN11+AN11*Setup!$C$15/1200-(IF(AN11&lt;=0,0,Setup!$D$15+IF($BL11=AO$14,AO$13,0))))</f>
      </c>
      <c r="AP11" s="0" t="n">
        <f aca="false">MAX(0,AO11+AO11*Setup!$C$15/1200-(IF(AO11&lt;=0,0,Setup!$D$15+IF($BL11=AP$14,AP$13,0))))</f>
      </c>
      <c r="AQ11" s="0" t="n">
        <f aca="false">MAX(0,AP11+AP11*Setup!$C$15/1200-(IF(AP11&lt;=0,0,Setup!$D$15+IF($BL11=AQ$14,AQ$13,0))))</f>
      </c>
      <c r="AR11" s="0" t="n">
        <f aca="false">MAX(0,AQ11+AQ11*Setup!$C$15/1200-(IF(AQ11&lt;=0,0,Setup!$D$15+IF($BL11=AR$14,AR$13,0))))</f>
      </c>
      <c r="AS11" s="0" t="n">
        <f aca="false">MAX(0,AR11+AR11*Setup!$C$15/1200-(IF(AR11&lt;=0,0,Setup!$D$15+IF($BL11=AS$14,AS$13,0))))</f>
      </c>
      <c r="AT11" s="0" t="n">
        <f aca="false">MAX(0,AS11+AS11*Setup!$C$15/1200-(IF(AS11&lt;=0,0,Setup!$D$15+IF($BL11=AT$14,AT$13,0))))</f>
      </c>
      <c r="AU11" s="0" t="n">
        <f aca="false">MAX(0,AT11+AT11*Setup!$C$15/1200-(IF(AT11&lt;=0,0,Setup!$D$15+IF($BL11=AU$14,AU$13,0))))</f>
      </c>
      <c r="AV11" s="0" t="n">
        <f aca="false">MAX(0,AU11+AU11*Setup!$C$15/1200-(IF(AU11&lt;=0,0,Setup!$D$15+IF($BL11=AV$14,AV$13,0))))</f>
      </c>
      <c r="AW11" s="0" t="n">
        <f aca="false">MAX(0,AV11+AV11*Setup!$C$15/1200-(IF(AV11&lt;=0,0,Setup!$D$15+IF($BL11=AW$14,AW$13,0))))</f>
      </c>
      <c r="AX11" s="0" t="n">
        <f aca="false">MAX(0,AW11+AW11*Setup!$C$15/1200-(IF(AW11&lt;=0,0,Setup!$D$15+IF($BL11=AX$14,AX$13,0))))</f>
      </c>
      <c r="AY11" s="0" t="n">
        <f aca="false">MAX(0,AX11+AX11*Setup!$C$15/1200-(IF(AX11&lt;=0,0,Setup!$D$15+IF($BL11=AY$14,AY$13,0))))</f>
      </c>
      <c r="AZ11" s="0" t="n">
        <f aca="false">MAX(0,AY11+AY11*Setup!$C$15/1200-(IF(AY11&lt;=0,0,Setup!$D$15+IF($BL11=AZ$14,AZ$13,0))))</f>
      </c>
      <c r="BA11" s="0" t="n">
        <f aca="false">MAX(0,AZ11+AZ11*Setup!$C$15/1200-(IF(AZ11&lt;=0,0,Setup!$D$15+IF($BL11=BA$14,BA$13,0))))</f>
      </c>
      <c r="BB11" s="0" t="n">
        <f aca="false">MAX(0,BA11+BA11*Setup!$C$15/1200-(IF(BA11&lt;=0,0,Setup!$D$15+IF($BL11=BB$14,BB$13,0))))</f>
      </c>
      <c r="BC11" s="0" t="n">
        <f aca="false">MAX(0,BB11+BB11*Setup!$C$15/1200-(IF(BB11&lt;=0,0,Setup!$D$15+IF($BL11=BC$14,BC$13,0))))</f>
      </c>
      <c r="BD11" s="0" t="n">
        <f aca="false">MAX(0,BC11+BC11*Setup!$C$15/1200-(IF(BC11&lt;=0,0,Setup!$D$15+IF($BL11=BD$14,BD$13,0))))</f>
      </c>
      <c r="BE11" s="0" t="n">
        <f aca="false">MAX(0,BD11+BD11*Setup!$C$15/1200-(IF(BD11&lt;=0,0,Setup!$D$15+IF($BL11=BE$14,BE$13,0))))</f>
      </c>
      <c r="BF11" s="0" t="n">
        <f aca="false">MAX(0,BE11+BE11*Setup!$C$15/1200-(IF(BE11&lt;=0,0,Setup!$D$15+IF($BL11=BF$14,BF$13,0))))</f>
      </c>
      <c r="BG11" s="0" t="n">
        <f aca="false">MAX(0,BF11+BF11*Setup!$C$15/1200-(IF(BF11&lt;=0,0,Setup!$D$15+IF($BL11=BG$14,BG$13,0))))</f>
      </c>
      <c r="BH11" s="0" t="n">
        <f aca="false">MAX(0,BG11+BG11*Setup!$C$15/1200-(IF(BG11&lt;=0,0,Setup!$D$15+IF($BL11=BH$14,BH$13,0))))</f>
      </c>
      <c r="BI11" s="0" t="n">
        <f aca="false">MAX(0,BH11+BH11*Setup!$C$15/1200-(IF(BH11&lt;=0,0,Setup!$D$15+IF($BL11=BI$14,BI$13,0))))</f>
      </c>
      <c r="BJ11" s="0" t="n">
        <f aca="false">MAX(0,BI11+BI11*Setup!$C$15/1200-(IF(BI11&lt;=0,0,Setup!$D$15+IF($BL11=BJ$14,BJ$13,0))))</f>
      </c>
      <c r="BL11" s="0" t="n">
        <f aca="false">IF(Setup!B15="",9999999,IF($BM$1="Snowball",Setup!B15,1-Setup!C15/100))+(ROW()-2)*0.00001</f>
      </c>
    </row>
    <row r="12">
      <c r="A12" s="0" t="str">
        <f aca="false">Setup!A16</f>
      </c>
      <c r="B12" s="0" t="n">
        <f aca="false">IF(Setup!B16="",0,Setup!B16)</f>
      </c>
      <c r="C12" s="0" t="n">
        <f aca="false">MAX(0,B12+B12*Setup!$C$16/1200-(IF(B12&lt;=0,0,Setup!$D$16+IF($BL12=C$14,C$13,0))))</f>
      </c>
      <c r="D12" s="0" t="n">
        <f aca="false">MAX(0,C12+C12*Setup!$C$16/1200-(IF(C12&lt;=0,0,Setup!$D$16+IF($BL12=D$14,D$13,0))))</f>
      </c>
      <c r="E12" s="0" t="n">
        <f aca="false">MAX(0,D12+D12*Setup!$C$16/1200-(IF(D12&lt;=0,0,Setup!$D$16+IF($BL12=E$14,E$13,0))))</f>
      </c>
      <c r="F12" s="0" t="n">
        <f aca="false">MAX(0,E12+E12*Setup!$C$16/1200-(IF(E12&lt;=0,0,Setup!$D$16+IF($BL12=F$14,F$13,0))))</f>
      </c>
      <c r="G12" s="0" t="n">
        <f aca="false">MAX(0,F12+F12*Setup!$C$16/1200-(IF(F12&lt;=0,0,Setup!$D$16+IF($BL12=G$14,G$13,0))))</f>
      </c>
      <c r="H12" s="0" t="n">
        <f aca="false">MAX(0,G12+G12*Setup!$C$16/1200-(IF(G12&lt;=0,0,Setup!$D$16+IF($BL12=H$14,H$13,0))))</f>
      </c>
      <c r="I12" s="0" t="n">
        <f aca="false">MAX(0,H12+H12*Setup!$C$16/1200-(IF(H12&lt;=0,0,Setup!$D$16+IF($BL12=I$14,I$13,0))))</f>
      </c>
      <c r="J12" s="0" t="n">
        <f aca="false">MAX(0,I12+I12*Setup!$C$16/1200-(IF(I12&lt;=0,0,Setup!$D$16+IF($BL12=J$14,J$13,0))))</f>
      </c>
      <c r="K12" s="0" t="n">
        <f aca="false">MAX(0,J12+J12*Setup!$C$16/1200-(IF(J12&lt;=0,0,Setup!$D$16+IF($BL12=K$14,K$13,0))))</f>
      </c>
      <c r="L12" s="0" t="n">
        <f aca="false">MAX(0,K12+K12*Setup!$C$16/1200-(IF(K12&lt;=0,0,Setup!$D$16+IF($BL12=L$14,L$13,0))))</f>
      </c>
      <c r="M12" s="0" t="n">
        <f aca="false">MAX(0,L12+L12*Setup!$C$16/1200-(IF(L12&lt;=0,0,Setup!$D$16+IF($BL12=M$14,M$13,0))))</f>
      </c>
      <c r="N12" s="0" t="n">
        <f aca="false">MAX(0,M12+M12*Setup!$C$16/1200-(IF(M12&lt;=0,0,Setup!$D$16+IF($BL12=N$14,N$13,0))))</f>
      </c>
      <c r="O12" s="0" t="n">
        <f aca="false">MAX(0,N12+N12*Setup!$C$16/1200-(IF(N12&lt;=0,0,Setup!$D$16+IF($BL12=O$14,O$13,0))))</f>
      </c>
      <c r="P12" s="0" t="n">
        <f aca="false">MAX(0,O12+O12*Setup!$C$16/1200-(IF(O12&lt;=0,0,Setup!$D$16+IF($BL12=P$14,P$13,0))))</f>
      </c>
      <c r="Q12" s="0" t="n">
        <f aca="false">MAX(0,P12+P12*Setup!$C$16/1200-(IF(P12&lt;=0,0,Setup!$D$16+IF($BL12=Q$14,Q$13,0))))</f>
      </c>
      <c r="R12" s="0" t="n">
        <f aca="false">MAX(0,Q12+Q12*Setup!$C$16/1200-(IF(Q12&lt;=0,0,Setup!$D$16+IF($BL12=R$14,R$13,0))))</f>
      </c>
      <c r="S12" s="0" t="n">
        <f aca="false">MAX(0,R12+R12*Setup!$C$16/1200-(IF(R12&lt;=0,0,Setup!$D$16+IF($BL12=S$14,S$13,0))))</f>
      </c>
      <c r="T12" s="0" t="n">
        <f aca="false">MAX(0,S12+S12*Setup!$C$16/1200-(IF(S12&lt;=0,0,Setup!$D$16+IF($BL12=T$14,T$13,0))))</f>
      </c>
      <c r="U12" s="0" t="n">
        <f aca="false">MAX(0,T12+T12*Setup!$C$16/1200-(IF(T12&lt;=0,0,Setup!$D$16+IF($BL12=U$14,U$13,0))))</f>
      </c>
      <c r="V12" s="0" t="n">
        <f aca="false">MAX(0,U12+U12*Setup!$C$16/1200-(IF(U12&lt;=0,0,Setup!$D$16+IF($BL12=V$14,V$13,0))))</f>
      </c>
      <c r="W12" s="0" t="n">
        <f aca="false">MAX(0,V12+V12*Setup!$C$16/1200-(IF(V12&lt;=0,0,Setup!$D$16+IF($BL12=W$14,W$13,0))))</f>
      </c>
      <c r="X12" s="0" t="n">
        <f aca="false">MAX(0,W12+W12*Setup!$C$16/1200-(IF(W12&lt;=0,0,Setup!$D$16+IF($BL12=X$14,X$13,0))))</f>
      </c>
      <c r="Y12" s="0" t="n">
        <f aca="false">MAX(0,X12+X12*Setup!$C$16/1200-(IF(X12&lt;=0,0,Setup!$D$16+IF($BL12=Y$14,Y$13,0))))</f>
      </c>
      <c r="Z12" s="0" t="n">
        <f aca="false">MAX(0,Y12+Y12*Setup!$C$16/1200-(IF(Y12&lt;=0,0,Setup!$D$16+IF($BL12=Z$14,Z$13,0))))</f>
      </c>
      <c r="AA12" s="0" t="n">
        <f aca="false">MAX(0,Z12+Z12*Setup!$C$16/1200-(IF(Z12&lt;=0,0,Setup!$D$16+IF($BL12=AA$14,AA$13,0))))</f>
      </c>
      <c r="AB12" s="0" t="n">
        <f aca="false">MAX(0,AA12+AA12*Setup!$C$16/1200-(IF(AA12&lt;=0,0,Setup!$D$16+IF($BL12=AB$14,AB$13,0))))</f>
      </c>
      <c r="AC12" s="0" t="n">
        <f aca="false">MAX(0,AB12+AB12*Setup!$C$16/1200-(IF(AB12&lt;=0,0,Setup!$D$16+IF($BL12=AC$14,AC$13,0))))</f>
      </c>
      <c r="AD12" s="0" t="n">
        <f aca="false">MAX(0,AC12+AC12*Setup!$C$16/1200-(IF(AC12&lt;=0,0,Setup!$D$16+IF($BL12=AD$14,AD$13,0))))</f>
      </c>
      <c r="AE12" s="0" t="n">
        <f aca="false">MAX(0,AD12+AD12*Setup!$C$16/1200-(IF(AD12&lt;=0,0,Setup!$D$16+IF($BL12=AE$14,AE$13,0))))</f>
      </c>
      <c r="AF12" s="0" t="n">
        <f aca="false">MAX(0,AE12+AE12*Setup!$C$16/1200-(IF(AE12&lt;=0,0,Setup!$D$16+IF($BL12=AF$14,AF$13,0))))</f>
      </c>
      <c r="AG12" s="0" t="n">
        <f aca="false">MAX(0,AF12+AF12*Setup!$C$16/1200-(IF(AF12&lt;=0,0,Setup!$D$16+IF($BL12=AG$14,AG$13,0))))</f>
      </c>
      <c r="AH12" s="0" t="n">
        <f aca="false">MAX(0,AG12+AG12*Setup!$C$16/1200-(IF(AG12&lt;=0,0,Setup!$D$16+IF($BL12=AH$14,AH$13,0))))</f>
      </c>
      <c r="AI12" s="0" t="n">
        <f aca="false">MAX(0,AH12+AH12*Setup!$C$16/1200-(IF(AH12&lt;=0,0,Setup!$D$16+IF($BL12=AI$14,AI$13,0))))</f>
      </c>
      <c r="AJ12" s="0" t="n">
        <f aca="false">MAX(0,AI12+AI12*Setup!$C$16/1200-(IF(AI12&lt;=0,0,Setup!$D$16+IF($BL12=AJ$14,AJ$13,0))))</f>
      </c>
      <c r="AK12" s="0" t="n">
        <f aca="false">MAX(0,AJ12+AJ12*Setup!$C$16/1200-(IF(AJ12&lt;=0,0,Setup!$D$16+IF($BL12=AK$14,AK$13,0))))</f>
      </c>
      <c r="AL12" s="0" t="n">
        <f aca="false">MAX(0,AK12+AK12*Setup!$C$16/1200-(IF(AK12&lt;=0,0,Setup!$D$16+IF($BL12=AL$14,AL$13,0))))</f>
      </c>
      <c r="AM12" s="0" t="n">
        <f aca="false">MAX(0,AL12+AL12*Setup!$C$16/1200-(IF(AL12&lt;=0,0,Setup!$D$16+IF($BL12=AM$14,AM$13,0))))</f>
      </c>
      <c r="AN12" s="0" t="n">
        <f aca="false">MAX(0,AM12+AM12*Setup!$C$16/1200-(IF(AM12&lt;=0,0,Setup!$D$16+IF($BL12=AN$14,AN$13,0))))</f>
      </c>
      <c r="AO12" s="0" t="n">
        <f aca="false">MAX(0,AN12+AN12*Setup!$C$16/1200-(IF(AN12&lt;=0,0,Setup!$D$16+IF($BL12=AO$14,AO$13,0))))</f>
      </c>
      <c r="AP12" s="0" t="n">
        <f aca="false">MAX(0,AO12+AO12*Setup!$C$16/1200-(IF(AO12&lt;=0,0,Setup!$D$16+IF($BL12=AP$14,AP$13,0))))</f>
      </c>
      <c r="AQ12" s="0" t="n">
        <f aca="false">MAX(0,AP12+AP12*Setup!$C$16/1200-(IF(AP12&lt;=0,0,Setup!$D$16+IF($BL12=AQ$14,AQ$13,0))))</f>
      </c>
      <c r="AR12" s="0" t="n">
        <f aca="false">MAX(0,AQ12+AQ12*Setup!$C$16/1200-(IF(AQ12&lt;=0,0,Setup!$D$16+IF($BL12=AR$14,AR$13,0))))</f>
      </c>
      <c r="AS12" s="0" t="n">
        <f aca="false">MAX(0,AR12+AR12*Setup!$C$16/1200-(IF(AR12&lt;=0,0,Setup!$D$16+IF($BL12=AS$14,AS$13,0))))</f>
      </c>
      <c r="AT12" s="0" t="n">
        <f aca="false">MAX(0,AS12+AS12*Setup!$C$16/1200-(IF(AS12&lt;=0,0,Setup!$D$16+IF($BL12=AT$14,AT$13,0))))</f>
      </c>
      <c r="AU12" s="0" t="n">
        <f aca="false">MAX(0,AT12+AT12*Setup!$C$16/1200-(IF(AT12&lt;=0,0,Setup!$D$16+IF($BL12=AU$14,AU$13,0))))</f>
      </c>
      <c r="AV12" s="0" t="n">
        <f aca="false">MAX(0,AU12+AU12*Setup!$C$16/1200-(IF(AU12&lt;=0,0,Setup!$D$16+IF($BL12=AV$14,AV$13,0))))</f>
      </c>
      <c r="AW12" s="0" t="n">
        <f aca="false">MAX(0,AV12+AV12*Setup!$C$16/1200-(IF(AV12&lt;=0,0,Setup!$D$16+IF($BL12=AW$14,AW$13,0))))</f>
      </c>
      <c r="AX12" s="0" t="n">
        <f aca="false">MAX(0,AW12+AW12*Setup!$C$16/1200-(IF(AW12&lt;=0,0,Setup!$D$16+IF($BL12=AX$14,AX$13,0))))</f>
      </c>
      <c r="AY12" s="0" t="n">
        <f aca="false">MAX(0,AX12+AX12*Setup!$C$16/1200-(IF(AX12&lt;=0,0,Setup!$D$16+IF($BL12=AY$14,AY$13,0))))</f>
      </c>
      <c r="AZ12" s="0" t="n">
        <f aca="false">MAX(0,AY12+AY12*Setup!$C$16/1200-(IF(AY12&lt;=0,0,Setup!$D$16+IF($BL12=AZ$14,AZ$13,0))))</f>
      </c>
      <c r="BA12" s="0" t="n">
        <f aca="false">MAX(0,AZ12+AZ12*Setup!$C$16/1200-(IF(AZ12&lt;=0,0,Setup!$D$16+IF($BL12=BA$14,BA$13,0))))</f>
      </c>
      <c r="BB12" s="0" t="n">
        <f aca="false">MAX(0,BA12+BA12*Setup!$C$16/1200-(IF(BA12&lt;=0,0,Setup!$D$16+IF($BL12=BB$14,BB$13,0))))</f>
      </c>
      <c r="BC12" s="0" t="n">
        <f aca="false">MAX(0,BB12+BB12*Setup!$C$16/1200-(IF(BB12&lt;=0,0,Setup!$D$16+IF($BL12=BC$14,BC$13,0))))</f>
      </c>
      <c r="BD12" s="0" t="n">
        <f aca="false">MAX(0,BC12+BC12*Setup!$C$16/1200-(IF(BC12&lt;=0,0,Setup!$D$16+IF($BL12=BD$14,BD$13,0))))</f>
      </c>
      <c r="BE12" s="0" t="n">
        <f aca="false">MAX(0,BD12+BD12*Setup!$C$16/1200-(IF(BD12&lt;=0,0,Setup!$D$16+IF($BL12=BE$14,BE$13,0))))</f>
      </c>
      <c r="BF12" s="0" t="n">
        <f aca="false">MAX(0,BE12+BE12*Setup!$C$16/1200-(IF(BE12&lt;=0,0,Setup!$D$16+IF($BL12=BF$14,BF$13,0))))</f>
      </c>
      <c r="BG12" s="0" t="n">
        <f aca="false">MAX(0,BF12+BF12*Setup!$C$16/1200-(IF(BF12&lt;=0,0,Setup!$D$16+IF($BL12=BG$14,BG$13,0))))</f>
      </c>
      <c r="BH12" s="0" t="n">
        <f aca="false">MAX(0,BG12+BG12*Setup!$C$16/1200-(IF(BG12&lt;=0,0,Setup!$D$16+IF($BL12=BH$14,BH$13,0))))</f>
      </c>
      <c r="BI12" s="0" t="n">
        <f aca="false">MAX(0,BH12+BH12*Setup!$C$16/1200-(IF(BH12&lt;=0,0,Setup!$D$16+IF($BL12=BI$14,BI$13,0))))</f>
      </c>
      <c r="BJ12" s="0" t="n">
        <f aca="false">MAX(0,BI12+BI12*Setup!$C$16/1200-(IF(BI12&lt;=0,0,Setup!$D$16+IF($BL12=BJ$14,BJ$13,0))))</f>
      </c>
      <c r="BL12" s="0" t="n">
        <f aca="false">IF(Setup!B16="",9999999,IF($BM$1="Snowball",Setup!B16,1-Setup!C16/100))+(ROW()-2)*0.00001</f>
      </c>
    </row>
    <row r="13">
      <c r="A13" s="0" t="inlineStr">
        <is>
          <t>pool</t>
        </is>
      </c>
      <c r="C13" s="0" t="n">
        <f aca="false">Setup!$I$4+SUMIFS(Setup!$D$7:$D$16,Compare!$B$3:$B$12,"=0")</f>
      </c>
      <c r="D13" s="0" t="n">
        <f aca="false">Setup!$I$4+SUMIFS(Setup!$D$7:$D$16,Compare!$C$3:$C$12,"=0")</f>
      </c>
      <c r="E13" s="0" t="n">
        <f aca="false">Setup!$I$4+SUMIFS(Setup!$D$7:$D$16,Compare!$D$3:$D$12,"=0")</f>
      </c>
      <c r="F13" s="0" t="n">
        <f aca="false">Setup!$I$4+SUMIFS(Setup!$D$7:$D$16,Compare!$E$3:$E$12,"=0")</f>
      </c>
      <c r="G13" s="0" t="n">
        <f aca="false">Setup!$I$4+SUMIFS(Setup!$D$7:$D$16,Compare!$F$3:$F$12,"=0")</f>
      </c>
      <c r="H13" s="0" t="n">
        <f aca="false">Setup!$I$4+SUMIFS(Setup!$D$7:$D$16,Compare!$G$3:$G$12,"=0")</f>
      </c>
      <c r="I13" s="0" t="n">
        <f aca="false">Setup!$I$4+SUMIFS(Setup!$D$7:$D$16,Compare!$H$3:$H$12,"=0")</f>
      </c>
      <c r="J13" s="0" t="n">
        <f aca="false">Setup!$I$4+SUMIFS(Setup!$D$7:$D$16,Compare!$I$3:$I$12,"=0")</f>
      </c>
      <c r="K13" s="0" t="n">
        <f aca="false">Setup!$I$4+SUMIFS(Setup!$D$7:$D$16,Compare!$J$3:$J$12,"=0")</f>
      </c>
      <c r="L13" s="0" t="n">
        <f aca="false">Setup!$I$4+SUMIFS(Setup!$D$7:$D$16,Compare!$K$3:$K$12,"=0")</f>
      </c>
      <c r="M13" s="0" t="n">
        <f aca="false">Setup!$I$4+SUMIFS(Setup!$D$7:$D$16,Compare!$L$3:$L$12,"=0")</f>
      </c>
      <c r="N13" s="0" t="n">
        <f aca="false">Setup!$I$4+SUMIFS(Setup!$D$7:$D$16,Compare!$M$3:$M$12,"=0")</f>
      </c>
      <c r="O13" s="0" t="n">
        <f aca="false">Setup!$I$4+SUMIFS(Setup!$D$7:$D$16,Compare!$N$3:$N$12,"=0")</f>
      </c>
      <c r="P13" s="0" t="n">
        <f aca="false">Setup!$I$4+SUMIFS(Setup!$D$7:$D$16,Compare!$O$3:$O$12,"=0")</f>
      </c>
      <c r="Q13" s="0" t="n">
        <f aca="false">Setup!$I$4+SUMIFS(Setup!$D$7:$D$16,Compare!$P$3:$P$12,"=0")</f>
      </c>
      <c r="R13" s="0" t="n">
        <f aca="false">Setup!$I$4+SUMIFS(Setup!$D$7:$D$16,Compare!$Q$3:$Q$12,"=0")</f>
      </c>
      <c r="S13" s="0" t="n">
        <f aca="false">Setup!$I$4+SUMIFS(Setup!$D$7:$D$16,Compare!$R$3:$R$12,"=0")</f>
      </c>
      <c r="T13" s="0" t="n">
        <f aca="false">Setup!$I$4+SUMIFS(Setup!$D$7:$D$16,Compare!$S$3:$S$12,"=0")</f>
      </c>
      <c r="U13" s="0" t="n">
        <f aca="false">Setup!$I$4+SUMIFS(Setup!$D$7:$D$16,Compare!$T$3:$T$12,"=0")</f>
      </c>
      <c r="V13" s="0" t="n">
        <f aca="false">Setup!$I$4+SUMIFS(Setup!$D$7:$D$16,Compare!$U$3:$U$12,"=0")</f>
      </c>
      <c r="W13" s="0" t="n">
        <f aca="false">Setup!$I$4+SUMIFS(Setup!$D$7:$D$16,Compare!$V$3:$V$12,"=0")</f>
      </c>
      <c r="X13" s="0" t="n">
        <f aca="false">Setup!$I$4+SUMIFS(Setup!$D$7:$D$16,Compare!$W$3:$W$12,"=0")</f>
      </c>
      <c r="Y13" s="0" t="n">
        <f aca="false">Setup!$I$4+SUMIFS(Setup!$D$7:$D$16,Compare!$X$3:$X$12,"=0")</f>
      </c>
      <c r="Z13" s="0" t="n">
        <f aca="false">Setup!$I$4+SUMIFS(Setup!$D$7:$D$16,Compare!$Y$3:$Y$12,"=0")</f>
      </c>
      <c r="AA13" s="0" t="n">
        <f aca="false">Setup!$I$4+SUMIFS(Setup!$D$7:$D$16,Compare!$Z$3:$Z$12,"=0")</f>
      </c>
      <c r="AB13" s="0" t="n">
        <f aca="false">Setup!$I$4+SUMIFS(Setup!$D$7:$D$16,Compare!$AA$3:$AA$12,"=0")</f>
      </c>
      <c r="AC13" s="0" t="n">
        <f aca="false">Setup!$I$4+SUMIFS(Setup!$D$7:$D$16,Compare!$AB$3:$AB$12,"=0")</f>
      </c>
      <c r="AD13" s="0" t="n">
        <f aca="false">Setup!$I$4+SUMIFS(Setup!$D$7:$D$16,Compare!$AC$3:$AC$12,"=0")</f>
      </c>
      <c r="AE13" s="0" t="n">
        <f aca="false">Setup!$I$4+SUMIFS(Setup!$D$7:$D$16,Compare!$AD$3:$AD$12,"=0")</f>
      </c>
      <c r="AF13" s="0" t="n">
        <f aca="false">Setup!$I$4+SUMIFS(Setup!$D$7:$D$16,Compare!$AE$3:$AE$12,"=0")</f>
      </c>
      <c r="AG13" s="0" t="n">
        <f aca="false">Setup!$I$4+SUMIFS(Setup!$D$7:$D$16,Compare!$AF$3:$AF$12,"=0")</f>
      </c>
      <c r="AH13" s="0" t="n">
        <f aca="false">Setup!$I$4+SUMIFS(Setup!$D$7:$D$16,Compare!$AG$3:$AG$12,"=0")</f>
      </c>
      <c r="AI13" s="0" t="n">
        <f aca="false">Setup!$I$4+SUMIFS(Setup!$D$7:$D$16,Compare!$AH$3:$AH$12,"=0")</f>
      </c>
      <c r="AJ13" s="0" t="n">
        <f aca="false">Setup!$I$4+SUMIFS(Setup!$D$7:$D$16,Compare!$AI$3:$AI$12,"=0")</f>
      </c>
      <c r="AK13" s="0" t="n">
        <f aca="false">Setup!$I$4+SUMIFS(Setup!$D$7:$D$16,Compare!$AJ$3:$AJ$12,"=0")</f>
      </c>
      <c r="AL13" s="0" t="n">
        <f aca="false">Setup!$I$4+SUMIFS(Setup!$D$7:$D$16,Compare!$AK$3:$AK$12,"=0")</f>
      </c>
      <c r="AM13" s="0" t="n">
        <f aca="false">Setup!$I$4+SUMIFS(Setup!$D$7:$D$16,Compare!$AL$3:$AL$12,"=0")</f>
      </c>
      <c r="AN13" s="0" t="n">
        <f aca="false">Setup!$I$4+SUMIFS(Setup!$D$7:$D$16,Compare!$AM$3:$AM$12,"=0")</f>
      </c>
      <c r="AO13" s="0" t="n">
        <f aca="false">Setup!$I$4+SUMIFS(Setup!$D$7:$D$16,Compare!$AN$3:$AN$12,"=0")</f>
      </c>
      <c r="AP13" s="0" t="n">
        <f aca="false">Setup!$I$4+SUMIFS(Setup!$D$7:$D$16,Compare!$AO$3:$AO$12,"=0")</f>
      </c>
      <c r="AQ13" s="0" t="n">
        <f aca="false">Setup!$I$4+SUMIFS(Setup!$D$7:$D$16,Compare!$AP$3:$AP$12,"=0")</f>
      </c>
      <c r="AR13" s="0" t="n">
        <f aca="false">Setup!$I$4+SUMIFS(Setup!$D$7:$D$16,Compare!$AQ$3:$AQ$12,"=0")</f>
      </c>
      <c r="AS13" s="0" t="n">
        <f aca="false">Setup!$I$4+SUMIFS(Setup!$D$7:$D$16,Compare!$AR$3:$AR$12,"=0")</f>
      </c>
      <c r="AT13" s="0" t="n">
        <f aca="false">Setup!$I$4+SUMIFS(Setup!$D$7:$D$16,Compare!$AS$3:$AS$12,"=0")</f>
      </c>
      <c r="AU13" s="0" t="n">
        <f aca="false">Setup!$I$4+SUMIFS(Setup!$D$7:$D$16,Compare!$AT$3:$AT$12,"=0")</f>
      </c>
      <c r="AV13" s="0" t="n">
        <f aca="false">Setup!$I$4+SUMIFS(Setup!$D$7:$D$16,Compare!$AU$3:$AU$12,"=0")</f>
      </c>
      <c r="AW13" s="0" t="n">
        <f aca="false">Setup!$I$4+SUMIFS(Setup!$D$7:$D$16,Compare!$AV$3:$AV$12,"=0")</f>
      </c>
      <c r="AX13" s="0" t="n">
        <f aca="false">Setup!$I$4+SUMIFS(Setup!$D$7:$D$16,Compare!$AW$3:$AW$12,"=0")</f>
      </c>
      <c r="AY13" s="0" t="n">
        <f aca="false">Setup!$I$4+SUMIFS(Setup!$D$7:$D$16,Compare!$AX$3:$AX$12,"=0")</f>
      </c>
      <c r="AZ13" s="0" t="n">
        <f aca="false">Setup!$I$4+SUMIFS(Setup!$D$7:$D$16,Compare!$AY$3:$AY$12,"=0")</f>
      </c>
      <c r="BA13" s="0" t="n">
        <f aca="false">Setup!$I$4+SUMIFS(Setup!$D$7:$D$16,Compare!$AZ$3:$AZ$12,"=0")</f>
      </c>
      <c r="BB13" s="0" t="n">
        <f aca="false">Setup!$I$4+SUMIFS(Setup!$D$7:$D$16,Compare!$BA$3:$BA$12,"=0")</f>
      </c>
      <c r="BC13" s="0" t="n">
        <f aca="false">Setup!$I$4+SUMIFS(Setup!$D$7:$D$16,Compare!$BB$3:$BB$12,"=0")</f>
      </c>
      <c r="BD13" s="0" t="n">
        <f aca="false">Setup!$I$4+SUMIFS(Setup!$D$7:$D$16,Compare!$BC$3:$BC$12,"=0")</f>
      </c>
      <c r="BE13" s="0" t="n">
        <f aca="false">Setup!$I$4+SUMIFS(Setup!$D$7:$D$16,Compare!$BD$3:$BD$12,"=0")</f>
      </c>
      <c r="BF13" s="0" t="n">
        <f aca="false">Setup!$I$4+SUMIFS(Setup!$D$7:$D$16,Compare!$BE$3:$BE$12,"=0")</f>
      </c>
      <c r="BG13" s="0" t="n">
        <f aca="false">Setup!$I$4+SUMIFS(Setup!$D$7:$D$16,Compare!$BF$3:$BF$12,"=0")</f>
      </c>
      <c r="BH13" s="0" t="n">
        <f aca="false">Setup!$I$4+SUMIFS(Setup!$D$7:$D$16,Compare!$BG$3:$BG$12,"=0")</f>
      </c>
      <c r="BI13" s="0" t="n">
        <f aca="false">Setup!$I$4+SUMIFS(Setup!$D$7:$D$16,Compare!$BH$3:$BH$12,"=0")</f>
      </c>
      <c r="BJ13" s="0" t="n">
        <f aca="false">Setup!$I$4+SUMIFS(Setup!$D$7:$D$16,Compare!$BI$3:$BI$12,"=0")</f>
      </c>
    </row>
    <row r="14">
      <c r="A14" s="0" t="inlineStr">
        <is>
          <t>priority score</t>
        </is>
      </c>
      <c r="C14" s="0" t="n">
        <f aca="false">_xlfn.MINIFS($BL$3:$BL$12,Compare!$B$3:$B$12,"&gt;0")</f>
      </c>
      <c r="D14" s="0" t="n">
        <f aca="false">_xlfn.MINIFS($BL$3:$BL$12,Compare!$C$3:$C$12,"&gt;0")</f>
      </c>
      <c r="E14" s="0" t="n">
        <f aca="false">_xlfn.MINIFS($BL$3:$BL$12,Compare!$D$3:$D$12,"&gt;0")</f>
      </c>
      <c r="F14" s="0" t="n">
        <f aca="false">_xlfn.MINIFS($BL$3:$BL$12,Compare!$E$3:$E$12,"&gt;0")</f>
      </c>
      <c r="G14" s="0" t="n">
        <f aca="false">_xlfn.MINIFS($BL$3:$BL$12,Compare!$F$3:$F$12,"&gt;0")</f>
      </c>
      <c r="H14" s="0" t="n">
        <f aca="false">_xlfn.MINIFS($BL$3:$BL$12,Compare!$G$3:$G$12,"&gt;0")</f>
      </c>
      <c r="I14" s="0" t="n">
        <f aca="false">_xlfn.MINIFS($BL$3:$BL$12,Compare!$H$3:$H$12,"&gt;0")</f>
      </c>
      <c r="J14" s="0" t="n">
        <f aca="false">_xlfn.MINIFS($BL$3:$BL$12,Compare!$I$3:$I$12,"&gt;0")</f>
      </c>
      <c r="K14" s="0" t="n">
        <f aca="false">_xlfn.MINIFS($BL$3:$BL$12,Compare!$J$3:$J$12,"&gt;0")</f>
      </c>
      <c r="L14" s="0" t="n">
        <f aca="false">_xlfn.MINIFS($BL$3:$BL$12,Compare!$K$3:$K$12,"&gt;0")</f>
      </c>
      <c r="M14" s="0" t="n">
        <f aca="false">_xlfn.MINIFS($BL$3:$BL$12,Compare!$L$3:$L$12,"&gt;0")</f>
      </c>
      <c r="N14" s="0" t="n">
        <f aca="false">_xlfn.MINIFS($BL$3:$BL$12,Compare!$M$3:$M$12,"&gt;0")</f>
      </c>
      <c r="O14" s="0" t="n">
        <f aca="false">_xlfn.MINIFS($BL$3:$BL$12,Compare!$N$3:$N$12,"&gt;0")</f>
      </c>
      <c r="P14" s="0" t="n">
        <f aca="false">_xlfn.MINIFS($BL$3:$BL$12,Compare!$O$3:$O$12,"&gt;0")</f>
      </c>
      <c r="Q14" s="0" t="n">
        <f aca="false">_xlfn.MINIFS($BL$3:$BL$12,Compare!$P$3:$P$12,"&gt;0")</f>
      </c>
      <c r="R14" s="0" t="n">
        <f aca="false">_xlfn.MINIFS($BL$3:$BL$12,Compare!$Q$3:$Q$12,"&gt;0")</f>
      </c>
      <c r="S14" s="0" t="n">
        <f aca="false">_xlfn.MINIFS($BL$3:$BL$12,Compare!$R$3:$R$12,"&gt;0")</f>
      </c>
      <c r="T14" s="0" t="n">
        <f aca="false">_xlfn.MINIFS($BL$3:$BL$12,Compare!$S$3:$S$12,"&gt;0")</f>
      </c>
      <c r="U14" s="0" t="n">
        <f aca="false">_xlfn.MINIFS($BL$3:$BL$12,Compare!$T$3:$T$12,"&gt;0")</f>
      </c>
      <c r="V14" s="0" t="n">
        <f aca="false">_xlfn.MINIFS($BL$3:$BL$12,Compare!$U$3:$U$12,"&gt;0")</f>
      </c>
      <c r="W14" s="0" t="n">
        <f aca="false">_xlfn.MINIFS($BL$3:$BL$12,Compare!$V$3:$V$12,"&gt;0")</f>
      </c>
      <c r="X14" s="0" t="n">
        <f aca="false">_xlfn.MINIFS($BL$3:$BL$12,Compare!$W$3:$W$12,"&gt;0")</f>
      </c>
      <c r="Y14" s="0" t="n">
        <f aca="false">_xlfn.MINIFS($BL$3:$BL$12,Compare!$X$3:$X$12,"&gt;0")</f>
      </c>
      <c r="Z14" s="0" t="n">
        <f aca="false">_xlfn.MINIFS($BL$3:$BL$12,Compare!$Y$3:$Y$12,"&gt;0")</f>
      </c>
      <c r="AA14" s="0" t="n">
        <f aca="false">_xlfn.MINIFS($BL$3:$BL$12,Compare!$Z$3:$Z$12,"&gt;0")</f>
      </c>
      <c r="AB14" s="0" t="n">
        <f aca="false">_xlfn.MINIFS($BL$3:$BL$12,Compare!$AA$3:$AA$12,"&gt;0")</f>
      </c>
      <c r="AC14" s="0" t="n">
        <f aca="false">_xlfn.MINIFS($BL$3:$BL$12,Compare!$AB$3:$AB$12,"&gt;0")</f>
      </c>
      <c r="AD14" s="0" t="n">
        <f aca="false">_xlfn.MINIFS($BL$3:$BL$12,Compare!$AC$3:$AC$12,"&gt;0")</f>
      </c>
      <c r="AE14" s="0" t="n">
        <f aca="false">_xlfn.MINIFS($BL$3:$BL$12,Compare!$AD$3:$AD$12,"&gt;0")</f>
      </c>
      <c r="AF14" s="0" t="n">
        <f aca="false">_xlfn.MINIFS($BL$3:$BL$12,Compare!$AE$3:$AE$12,"&gt;0")</f>
      </c>
      <c r="AG14" s="0" t="n">
        <f aca="false">_xlfn.MINIFS($BL$3:$BL$12,Compare!$AF$3:$AF$12,"&gt;0")</f>
      </c>
      <c r="AH14" s="0" t="n">
        <f aca="false">_xlfn.MINIFS($BL$3:$BL$12,Compare!$AG$3:$AG$12,"&gt;0")</f>
      </c>
      <c r="AI14" s="0" t="n">
        <f aca="false">_xlfn.MINIFS($BL$3:$BL$12,Compare!$AH$3:$AH$12,"&gt;0")</f>
      </c>
      <c r="AJ14" s="0" t="n">
        <f aca="false">_xlfn.MINIFS($BL$3:$BL$12,Compare!$AI$3:$AI$12,"&gt;0")</f>
      </c>
      <c r="AK14" s="0" t="n">
        <f aca="false">_xlfn.MINIFS($BL$3:$BL$12,Compare!$AJ$3:$AJ$12,"&gt;0")</f>
      </c>
      <c r="AL14" s="0" t="n">
        <f aca="false">_xlfn.MINIFS($BL$3:$BL$12,Compare!$AK$3:$AK$12,"&gt;0")</f>
      </c>
      <c r="AM14" s="0" t="n">
        <f aca="false">_xlfn.MINIFS($BL$3:$BL$12,Compare!$AL$3:$AL$12,"&gt;0")</f>
      </c>
      <c r="AN14" s="0" t="n">
        <f aca="false">_xlfn.MINIFS($BL$3:$BL$12,Compare!$AM$3:$AM$12,"&gt;0")</f>
      </c>
      <c r="AO14" s="0" t="n">
        <f aca="false">_xlfn.MINIFS($BL$3:$BL$12,Compare!$AN$3:$AN$12,"&gt;0")</f>
      </c>
      <c r="AP14" s="0" t="n">
        <f aca="false">_xlfn.MINIFS($BL$3:$BL$12,Compare!$AO$3:$AO$12,"&gt;0")</f>
      </c>
      <c r="AQ14" s="0" t="n">
        <f aca="false">_xlfn.MINIFS($BL$3:$BL$12,Compare!$AP$3:$AP$12,"&gt;0")</f>
      </c>
      <c r="AR14" s="0" t="n">
        <f aca="false">_xlfn.MINIFS($BL$3:$BL$12,Compare!$AQ$3:$AQ$12,"&gt;0")</f>
      </c>
      <c r="AS14" s="0" t="n">
        <f aca="false">_xlfn.MINIFS($BL$3:$BL$12,Compare!$AR$3:$AR$12,"&gt;0")</f>
      </c>
      <c r="AT14" s="0" t="n">
        <f aca="false">_xlfn.MINIFS($BL$3:$BL$12,Compare!$AS$3:$AS$12,"&gt;0")</f>
      </c>
      <c r="AU14" s="0" t="n">
        <f aca="false">_xlfn.MINIFS($BL$3:$BL$12,Compare!$AT$3:$AT$12,"&gt;0")</f>
      </c>
      <c r="AV14" s="0" t="n">
        <f aca="false">_xlfn.MINIFS($BL$3:$BL$12,Compare!$AU$3:$AU$12,"&gt;0")</f>
      </c>
      <c r="AW14" s="0" t="n">
        <f aca="false">_xlfn.MINIFS($BL$3:$BL$12,Compare!$AV$3:$AV$12,"&gt;0")</f>
      </c>
      <c r="AX14" s="0" t="n">
        <f aca="false">_xlfn.MINIFS($BL$3:$BL$12,Compare!$AW$3:$AW$12,"&gt;0")</f>
      </c>
      <c r="AY14" s="0" t="n">
        <f aca="false">_xlfn.MINIFS($BL$3:$BL$12,Compare!$AX$3:$AX$12,"&gt;0")</f>
      </c>
      <c r="AZ14" s="0" t="n">
        <f aca="false">_xlfn.MINIFS($BL$3:$BL$12,Compare!$AY$3:$AY$12,"&gt;0")</f>
      </c>
      <c r="BA14" s="0" t="n">
        <f aca="false">_xlfn.MINIFS($BL$3:$BL$12,Compare!$AZ$3:$AZ$12,"&gt;0")</f>
      </c>
      <c r="BB14" s="0" t="n">
        <f aca="false">_xlfn.MINIFS($BL$3:$BL$12,Compare!$BA$3:$BA$12,"&gt;0")</f>
      </c>
      <c r="BC14" s="0" t="n">
        <f aca="false">_xlfn.MINIFS($BL$3:$BL$12,Compare!$BB$3:$BB$12,"&gt;0")</f>
      </c>
      <c r="BD14" s="0" t="n">
        <f aca="false">_xlfn.MINIFS($BL$3:$BL$12,Compare!$BC$3:$BC$12,"&gt;0")</f>
      </c>
      <c r="BE14" s="0" t="n">
        <f aca="false">_xlfn.MINIFS($BL$3:$BL$12,Compare!$BD$3:$BD$12,"&gt;0")</f>
      </c>
      <c r="BF14" s="0" t="n">
        <f aca="false">_xlfn.MINIFS($BL$3:$BL$12,Compare!$BE$3:$BE$12,"&gt;0")</f>
      </c>
      <c r="BG14" s="0" t="n">
        <f aca="false">_xlfn.MINIFS($BL$3:$BL$12,Compare!$BF$3:$BF$12,"&gt;0")</f>
      </c>
      <c r="BH14" s="0" t="n">
        <f aca="false">_xlfn.MINIFS($BL$3:$BL$12,Compare!$BG$3:$BG$12,"&gt;0")</f>
      </c>
      <c r="BI14" s="0" t="n">
        <f aca="false">_xlfn.MINIFS($BL$3:$BL$12,Compare!$BH$3:$BH$12,"&gt;0")</f>
      </c>
      <c r="BJ14" s="0" t="n">
        <f aca="false">_xlfn.MINIFS($BL$3:$BL$12,Compare!$BI$3:$BI$12,"&gt;0")</f>
      </c>
    </row>
    <row r="15">
      <c r="A15" s="0" t="inlineStr">
        <is>
          <t>total balance</t>
        </is>
      </c>
      <c r="B15" s="0" t="n">
        <f aca="false">SUM(B3:B12)</f>
      </c>
      <c r="C15" s="0" t="n">
        <f aca="false">SUM(C3:C12)</f>
      </c>
      <c r="D15" s="0" t="n">
        <f aca="false">SUM(D3:D12)</f>
      </c>
      <c r="E15" s="0" t="n">
        <f aca="false">SUM(E3:E12)</f>
      </c>
      <c r="F15" s="0" t="n">
        <f aca="false">SUM(F3:F12)</f>
      </c>
      <c r="G15" s="0" t="n">
        <f aca="false">SUM(G3:G12)</f>
      </c>
      <c r="H15" s="0" t="n">
        <f aca="false">SUM(H3:H12)</f>
      </c>
      <c r="I15" s="0" t="n">
        <f aca="false">SUM(I3:I12)</f>
      </c>
      <c r="J15" s="0" t="n">
        <f aca="false">SUM(J3:J12)</f>
      </c>
      <c r="K15" s="0" t="n">
        <f aca="false">SUM(K3:K12)</f>
      </c>
      <c r="L15" s="0" t="n">
        <f aca="false">SUM(L3:L12)</f>
      </c>
      <c r="M15" s="0" t="n">
        <f aca="false">SUM(M3:M12)</f>
      </c>
      <c r="N15" s="0" t="n">
        <f aca="false">SUM(N3:N12)</f>
      </c>
      <c r="O15" s="0" t="n">
        <f aca="false">SUM(O3:O12)</f>
      </c>
      <c r="P15" s="0" t="n">
        <f aca="false">SUM(P3:P12)</f>
      </c>
      <c r="Q15" s="0" t="n">
        <f aca="false">SUM(Q3:Q12)</f>
      </c>
      <c r="R15" s="0" t="n">
        <f aca="false">SUM(R3:R12)</f>
      </c>
      <c r="S15" s="0" t="n">
        <f aca="false">SUM(S3:S12)</f>
      </c>
      <c r="T15" s="0" t="n">
        <f aca="false">SUM(T3:T12)</f>
      </c>
      <c r="U15" s="0" t="n">
        <f aca="false">SUM(U3:U12)</f>
      </c>
      <c r="V15" s="0" t="n">
        <f aca="false">SUM(V3:V12)</f>
      </c>
      <c r="W15" s="0" t="n">
        <f aca="false">SUM(W3:W12)</f>
      </c>
      <c r="X15" s="0" t="n">
        <f aca="false">SUM(X3:X12)</f>
      </c>
      <c r="Y15" s="0" t="n">
        <f aca="false">SUM(Y3:Y12)</f>
      </c>
      <c r="Z15" s="0" t="n">
        <f aca="false">SUM(Z3:Z12)</f>
      </c>
      <c r="AA15" s="0" t="n">
        <f aca="false">SUM(AA3:AA12)</f>
      </c>
      <c r="AB15" s="0" t="n">
        <f aca="false">SUM(AB3:AB12)</f>
      </c>
      <c r="AC15" s="0" t="n">
        <f aca="false">SUM(AC3:AC12)</f>
      </c>
      <c r="AD15" s="0" t="n">
        <f aca="false">SUM(AD3:AD12)</f>
      </c>
      <c r="AE15" s="0" t="n">
        <f aca="false">SUM(AE3:AE12)</f>
      </c>
      <c r="AF15" s="0" t="n">
        <f aca="false">SUM(AF3:AF12)</f>
      </c>
      <c r="AG15" s="0" t="n">
        <f aca="false">SUM(AG3:AG12)</f>
      </c>
      <c r="AH15" s="0" t="n">
        <f aca="false">SUM(AH3:AH12)</f>
      </c>
      <c r="AI15" s="0" t="n">
        <f aca="false">SUM(AI3:AI12)</f>
      </c>
      <c r="AJ15" s="0" t="n">
        <f aca="false">SUM(AJ3:AJ12)</f>
      </c>
      <c r="AK15" s="0" t="n">
        <f aca="false">SUM(AK3:AK12)</f>
      </c>
      <c r="AL15" s="0" t="n">
        <f aca="false">SUM(AL3:AL12)</f>
      </c>
      <c r="AM15" s="0" t="n">
        <f aca="false">SUM(AM3:AM12)</f>
      </c>
      <c r="AN15" s="0" t="n">
        <f aca="false">SUM(AN3:AN12)</f>
      </c>
      <c r="AO15" s="0" t="n">
        <f aca="false">SUM(AO3:AO12)</f>
      </c>
      <c r="AP15" s="0" t="n">
        <f aca="false">SUM(AP3:AP12)</f>
      </c>
      <c r="AQ15" s="0" t="n">
        <f aca="false">SUM(AQ3:AQ12)</f>
      </c>
      <c r="AR15" s="0" t="n">
        <f aca="false">SUM(AR3:AR12)</f>
      </c>
      <c r="AS15" s="0" t="n">
        <f aca="false">SUM(AS3:AS12)</f>
      </c>
      <c r="AT15" s="0" t="n">
        <f aca="false">SUM(AT3:AT12)</f>
      </c>
      <c r="AU15" s="0" t="n">
        <f aca="false">SUM(AU3:AU12)</f>
      </c>
      <c r="AV15" s="0" t="n">
        <f aca="false">SUM(AV3:AV12)</f>
      </c>
      <c r="AW15" s="0" t="n">
        <f aca="false">SUM(AW3:AW12)</f>
      </c>
      <c r="AX15" s="0" t="n">
        <f aca="false">SUM(AX3:AX12)</f>
      </c>
      <c r="AY15" s="0" t="n">
        <f aca="false">SUM(AY3:AY12)</f>
      </c>
      <c r="AZ15" s="0" t="n">
        <f aca="false">SUM(AZ3:AZ12)</f>
      </c>
      <c r="BA15" s="0" t="n">
        <f aca="false">SUM(BA3:BA12)</f>
      </c>
      <c r="BB15" s="0" t="n">
        <f aca="false">SUM(BB3:BB12)</f>
      </c>
      <c r="BC15" s="0" t="n">
        <f aca="false">SUM(BC3:BC12)</f>
      </c>
      <c r="BD15" s="0" t="n">
        <f aca="false">SUM(BD3:BD12)</f>
      </c>
      <c r="BE15" s="0" t="n">
        <f aca="false">SUM(BE3:BE12)</f>
      </c>
      <c r="BF15" s="0" t="n">
        <f aca="false">SUM(BF3:BF12)</f>
      </c>
      <c r="BG15" s="0" t="n">
        <f aca="false">SUM(BG3:BG12)</f>
      </c>
      <c r="BH15" s="0" t="n">
        <f aca="false">SUM(BH3:BH12)</f>
      </c>
      <c r="BI15" s="0" t="n">
        <f aca="false">SUM(BI3:BI12)</f>
      </c>
      <c r="BJ15" s="0" t="n">
        <f aca="false">SUM(BJ3:BJ12)</f>
      </c>
    </row>
    <row r="16">
      <c r="A16" s="0" t="inlineStr">
        <is>
          <t>interest</t>
        </is>
      </c>
      <c r="C16" s="0" t="n">
        <f aca="false">SUMPRODUCT(Compare!$B$3:$B$12,Setup!$C$7:$C$16)/1200</f>
      </c>
      <c r="D16" s="0" t="n">
        <f aca="false">SUMPRODUCT(Compare!$C$3:$C$12,Setup!$C$7:$C$16)/1200</f>
      </c>
      <c r="E16" s="0" t="n">
        <f aca="false">SUMPRODUCT(Compare!$D$3:$D$12,Setup!$C$7:$C$16)/1200</f>
      </c>
      <c r="F16" s="0" t="n">
        <f aca="false">SUMPRODUCT(Compare!$E$3:$E$12,Setup!$C$7:$C$16)/1200</f>
      </c>
      <c r="G16" s="0" t="n">
        <f aca="false">SUMPRODUCT(Compare!$F$3:$F$12,Setup!$C$7:$C$16)/1200</f>
      </c>
      <c r="H16" s="0" t="n">
        <f aca="false">SUMPRODUCT(Compare!$G$3:$G$12,Setup!$C$7:$C$16)/1200</f>
      </c>
      <c r="I16" s="0" t="n">
        <f aca="false">SUMPRODUCT(Compare!$H$3:$H$12,Setup!$C$7:$C$16)/1200</f>
      </c>
      <c r="J16" s="0" t="n">
        <f aca="false">SUMPRODUCT(Compare!$I$3:$I$12,Setup!$C$7:$C$16)/1200</f>
      </c>
      <c r="K16" s="0" t="n">
        <f aca="false">SUMPRODUCT(Compare!$J$3:$J$12,Setup!$C$7:$C$16)/1200</f>
      </c>
      <c r="L16" s="0" t="n">
        <f aca="false">SUMPRODUCT(Compare!$K$3:$K$12,Setup!$C$7:$C$16)/1200</f>
      </c>
      <c r="M16" s="0" t="n">
        <f aca="false">SUMPRODUCT(Compare!$L$3:$L$12,Setup!$C$7:$C$16)/1200</f>
      </c>
      <c r="N16" s="0" t="n">
        <f aca="false">SUMPRODUCT(Compare!$M$3:$M$12,Setup!$C$7:$C$16)/1200</f>
      </c>
      <c r="O16" s="0" t="n">
        <f aca="false">SUMPRODUCT(Compare!$N$3:$N$12,Setup!$C$7:$C$16)/1200</f>
      </c>
      <c r="P16" s="0" t="n">
        <f aca="false">SUMPRODUCT(Compare!$O$3:$O$12,Setup!$C$7:$C$16)/1200</f>
      </c>
      <c r="Q16" s="0" t="n">
        <f aca="false">SUMPRODUCT(Compare!$P$3:$P$12,Setup!$C$7:$C$16)/1200</f>
      </c>
      <c r="R16" s="0" t="n">
        <f aca="false">SUMPRODUCT(Compare!$Q$3:$Q$12,Setup!$C$7:$C$16)/1200</f>
      </c>
      <c r="S16" s="0" t="n">
        <f aca="false">SUMPRODUCT(Compare!$R$3:$R$12,Setup!$C$7:$C$16)/1200</f>
      </c>
      <c r="T16" s="0" t="n">
        <f aca="false">SUMPRODUCT(Compare!$S$3:$S$12,Setup!$C$7:$C$16)/1200</f>
      </c>
      <c r="U16" s="0" t="n">
        <f aca="false">SUMPRODUCT(Compare!$T$3:$T$12,Setup!$C$7:$C$16)/1200</f>
      </c>
      <c r="V16" s="0" t="n">
        <f aca="false">SUMPRODUCT(Compare!$U$3:$U$12,Setup!$C$7:$C$16)/1200</f>
      </c>
      <c r="W16" s="0" t="n">
        <f aca="false">SUMPRODUCT(Compare!$V$3:$V$12,Setup!$C$7:$C$16)/1200</f>
      </c>
      <c r="X16" s="0" t="n">
        <f aca="false">SUMPRODUCT(Compare!$W$3:$W$12,Setup!$C$7:$C$16)/1200</f>
      </c>
      <c r="Y16" s="0" t="n">
        <f aca="false">SUMPRODUCT(Compare!$X$3:$X$12,Setup!$C$7:$C$16)/1200</f>
      </c>
      <c r="Z16" s="0" t="n">
        <f aca="false">SUMPRODUCT(Compare!$Y$3:$Y$12,Setup!$C$7:$C$16)/1200</f>
      </c>
      <c r="AA16" s="0" t="n">
        <f aca="false">SUMPRODUCT(Compare!$Z$3:$Z$12,Setup!$C$7:$C$16)/1200</f>
      </c>
      <c r="AB16" s="0" t="n">
        <f aca="false">SUMPRODUCT(Compare!$AA$3:$AA$12,Setup!$C$7:$C$16)/1200</f>
      </c>
      <c r="AC16" s="0" t="n">
        <f aca="false">SUMPRODUCT(Compare!$AB$3:$AB$12,Setup!$C$7:$C$16)/1200</f>
      </c>
      <c r="AD16" s="0" t="n">
        <f aca="false">SUMPRODUCT(Compare!$AC$3:$AC$12,Setup!$C$7:$C$16)/1200</f>
      </c>
      <c r="AE16" s="0" t="n">
        <f aca="false">SUMPRODUCT(Compare!$AD$3:$AD$12,Setup!$C$7:$C$16)/1200</f>
      </c>
      <c r="AF16" s="0" t="n">
        <f aca="false">SUMPRODUCT(Compare!$AE$3:$AE$12,Setup!$C$7:$C$16)/1200</f>
      </c>
      <c r="AG16" s="0" t="n">
        <f aca="false">SUMPRODUCT(Compare!$AF$3:$AF$12,Setup!$C$7:$C$16)/1200</f>
      </c>
      <c r="AH16" s="0" t="n">
        <f aca="false">SUMPRODUCT(Compare!$AG$3:$AG$12,Setup!$C$7:$C$16)/1200</f>
      </c>
      <c r="AI16" s="0" t="n">
        <f aca="false">SUMPRODUCT(Compare!$AH$3:$AH$12,Setup!$C$7:$C$16)/1200</f>
      </c>
      <c r="AJ16" s="0" t="n">
        <f aca="false">SUMPRODUCT(Compare!$AI$3:$AI$12,Setup!$C$7:$C$16)/1200</f>
      </c>
      <c r="AK16" s="0" t="n">
        <f aca="false">SUMPRODUCT(Compare!$AJ$3:$AJ$12,Setup!$C$7:$C$16)/1200</f>
      </c>
      <c r="AL16" s="0" t="n">
        <f aca="false">SUMPRODUCT(Compare!$AK$3:$AK$12,Setup!$C$7:$C$16)/1200</f>
      </c>
      <c r="AM16" s="0" t="n">
        <f aca="false">SUMPRODUCT(Compare!$AL$3:$AL$12,Setup!$C$7:$C$16)/1200</f>
      </c>
      <c r="AN16" s="0" t="n">
        <f aca="false">SUMPRODUCT(Compare!$AM$3:$AM$12,Setup!$C$7:$C$16)/1200</f>
      </c>
      <c r="AO16" s="0" t="n">
        <f aca="false">SUMPRODUCT(Compare!$AN$3:$AN$12,Setup!$C$7:$C$16)/1200</f>
      </c>
      <c r="AP16" s="0" t="n">
        <f aca="false">SUMPRODUCT(Compare!$AO$3:$AO$12,Setup!$C$7:$C$16)/1200</f>
      </c>
      <c r="AQ16" s="0" t="n">
        <f aca="false">SUMPRODUCT(Compare!$AP$3:$AP$12,Setup!$C$7:$C$16)/1200</f>
      </c>
      <c r="AR16" s="0" t="n">
        <f aca="false">SUMPRODUCT(Compare!$AQ$3:$AQ$12,Setup!$C$7:$C$16)/1200</f>
      </c>
      <c r="AS16" s="0" t="n">
        <f aca="false">SUMPRODUCT(Compare!$AR$3:$AR$12,Setup!$C$7:$C$16)/1200</f>
      </c>
      <c r="AT16" s="0" t="n">
        <f aca="false">SUMPRODUCT(Compare!$AS$3:$AS$12,Setup!$C$7:$C$16)/1200</f>
      </c>
      <c r="AU16" s="0" t="n">
        <f aca="false">SUMPRODUCT(Compare!$AT$3:$AT$12,Setup!$C$7:$C$16)/1200</f>
      </c>
      <c r="AV16" s="0" t="n">
        <f aca="false">SUMPRODUCT(Compare!$AU$3:$AU$12,Setup!$C$7:$C$16)/1200</f>
      </c>
      <c r="AW16" s="0" t="n">
        <f aca="false">SUMPRODUCT(Compare!$AV$3:$AV$12,Setup!$C$7:$C$16)/1200</f>
      </c>
      <c r="AX16" s="0" t="n">
        <f aca="false">SUMPRODUCT(Compare!$AW$3:$AW$12,Setup!$C$7:$C$16)/1200</f>
      </c>
      <c r="AY16" s="0" t="n">
        <f aca="false">SUMPRODUCT(Compare!$AX$3:$AX$12,Setup!$C$7:$C$16)/1200</f>
      </c>
      <c r="AZ16" s="0" t="n">
        <f aca="false">SUMPRODUCT(Compare!$AY$3:$AY$12,Setup!$C$7:$C$16)/1200</f>
      </c>
      <c r="BA16" s="0" t="n">
        <f aca="false">SUMPRODUCT(Compare!$AZ$3:$AZ$12,Setup!$C$7:$C$16)/1200</f>
      </c>
      <c r="BB16" s="0" t="n">
        <f aca="false">SUMPRODUCT(Compare!$BA$3:$BA$12,Setup!$C$7:$C$16)/1200</f>
      </c>
      <c r="BC16" s="0" t="n">
        <f aca="false">SUMPRODUCT(Compare!$BB$3:$BB$12,Setup!$C$7:$C$16)/1200</f>
      </c>
      <c r="BD16" s="0" t="n">
        <f aca="false">SUMPRODUCT(Compare!$BC$3:$BC$12,Setup!$C$7:$C$16)/1200</f>
      </c>
      <c r="BE16" s="0" t="n">
        <f aca="false">SUMPRODUCT(Compare!$BD$3:$BD$12,Setup!$C$7:$C$16)/1200</f>
      </c>
      <c r="BF16" s="0" t="n">
        <f aca="false">SUMPRODUCT(Compare!$BE$3:$BE$12,Setup!$C$7:$C$16)/1200</f>
      </c>
      <c r="BG16" s="0" t="n">
        <f aca="false">SUMPRODUCT(Compare!$BF$3:$BF$12,Setup!$C$7:$C$16)/1200</f>
      </c>
      <c r="BH16" s="0" t="n">
        <f aca="false">SUMPRODUCT(Compare!$BG$3:$BG$12,Setup!$C$7:$C$16)/1200</f>
      </c>
      <c r="BI16" s="0" t="n">
        <f aca="false">SUMPRODUCT(Compare!$BH$3:$BH$12,Setup!$C$7:$C$16)/1200</f>
      </c>
      <c r="BJ16" s="0" t="n">
        <f aca="false">SUMPRODUCT(Compare!$BI$3:$BI$12,Setup!$C$7:$C$16)/1200</f>
      </c>
    </row>
    <row r="18">
      <c r="A18" s="0" t="n">
        <f aca="false">IFERROR(MATCH(0,Compare!$C$15:$BJ$15,0),0)</f>
      </c>
      <c r="B18" s="0" t="inlineStr">
        <is>
          <t>months to debt-free (helper)</t>
        </is>
      </c>
    </row>
  </sheetData>
  <sheetProtection sheet="tru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2026-07-21T09:40:37Z</dcterms:created>
  <dc:creator>openpyxl</dc:creator>
  <dc:description/>
  <dc:language>en-US</dc:language>
  <cp:lastModifiedBy/>
  <dcterms:modified xsi:type="dcterms:W3CDTF">2026-08-04T19:13:16Z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